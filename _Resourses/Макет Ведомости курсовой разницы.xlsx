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PopovaLi\Desktop\Терралинк\Рабочий процесс\Проект СНГ\Мои доки\Курсовая разница\"/>
    </mc:Choice>
  </mc:AlternateContent>
  <xr:revisionPtr revIDLastSave="0" documentId="8_{7137D4F6-34B0-48CD-8450-51970663B00E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Визуал 1 вкл" sheetId="12" r:id="rId1"/>
    <sheet name="Визуал 2 вкл" sheetId="1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26" i="12" l="1"/>
  <c r="AT25" i="12"/>
  <c r="AT24" i="12"/>
  <c r="AT23" i="12"/>
  <c r="AT22" i="12"/>
  <c r="AT21" i="12"/>
  <c r="AT20" i="12"/>
  <c r="AT19" i="12"/>
  <c r="AD16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Василенко Валерия Александровна</author>
  </authors>
  <commentList>
    <comment ref="P18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Василенко Валерия Александровна:</t>
        </r>
        <r>
          <rPr>
            <sz val="9"/>
            <color indexed="81"/>
            <rFont val="Tahoma"/>
            <charset val="1"/>
          </rPr>
          <t xml:space="preserve">
Ссылка на документ</t>
        </r>
      </text>
    </comment>
    <comment ref="AT18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Василенко Валерия Александровна:</t>
        </r>
        <r>
          <rPr>
            <sz val="9"/>
            <color indexed="81"/>
            <rFont val="Tahoma"/>
            <family val="2"/>
            <charset val="204"/>
          </rPr>
          <t xml:space="preserve">
Из проводки</t>
        </r>
      </text>
    </comment>
  </commentList>
</comments>
</file>

<file path=xl/sharedStrings.xml><?xml version="1.0" encoding="utf-8"?>
<sst xmlns="http://schemas.openxmlformats.org/spreadsheetml/2006/main" count="121" uniqueCount="54">
  <si>
    <t>V</t>
  </si>
  <si>
    <t>X</t>
  </si>
  <si>
    <t>…</t>
  </si>
  <si>
    <t>Организация</t>
  </si>
  <si>
    <t>Бизнес-единица</t>
  </si>
  <si>
    <t>№</t>
  </si>
  <si>
    <t>Описание</t>
  </si>
  <si>
    <t>от</t>
  </si>
  <si>
    <t>принят</t>
  </si>
  <si>
    <t>Тип документа</t>
  </si>
  <si>
    <t>Состояние</t>
  </si>
  <si>
    <t>Счета учета</t>
  </si>
  <si>
    <t>Проводки</t>
  </si>
  <si>
    <t>Авансовый отчет</t>
  </si>
  <si>
    <t>Сумма в валюте</t>
  </si>
  <si>
    <t>Валюта</t>
  </si>
  <si>
    <t>Счет</t>
  </si>
  <si>
    <t>Валюта НВ</t>
  </si>
  <si>
    <t>Сумма в НВ</t>
  </si>
  <si>
    <t>Документы</t>
  </si>
  <si>
    <t>Остаток в валюте</t>
  </si>
  <si>
    <t>Остаток в НВ</t>
  </si>
  <si>
    <t>Дата</t>
  </si>
  <si>
    <t>Юань (CNY)</t>
  </si>
  <si>
    <t>002/Счет (проживание)/Тараски</t>
  </si>
  <si>
    <t>147/3</t>
  </si>
  <si>
    <t>Командировочные расходы в иностранной валюте №147/3 от 21.04.2025</t>
  </si>
  <si>
    <t>Рубль (RUB)</t>
  </si>
  <si>
    <t>Тип счетов учета</t>
  </si>
  <si>
    <t>Изменен вручную</t>
  </si>
  <si>
    <t>Счет учета доходов от курсовой разницы</t>
  </si>
  <si>
    <t>Счет учета расходов от курсовой разницы</t>
  </si>
  <si>
    <t>Бухгалтерский</t>
  </si>
  <si>
    <t>МСФО</t>
  </si>
  <si>
    <t>НДД</t>
  </si>
  <si>
    <t>Налоговый</t>
  </si>
  <si>
    <t>Зачет аванса</t>
  </si>
  <si>
    <t>Удержание</t>
  </si>
  <si>
    <t>Возврат денег в кассу (ПКО)</t>
  </si>
  <si>
    <t>Документ</t>
  </si>
  <si>
    <t>Тип движения</t>
  </si>
  <si>
    <t>Курс</t>
  </si>
  <si>
    <t>Курсовая разница АО</t>
  </si>
  <si>
    <t>Аппарат управления</t>
  </si>
  <si>
    <t>П</t>
  </si>
  <si>
    <t>АО №147/3 от 21.04.2025</t>
  </si>
  <si>
    <t>ПАО "Сургутнефтегаз"</t>
  </si>
  <si>
    <t>Позиция АО</t>
  </si>
  <si>
    <t>ПКО № от</t>
  </si>
  <si>
    <t>Бух. справка (Зачет РКО и АО) № от</t>
  </si>
  <si>
    <t>Бух. справка № от</t>
  </si>
  <si>
    <t>Счет учета основного долга</t>
  </si>
  <si>
    <t>Формируется</t>
  </si>
  <si>
    <t>0401/Суточные в валюте/Тараски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</si>
</sst>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13" xfId="1" applyFill="1" applyBorder="1" applyAlignment="1">
      <alignment vertical="center"/>
    </xf>
    <xf numFmtId="0" fontId="1" fillId="0" borderId="0" xfId="1" applyBorder="1" applyAlignment="1">
      <alignment vertical="center"/>
    </xf>
    <xf numFmtId="0" fontId="1" fillId="2" borderId="13" xfId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2" fillId="3" borderId="8" xfId="1" applyFont="1" applyFill="1" applyBorder="1" applyAlignment="1">
      <alignment horizontal="left" vertical="center"/>
    </xf>
    <xf numFmtId="0" fontId="2" fillId="3" borderId="9" xfId="1" applyFont="1" applyFill="1" applyBorder="1" applyAlignment="1">
      <alignment horizontal="left" vertical="center"/>
    </xf>
    <xf numFmtId="0" fontId="2" fillId="3" borderId="10" xfId="1" applyFont="1" applyFill="1" applyBorder="1" applyAlignment="1">
      <alignment horizontal="left" vertical="center"/>
    </xf>
    <xf numFmtId="0" fontId="1" fillId="4" borderId="5" xfId="1" applyFill="1" applyBorder="1" applyAlignment="1">
      <alignment horizontal="left" vertical="center"/>
    </xf>
    <xf numFmtId="0" fontId="1" fillId="4" borderId="6" xfId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2" fontId="0" fillId="4" borderId="1" xfId="2" applyNumberFormat="1" applyFont="1" applyFill="1" applyBorder="1" applyAlignment="1">
      <alignment horizontal="left" vertical="center"/>
    </xf>
    <xf numFmtId="2" fontId="0" fillId="4" borderId="2" xfId="2" applyNumberFormat="1" applyFont="1" applyFill="1" applyBorder="1" applyAlignment="1">
      <alignment horizontal="left" vertical="center"/>
    </xf>
    <xf numFmtId="2" fontId="0" fillId="4" borderId="3" xfId="2" applyNumberFormat="1" applyFont="1" applyFill="1" applyBorder="1" applyAlignment="1">
      <alignment horizontal="left" vertical="center"/>
    </xf>
    <xf numFmtId="2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3</xdr:row>
      <xdr:rowOff>38100</xdr:rowOff>
    </xdr:from>
    <xdr:ext cx="133800" cy="13441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609600"/>
          <a:ext cx="133800" cy="134415"/>
        </a:xfrm>
        <a:prstGeom prst="rect">
          <a:avLst/>
        </a:prstGeom>
      </xdr:spPr>
    </xdr:pic>
    <xdr:clientData/>
  </xdr:oneCellAnchor>
  <xdr:oneCellAnchor>
    <xdr:from>
      <xdr:col>25</xdr:col>
      <xdr:colOff>47625</xdr:colOff>
      <xdr:row>3</xdr:row>
      <xdr:rowOff>38100</xdr:rowOff>
    </xdr:from>
    <xdr:ext cx="133800" cy="13441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609600"/>
          <a:ext cx="133800" cy="134415"/>
        </a:xfrm>
        <a:prstGeom prst="rect">
          <a:avLst/>
        </a:prstGeom>
      </xdr:spPr>
    </xdr:pic>
    <xdr:clientData/>
  </xdr:oneCellAnchor>
  <xdr:oneCellAnchor>
    <xdr:from>
      <xdr:col>3</xdr:col>
      <xdr:colOff>142874</xdr:colOff>
      <xdr:row>1</xdr:row>
      <xdr:rowOff>28575</xdr:rowOff>
    </xdr:from>
    <xdr:ext cx="723901" cy="238125"/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789" t="-4570" r="66159" b="-9752"/>
        <a:stretch/>
      </xdr:blipFill>
      <xdr:spPr>
        <a:xfrm>
          <a:off x="800099" y="219075"/>
          <a:ext cx="723901" cy="238125"/>
        </a:xfrm>
        <a:prstGeom prst="rect">
          <a:avLst/>
        </a:prstGeom>
      </xdr:spPr>
    </xdr:pic>
    <xdr:clientData/>
  </xdr:oneCellAnchor>
  <xdr:oneCellAnchor>
    <xdr:from>
      <xdr:col>8</xdr:col>
      <xdr:colOff>104775</xdr:colOff>
      <xdr:row>1</xdr:row>
      <xdr:rowOff>28575</xdr:rowOff>
    </xdr:from>
    <xdr:ext cx="1151788" cy="217817"/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9688" t="-4572" b="-1"/>
        <a:stretch/>
      </xdr:blipFill>
      <xdr:spPr>
        <a:xfrm>
          <a:off x="1857375" y="219075"/>
          <a:ext cx="1151788" cy="217817"/>
        </a:xfrm>
        <a:prstGeom prst="rect">
          <a:avLst/>
        </a:prstGeom>
      </xdr:spPr>
    </xdr:pic>
    <xdr:clientData/>
  </xdr:oneCellAnchor>
  <xdr:twoCellAnchor editAs="oneCell">
    <xdr:from>
      <xdr:col>7</xdr:col>
      <xdr:colOff>28575</xdr:colOff>
      <xdr:row>1</xdr:row>
      <xdr:rowOff>38100</xdr:rowOff>
    </xdr:from>
    <xdr:to>
      <xdr:col>8</xdr:col>
      <xdr:colOff>47625</xdr:colOff>
      <xdr:row>2</xdr:row>
      <xdr:rowOff>28247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228600"/>
          <a:ext cx="238125" cy="180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3</xdr:row>
      <xdr:rowOff>38100</xdr:rowOff>
    </xdr:from>
    <xdr:ext cx="133800" cy="13441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609600"/>
          <a:ext cx="133800" cy="134415"/>
        </a:xfrm>
        <a:prstGeom prst="rect">
          <a:avLst/>
        </a:prstGeom>
      </xdr:spPr>
    </xdr:pic>
    <xdr:clientData/>
  </xdr:oneCellAnchor>
  <xdr:oneCellAnchor>
    <xdr:from>
      <xdr:col>25</xdr:col>
      <xdr:colOff>47625</xdr:colOff>
      <xdr:row>3</xdr:row>
      <xdr:rowOff>38100</xdr:rowOff>
    </xdr:from>
    <xdr:ext cx="133800" cy="13441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609600"/>
          <a:ext cx="133800" cy="134415"/>
        </a:xfrm>
        <a:prstGeom prst="rect">
          <a:avLst/>
        </a:prstGeom>
      </xdr:spPr>
    </xdr:pic>
    <xdr:clientData/>
  </xdr:oneCellAnchor>
  <xdr:oneCellAnchor>
    <xdr:from>
      <xdr:col>3</xdr:col>
      <xdr:colOff>142874</xdr:colOff>
      <xdr:row>1</xdr:row>
      <xdr:rowOff>28575</xdr:rowOff>
    </xdr:from>
    <xdr:ext cx="723901" cy="238125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789" t="-4570" r="66159" b="-9752"/>
        <a:stretch/>
      </xdr:blipFill>
      <xdr:spPr>
        <a:xfrm>
          <a:off x="800099" y="219075"/>
          <a:ext cx="723901" cy="238125"/>
        </a:xfrm>
        <a:prstGeom prst="rect">
          <a:avLst/>
        </a:prstGeom>
      </xdr:spPr>
    </xdr:pic>
    <xdr:clientData/>
  </xdr:oneCellAnchor>
  <xdr:oneCellAnchor>
    <xdr:from>
      <xdr:col>8</xdr:col>
      <xdr:colOff>104775</xdr:colOff>
      <xdr:row>1</xdr:row>
      <xdr:rowOff>28575</xdr:rowOff>
    </xdr:from>
    <xdr:ext cx="1151788" cy="217817"/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9688" t="-4572" b="-1"/>
        <a:stretch/>
      </xdr:blipFill>
      <xdr:spPr>
        <a:xfrm>
          <a:off x="1857375" y="219075"/>
          <a:ext cx="1151788" cy="217817"/>
        </a:xfrm>
        <a:prstGeom prst="rect">
          <a:avLst/>
        </a:prstGeom>
      </xdr:spPr>
    </xdr:pic>
    <xdr:clientData/>
  </xdr:oneCellAnchor>
  <xdr:twoCellAnchor editAs="oneCell">
    <xdr:from>
      <xdr:col>7</xdr:col>
      <xdr:colOff>28575</xdr:colOff>
      <xdr:row>1</xdr:row>
      <xdr:rowOff>38100</xdr:rowOff>
    </xdr:from>
    <xdr:to>
      <xdr:col>8</xdr:col>
      <xdr:colOff>47625</xdr:colOff>
      <xdr:row>2</xdr:row>
      <xdr:rowOff>28247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228600"/>
          <a:ext cx="238125" cy="180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4:CB27"/>
  <sheetViews>
    <sheetView tabSelected="1" zoomScale="70" zoomScaleNormal="70" workbookViewId="0">
      <selection activeCell="AD30" sqref="AD30"/>
    </sheetView>
  </sheetViews>
  <sheetFormatPr defaultColWidth="3.33203125" defaultRowHeight="14.4" x14ac:dyDescent="0.3"/>
  <cols>
    <col min="27" max="27" width="1.33203125" customWidth="1"/>
    <col min="29" max="29" width="5.109375" customWidth="1"/>
    <col min="41" max="41" width="1.6640625" customWidth="1"/>
    <col min="51" max="51" width="4.109375" customWidth="1"/>
    <col min="69" max="69" width="1.88671875" customWidth="1"/>
  </cols>
  <sheetData>
    <row r="4" spans="5:80" x14ac:dyDescent="0.3">
      <c r="E4" t="s">
        <v>5</v>
      </c>
      <c r="F4" s="11"/>
      <c r="G4" s="12"/>
      <c r="H4" s="12"/>
      <c r="I4" s="12"/>
      <c r="J4" s="13"/>
      <c r="L4" t="s">
        <v>7</v>
      </c>
      <c r="M4" s="31">
        <v>45770</v>
      </c>
      <c r="N4" s="32"/>
      <c r="O4" s="32"/>
      <c r="P4" s="33"/>
      <c r="Q4" s="1"/>
      <c r="S4" s="4" t="s">
        <v>8</v>
      </c>
      <c r="V4" s="31">
        <v>45770</v>
      </c>
      <c r="W4" s="32"/>
      <c r="X4" s="32"/>
      <c r="Y4" s="33"/>
      <c r="Z4" s="1"/>
      <c r="AB4" t="s">
        <v>4</v>
      </c>
      <c r="AG4" s="11" t="s">
        <v>43</v>
      </c>
      <c r="AH4" s="12"/>
      <c r="AI4" s="12"/>
      <c r="AJ4" s="12"/>
      <c r="AK4" s="12"/>
      <c r="AL4" s="13"/>
      <c r="AM4" s="5" t="s">
        <v>2</v>
      </c>
      <c r="AN4" s="3" t="s">
        <v>1</v>
      </c>
      <c r="AP4" t="s">
        <v>3</v>
      </c>
      <c r="AT4" s="34" t="s">
        <v>46</v>
      </c>
      <c r="AU4" s="35"/>
      <c r="AV4" s="35"/>
      <c r="AW4" s="35"/>
      <c r="AX4" s="35"/>
      <c r="AY4" s="36"/>
      <c r="AZ4" s="3" t="s">
        <v>0</v>
      </c>
      <c r="BA4" s="3" t="s">
        <v>1</v>
      </c>
      <c r="BB4" t="s">
        <v>9</v>
      </c>
      <c r="BG4" s="17" t="s">
        <v>42</v>
      </c>
      <c r="BH4" s="18"/>
      <c r="BI4" s="18"/>
      <c r="BJ4" s="18"/>
      <c r="BK4" s="18"/>
      <c r="BL4" s="18"/>
      <c r="BM4" s="18"/>
      <c r="BN4" s="18"/>
      <c r="BO4" s="19"/>
      <c r="BP4" s="3" t="s">
        <v>0</v>
      </c>
      <c r="BR4" t="s">
        <v>10</v>
      </c>
      <c r="BV4" s="17" t="s">
        <v>52</v>
      </c>
      <c r="BW4" s="18"/>
      <c r="BX4" s="18"/>
      <c r="BY4" s="18"/>
      <c r="BZ4" s="18"/>
      <c r="CA4" s="19"/>
      <c r="CB4" s="3" t="s">
        <v>0</v>
      </c>
    </row>
    <row r="5" spans="5:80" ht="4.5" customHeight="1" x14ac:dyDescent="0.3"/>
    <row r="6" spans="5:80" x14ac:dyDescent="0.3">
      <c r="E6" t="s">
        <v>6</v>
      </c>
    </row>
    <row r="7" spans="5:80" x14ac:dyDescent="0.3">
      <c r="E7" s="20" t="s">
        <v>45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2"/>
    </row>
    <row r="8" spans="5:80" x14ac:dyDescent="0.3"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5"/>
    </row>
    <row r="9" spans="5:80" ht="3" customHeight="1" x14ac:dyDescent="0.3">
      <c r="I9" s="2"/>
      <c r="J9" s="2"/>
      <c r="K9" s="2"/>
      <c r="L9" s="2"/>
      <c r="M9" s="2"/>
      <c r="N9" s="2"/>
      <c r="O9" s="2"/>
      <c r="P9" s="2"/>
      <c r="Q9" s="2"/>
      <c r="R9" s="2"/>
    </row>
    <row r="10" spans="5:80" ht="15.6" customHeight="1" x14ac:dyDescent="0.3"/>
    <row r="11" spans="5:80" ht="15" thickBot="1" x14ac:dyDescent="0.35"/>
    <row r="12" spans="5:80" x14ac:dyDescent="0.3">
      <c r="E12" s="26" t="s">
        <v>19</v>
      </c>
      <c r="F12" s="27"/>
      <c r="G12" s="27"/>
      <c r="H12" s="27"/>
      <c r="I12" s="27"/>
      <c r="J12" s="28"/>
      <c r="K12" s="29" t="s">
        <v>11</v>
      </c>
      <c r="L12" s="29"/>
      <c r="M12" s="29"/>
      <c r="N12" s="29"/>
      <c r="O12" s="29"/>
      <c r="P12" s="30"/>
      <c r="Q12" s="29" t="s">
        <v>12</v>
      </c>
      <c r="R12" s="29"/>
      <c r="S12" s="29"/>
      <c r="T12" s="29"/>
      <c r="U12" s="29"/>
      <c r="V12" s="30"/>
    </row>
    <row r="13" spans="5:80" ht="4.5" customHeight="1" x14ac:dyDescent="0.3"/>
    <row r="14" spans="5:80" x14ac:dyDescent="0.3">
      <c r="E14" t="s">
        <v>13</v>
      </c>
      <c r="J14" s="14" t="s">
        <v>26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6"/>
      <c r="AH14" s="10" t="s">
        <v>2</v>
      </c>
      <c r="AI14" s="10" t="s">
        <v>44</v>
      </c>
      <c r="AJ14" s="10" t="s">
        <v>1</v>
      </c>
    </row>
    <row r="15" spans="5:80" ht="4.5" customHeight="1" x14ac:dyDescent="0.3"/>
    <row r="16" spans="5:80" x14ac:dyDescent="0.3">
      <c r="E16" t="s">
        <v>16</v>
      </c>
      <c r="G16" s="41">
        <v>7101020000</v>
      </c>
      <c r="H16" s="42"/>
      <c r="I16" s="42"/>
      <c r="J16" s="42"/>
      <c r="K16" s="42"/>
      <c r="L16" s="43"/>
      <c r="N16" s="4" t="s">
        <v>20</v>
      </c>
      <c r="S16" s="44">
        <v>0</v>
      </c>
      <c r="T16" s="45"/>
      <c r="U16" s="45"/>
      <c r="V16" s="45"/>
      <c r="W16" s="45"/>
      <c r="X16" s="46"/>
      <c r="Z16" t="s">
        <v>21</v>
      </c>
      <c r="AD16" s="44">
        <f>SUM(AX19:BB26)</f>
        <v>4386.5900000000111</v>
      </c>
      <c r="AE16" s="45"/>
      <c r="AF16" s="45"/>
      <c r="AG16" s="45"/>
      <c r="AH16" s="45"/>
      <c r="AI16" s="46"/>
    </row>
    <row r="18" spans="5:58" x14ac:dyDescent="0.3">
      <c r="E18" s="40" t="s">
        <v>40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 t="s">
        <v>39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 t="s">
        <v>5</v>
      </c>
      <c r="AB18" s="40"/>
      <c r="AC18" s="40"/>
      <c r="AD18" s="40"/>
      <c r="AE18" s="40"/>
      <c r="AF18" s="40" t="s">
        <v>22</v>
      </c>
      <c r="AG18" s="40"/>
      <c r="AH18" s="40"/>
      <c r="AI18" s="40"/>
      <c r="AJ18" s="40"/>
      <c r="AK18" s="40" t="s">
        <v>14</v>
      </c>
      <c r="AL18" s="40"/>
      <c r="AM18" s="40"/>
      <c r="AN18" s="40"/>
      <c r="AO18" s="40"/>
      <c r="AP18" s="40" t="s">
        <v>15</v>
      </c>
      <c r="AQ18" s="40"/>
      <c r="AR18" s="40"/>
      <c r="AS18" s="40"/>
      <c r="AT18" s="40" t="s">
        <v>41</v>
      </c>
      <c r="AU18" s="40"/>
      <c r="AV18" s="40"/>
      <c r="AW18" s="40"/>
      <c r="AX18" s="40" t="s">
        <v>18</v>
      </c>
      <c r="AY18" s="40"/>
      <c r="AZ18" s="40"/>
      <c r="BA18" s="40"/>
      <c r="BB18" s="40"/>
      <c r="BC18" s="40" t="s">
        <v>17</v>
      </c>
      <c r="BD18" s="40"/>
      <c r="BE18" s="40"/>
      <c r="BF18" s="40"/>
    </row>
    <row r="19" spans="5:58" x14ac:dyDescent="0.3">
      <c r="E19" s="49" t="s">
        <v>47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11" t="s">
        <v>53</v>
      </c>
      <c r="Q19" s="12"/>
      <c r="R19" s="12"/>
      <c r="S19" s="12"/>
      <c r="T19" s="12"/>
      <c r="U19" s="12"/>
      <c r="V19" s="12"/>
      <c r="W19" s="12"/>
      <c r="X19" s="12"/>
      <c r="Y19" s="13"/>
      <c r="Z19" s="10" t="s">
        <v>44</v>
      </c>
      <c r="AA19" s="48" t="s">
        <v>25</v>
      </c>
      <c r="AB19" s="48"/>
      <c r="AC19" s="48"/>
      <c r="AD19" s="48"/>
      <c r="AE19" s="48"/>
      <c r="AF19" s="50">
        <v>45768</v>
      </c>
      <c r="AG19" s="50"/>
      <c r="AH19" s="50"/>
      <c r="AI19" s="50"/>
      <c r="AJ19" s="50"/>
      <c r="AK19" s="47">
        <v>-5145</v>
      </c>
      <c r="AL19" s="47"/>
      <c r="AM19" s="47"/>
      <c r="AN19" s="47"/>
      <c r="AO19" s="47"/>
      <c r="AP19" s="17" t="s">
        <v>23</v>
      </c>
      <c r="AQ19" s="18"/>
      <c r="AR19" s="18"/>
      <c r="AS19" s="19"/>
      <c r="AT19" s="37">
        <f t="shared" ref="AT19:AT26" si="0">AX19/AK19</f>
        <v>11.566400388726919</v>
      </c>
      <c r="AU19" s="38"/>
      <c r="AV19" s="38"/>
      <c r="AW19" s="39"/>
      <c r="AX19" s="47">
        <v>-59509.13</v>
      </c>
      <c r="AY19" s="47"/>
      <c r="AZ19" s="47"/>
      <c r="BA19" s="47"/>
      <c r="BB19" s="47"/>
      <c r="BC19" s="17" t="s">
        <v>27</v>
      </c>
      <c r="BD19" s="18"/>
      <c r="BE19" s="18"/>
      <c r="BF19" s="19"/>
    </row>
    <row r="20" spans="5:58" x14ac:dyDescent="0.3">
      <c r="E20" s="49" t="s">
        <v>47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11" t="s">
        <v>24</v>
      </c>
      <c r="Q20" s="12"/>
      <c r="R20" s="12"/>
      <c r="S20" s="12"/>
      <c r="T20" s="12"/>
      <c r="U20" s="12"/>
      <c r="V20" s="12"/>
      <c r="W20" s="12"/>
      <c r="X20" s="12"/>
      <c r="Y20" s="13"/>
      <c r="Z20" s="10" t="s">
        <v>44</v>
      </c>
      <c r="AA20" s="48" t="s">
        <v>25</v>
      </c>
      <c r="AB20" s="48"/>
      <c r="AC20" s="48"/>
      <c r="AD20" s="48"/>
      <c r="AE20" s="48"/>
      <c r="AF20" s="50">
        <v>45768</v>
      </c>
      <c r="AG20" s="50"/>
      <c r="AH20" s="50"/>
      <c r="AI20" s="50"/>
      <c r="AJ20" s="50"/>
      <c r="AK20" s="47">
        <v>-1422.52</v>
      </c>
      <c r="AL20" s="47"/>
      <c r="AM20" s="47"/>
      <c r="AN20" s="47"/>
      <c r="AO20" s="47"/>
      <c r="AP20" s="17" t="s">
        <v>23</v>
      </c>
      <c r="AQ20" s="18"/>
      <c r="AR20" s="18"/>
      <c r="AS20" s="19"/>
      <c r="AT20" s="37">
        <f t="shared" si="0"/>
        <v>11.566403284312347</v>
      </c>
      <c r="AU20" s="38"/>
      <c r="AV20" s="38"/>
      <c r="AW20" s="39"/>
      <c r="AX20" s="47">
        <v>-16453.439999999999</v>
      </c>
      <c r="AY20" s="47"/>
      <c r="AZ20" s="47"/>
      <c r="BA20" s="47"/>
      <c r="BB20" s="47"/>
      <c r="BC20" s="17" t="s">
        <v>27</v>
      </c>
      <c r="BD20" s="18"/>
      <c r="BE20" s="18"/>
      <c r="BF20" s="19"/>
    </row>
    <row r="21" spans="5:58" x14ac:dyDescent="0.3">
      <c r="E21" s="49" t="s">
        <v>47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11" t="s">
        <v>24</v>
      </c>
      <c r="Q21" s="12"/>
      <c r="R21" s="12"/>
      <c r="S21" s="12"/>
      <c r="T21" s="12"/>
      <c r="U21" s="12"/>
      <c r="V21" s="12"/>
      <c r="W21" s="12"/>
      <c r="X21" s="12"/>
      <c r="Y21" s="13"/>
      <c r="Z21" s="10" t="s">
        <v>44</v>
      </c>
      <c r="AA21" s="48" t="s">
        <v>25</v>
      </c>
      <c r="AB21" s="48"/>
      <c r="AC21" s="48"/>
      <c r="AD21" s="48"/>
      <c r="AE21" s="48"/>
      <c r="AF21" s="50">
        <v>45768</v>
      </c>
      <c r="AG21" s="50"/>
      <c r="AH21" s="50"/>
      <c r="AI21" s="50"/>
      <c r="AJ21" s="50"/>
      <c r="AK21" s="47">
        <v>-900</v>
      </c>
      <c r="AL21" s="47"/>
      <c r="AM21" s="47"/>
      <c r="AN21" s="47"/>
      <c r="AO21" s="47"/>
      <c r="AP21" s="17" t="s">
        <v>23</v>
      </c>
      <c r="AQ21" s="18"/>
      <c r="AR21" s="18"/>
      <c r="AS21" s="19"/>
      <c r="AT21" s="37">
        <f t="shared" si="0"/>
        <v>11.5664</v>
      </c>
      <c r="AU21" s="38"/>
      <c r="AV21" s="38"/>
      <c r="AW21" s="39"/>
      <c r="AX21" s="47">
        <v>-10409.76</v>
      </c>
      <c r="AY21" s="47"/>
      <c r="AZ21" s="47"/>
      <c r="BA21" s="47"/>
      <c r="BB21" s="47"/>
      <c r="BC21" s="17" t="s">
        <v>27</v>
      </c>
      <c r="BD21" s="18"/>
      <c r="BE21" s="18"/>
      <c r="BF21" s="19"/>
    </row>
    <row r="22" spans="5:58" x14ac:dyDescent="0.3">
      <c r="E22" s="49" t="s">
        <v>47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11" t="s">
        <v>24</v>
      </c>
      <c r="Q22" s="12"/>
      <c r="R22" s="12"/>
      <c r="S22" s="12"/>
      <c r="T22" s="12"/>
      <c r="U22" s="12"/>
      <c r="V22" s="12"/>
      <c r="W22" s="12"/>
      <c r="X22" s="12"/>
      <c r="Y22" s="13"/>
      <c r="Z22" s="10" t="s">
        <v>44</v>
      </c>
      <c r="AA22" s="48" t="s">
        <v>25</v>
      </c>
      <c r="AB22" s="48"/>
      <c r="AC22" s="48"/>
      <c r="AD22" s="48"/>
      <c r="AE22" s="48"/>
      <c r="AF22" s="50">
        <v>45768</v>
      </c>
      <c r="AG22" s="50"/>
      <c r="AH22" s="50"/>
      <c r="AI22" s="50"/>
      <c r="AJ22" s="50"/>
      <c r="AK22" s="47">
        <v>-576</v>
      </c>
      <c r="AL22" s="47"/>
      <c r="AM22" s="47"/>
      <c r="AN22" s="47"/>
      <c r="AO22" s="47"/>
      <c r="AP22" s="17" t="s">
        <v>23</v>
      </c>
      <c r="AQ22" s="18"/>
      <c r="AR22" s="18"/>
      <c r="AS22" s="19"/>
      <c r="AT22" s="37">
        <f t="shared" si="0"/>
        <v>11.56640625</v>
      </c>
      <c r="AU22" s="38"/>
      <c r="AV22" s="38"/>
      <c r="AW22" s="39"/>
      <c r="AX22" s="47">
        <v>-6662.25</v>
      </c>
      <c r="AY22" s="47"/>
      <c r="AZ22" s="47"/>
      <c r="BA22" s="47"/>
      <c r="BB22" s="47"/>
      <c r="BC22" s="17" t="s">
        <v>27</v>
      </c>
      <c r="BD22" s="18"/>
      <c r="BE22" s="18"/>
      <c r="BF22" s="19"/>
    </row>
    <row r="23" spans="5:58" x14ac:dyDescent="0.3">
      <c r="E23" s="49" t="s">
        <v>47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11" t="s">
        <v>24</v>
      </c>
      <c r="Q23" s="12"/>
      <c r="R23" s="12"/>
      <c r="S23" s="12"/>
      <c r="T23" s="12"/>
      <c r="U23" s="12"/>
      <c r="V23" s="12"/>
      <c r="W23" s="12"/>
      <c r="X23" s="12"/>
      <c r="Y23" s="13"/>
      <c r="Z23" s="10" t="s">
        <v>44</v>
      </c>
      <c r="AA23" s="48" t="s">
        <v>25</v>
      </c>
      <c r="AB23" s="48"/>
      <c r="AC23" s="48"/>
      <c r="AD23" s="48"/>
      <c r="AE23" s="48"/>
      <c r="AF23" s="50">
        <v>45768</v>
      </c>
      <c r="AG23" s="50"/>
      <c r="AH23" s="50"/>
      <c r="AI23" s="50"/>
      <c r="AJ23" s="50"/>
      <c r="AK23" s="47">
        <v>-2885.61</v>
      </c>
      <c r="AL23" s="47"/>
      <c r="AM23" s="47"/>
      <c r="AN23" s="47"/>
      <c r="AO23" s="47"/>
      <c r="AP23" s="17" t="s">
        <v>23</v>
      </c>
      <c r="AQ23" s="18"/>
      <c r="AR23" s="18"/>
      <c r="AS23" s="19"/>
      <c r="AT23" s="37">
        <f t="shared" si="0"/>
        <v>11.5664001718874</v>
      </c>
      <c r="AU23" s="38"/>
      <c r="AV23" s="38"/>
      <c r="AW23" s="39"/>
      <c r="AX23" s="47">
        <v>-33376.120000000003</v>
      </c>
      <c r="AY23" s="47"/>
      <c r="AZ23" s="47"/>
      <c r="BA23" s="47"/>
      <c r="BB23" s="47"/>
      <c r="BC23" s="17" t="s">
        <v>27</v>
      </c>
      <c r="BD23" s="18"/>
      <c r="BE23" s="18"/>
      <c r="BF23" s="19"/>
    </row>
    <row r="24" spans="5:58" x14ac:dyDescent="0.3">
      <c r="E24" s="49" t="s">
        <v>36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11" t="s">
        <v>49</v>
      </c>
      <c r="Q24" s="12"/>
      <c r="R24" s="12"/>
      <c r="S24" s="12"/>
      <c r="T24" s="12"/>
      <c r="U24" s="12"/>
      <c r="V24" s="12"/>
      <c r="W24" s="12"/>
      <c r="X24" s="12"/>
      <c r="Y24" s="13"/>
      <c r="Z24" s="10" t="s">
        <v>44</v>
      </c>
      <c r="AA24" s="48">
        <v>12</v>
      </c>
      <c r="AB24" s="48"/>
      <c r="AC24" s="48"/>
      <c r="AD24" s="48"/>
      <c r="AE24" s="48"/>
      <c r="AF24" s="50">
        <v>45768</v>
      </c>
      <c r="AG24" s="50"/>
      <c r="AH24" s="50"/>
      <c r="AI24" s="50"/>
      <c r="AJ24" s="50"/>
      <c r="AK24" s="47">
        <v>20600</v>
      </c>
      <c r="AL24" s="47"/>
      <c r="AM24" s="47"/>
      <c r="AN24" s="47"/>
      <c r="AO24" s="47"/>
      <c r="AP24" s="17" t="s">
        <v>23</v>
      </c>
      <c r="AQ24" s="18"/>
      <c r="AR24" s="18"/>
      <c r="AS24" s="19"/>
      <c r="AT24" s="37">
        <f t="shared" si="0"/>
        <v>11.5664</v>
      </c>
      <c r="AU24" s="38"/>
      <c r="AV24" s="38"/>
      <c r="AW24" s="39"/>
      <c r="AX24" s="47">
        <v>238267.84</v>
      </c>
      <c r="AY24" s="47"/>
      <c r="AZ24" s="47"/>
      <c r="BA24" s="47"/>
      <c r="BB24" s="47"/>
      <c r="BC24" s="17" t="s">
        <v>27</v>
      </c>
      <c r="BD24" s="18"/>
      <c r="BE24" s="18"/>
      <c r="BF24" s="19"/>
    </row>
    <row r="25" spans="5:58" x14ac:dyDescent="0.3">
      <c r="E25" s="49" t="s">
        <v>37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11" t="s">
        <v>50</v>
      </c>
      <c r="Q25" s="12"/>
      <c r="R25" s="12"/>
      <c r="S25" s="12"/>
      <c r="T25" s="12"/>
      <c r="U25" s="12"/>
      <c r="V25" s="12"/>
      <c r="W25" s="12"/>
      <c r="X25" s="12"/>
      <c r="Y25" s="13"/>
      <c r="Z25" s="10" t="s">
        <v>44</v>
      </c>
      <c r="AA25" s="48">
        <v>12</v>
      </c>
      <c r="AB25" s="48"/>
      <c r="AC25" s="48"/>
      <c r="AD25" s="48"/>
      <c r="AE25" s="48"/>
      <c r="AF25" s="50">
        <v>45770</v>
      </c>
      <c r="AG25" s="50"/>
      <c r="AH25" s="50"/>
      <c r="AI25" s="50"/>
      <c r="AJ25" s="50"/>
      <c r="AK25" s="47">
        <v>-10.87</v>
      </c>
      <c r="AL25" s="47"/>
      <c r="AM25" s="47"/>
      <c r="AN25" s="47"/>
      <c r="AO25" s="47"/>
      <c r="AP25" s="17" t="s">
        <v>23</v>
      </c>
      <c r="AQ25" s="18"/>
      <c r="AR25" s="18"/>
      <c r="AS25" s="19"/>
      <c r="AT25" s="37">
        <f t="shared" si="0"/>
        <v>11.566697332106717</v>
      </c>
      <c r="AU25" s="38"/>
      <c r="AV25" s="38"/>
      <c r="AW25" s="39"/>
      <c r="AX25" s="47">
        <v>-125.73</v>
      </c>
      <c r="AY25" s="47"/>
      <c r="AZ25" s="47"/>
      <c r="BA25" s="47"/>
      <c r="BB25" s="47"/>
      <c r="BC25" s="17" t="s">
        <v>27</v>
      </c>
      <c r="BD25" s="18"/>
      <c r="BE25" s="18"/>
      <c r="BF25" s="19"/>
    </row>
    <row r="26" spans="5:58" x14ac:dyDescent="0.3">
      <c r="E26" s="49" t="s">
        <v>38</v>
      </c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11" t="s">
        <v>48</v>
      </c>
      <c r="Q26" s="12"/>
      <c r="R26" s="12"/>
      <c r="S26" s="12"/>
      <c r="T26" s="12"/>
      <c r="U26" s="12"/>
      <c r="V26" s="12"/>
      <c r="W26" s="12"/>
      <c r="X26" s="12"/>
      <c r="Y26" s="13"/>
      <c r="Z26" s="10" t="s">
        <v>44</v>
      </c>
      <c r="AA26" s="48">
        <v>12</v>
      </c>
      <c r="AB26" s="48"/>
      <c r="AC26" s="48"/>
      <c r="AD26" s="48"/>
      <c r="AE26" s="48"/>
      <c r="AF26" s="50">
        <v>45770</v>
      </c>
      <c r="AG26" s="50"/>
      <c r="AH26" s="50"/>
      <c r="AI26" s="50"/>
      <c r="AJ26" s="50"/>
      <c r="AK26" s="47">
        <v>-9660</v>
      </c>
      <c r="AL26" s="47"/>
      <c r="AM26" s="47"/>
      <c r="AN26" s="47"/>
      <c r="AO26" s="47"/>
      <c r="AP26" s="17" t="s">
        <v>23</v>
      </c>
      <c r="AQ26" s="18"/>
      <c r="AR26" s="18"/>
      <c r="AS26" s="19"/>
      <c r="AT26" s="37">
        <f t="shared" si="0"/>
        <v>11.112300207039338</v>
      </c>
      <c r="AU26" s="38"/>
      <c r="AV26" s="38"/>
      <c r="AW26" s="39"/>
      <c r="AX26" s="47">
        <v>-107344.82</v>
      </c>
      <c r="AY26" s="47"/>
      <c r="AZ26" s="47"/>
      <c r="BA26" s="47"/>
      <c r="BB26" s="47"/>
      <c r="BC26" s="17" t="s">
        <v>27</v>
      </c>
      <c r="BD26" s="18"/>
      <c r="BE26" s="18"/>
      <c r="BF26" s="19"/>
    </row>
    <row r="27" spans="5:58" x14ac:dyDescent="0.3"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6"/>
      <c r="Q27" s="6"/>
      <c r="R27" s="6"/>
      <c r="S27" s="6"/>
      <c r="T27" s="6"/>
      <c r="U27" s="8"/>
      <c r="V27" s="8"/>
      <c r="W27" s="8"/>
      <c r="X27" s="8"/>
      <c r="Y27" s="8"/>
      <c r="Z27" s="9"/>
      <c r="AA27" s="9"/>
      <c r="AB27" s="9"/>
      <c r="AC27" s="9"/>
      <c r="AD27" s="9"/>
      <c r="AE27" s="6"/>
      <c r="AF27" s="6"/>
      <c r="AG27" s="6"/>
      <c r="AH27" s="6"/>
      <c r="AI27" s="9"/>
      <c r="AJ27" s="9"/>
      <c r="AK27" s="9"/>
      <c r="AL27" s="9"/>
      <c r="AM27" s="9"/>
      <c r="AN27" s="6"/>
      <c r="AO27" s="6"/>
      <c r="AP27" s="6"/>
      <c r="AQ27" s="6"/>
    </row>
  </sheetData>
  <mergeCells count="96">
    <mergeCell ref="BC18:BF18"/>
    <mergeCell ref="BC23:BF23"/>
    <mergeCell ref="BC19:BF19"/>
    <mergeCell ref="BC20:BF20"/>
    <mergeCell ref="BC24:BF24"/>
    <mergeCell ref="BC21:BF21"/>
    <mergeCell ref="BC22:BF22"/>
    <mergeCell ref="BC26:BF26"/>
    <mergeCell ref="E25:O25"/>
    <mergeCell ref="AA25:AE25"/>
    <mergeCell ref="AF25:AJ25"/>
    <mergeCell ref="AK25:AO25"/>
    <mergeCell ref="AP25:AS25"/>
    <mergeCell ref="AX25:BB25"/>
    <mergeCell ref="AT25:AW25"/>
    <mergeCell ref="AT26:AW26"/>
    <mergeCell ref="BC25:BF25"/>
    <mergeCell ref="E26:O26"/>
    <mergeCell ref="AA26:AE26"/>
    <mergeCell ref="AF26:AJ26"/>
    <mergeCell ref="AP26:AS26"/>
    <mergeCell ref="AK24:AO24"/>
    <mergeCell ref="AX24:BB24"/>
    <mergeCell ref="AP19:AS19"/>
    <mergeCell ref="AP20:AS20"/>
    <mergeCell ref="AP21:AS21"/>
    <mergeCell ref="AP22:AS22"/>
    <mergeCell ref="AK23:AO23"/>
    <mergeCell ref="AX23:BB23"/>
    <mergeCell ref="AP23:AS23"/>
    <mergeCell ref="AP24:AS24"/>
    <mergeCell ref="AK21:AO21"/>
    <mergeCell ref="AX21:BB21"/>
    <mergeCell ref="AK22:AO22"/>
    <mergeCell ref="AX22:BB22"/>
    <mergeCell ref="AX26:BB26"/>
    <mergeCell ref="AA19:AE19"/>
    <mergeCell ref="AA20:AE20"/>
    <mergeCell ref="AA21:AE21"/>
    <mergeCell ref="AA22:AE22"/>
    <mergeCell ref="AK26:AO26"/>
    <mergeCell ref="AF20:AJ20"/>
    <mergeCell ref="E24:O24"/>
    <mergeCell ref="AA24:AE24"/>
    <mergeCell ref="AF24:AJ24"/>
    <mergeCell ref="AF21:AJ21"/>
    <mergeCell ref="AF22:AJ22"/>
    <mergeCell ref="AF23:AJ23"/>
    <mergeCell ref="AT19:AW19"/>
    <mergeCell ref="AT20:AW20"/>
    <mergeCell ref="AT21:AW21"/>
    <mergeCell ref="AT23:AW23"/>
    <mergeCell ref="AT24:AW24"/>
    <mergeCell ref="AT22:AW22"/>
    <mergeCell ref="AF18:AJ18"/>
    <mergeCell ref="AX18:BB18"/>
    <mergeCell ref="E18:O18"/>
    <mergeCell ref="G16:L16"/>
    <mergeCell ref="S16:X16"/>
    <mergeCell ref="AD16:AI16"/>
    <mergeCell ref="AK18:AO18"/>
    <mergeCell ref="AT18:AW18"/>
    <mergeCell ref="AK20:AO20"/>
    <mergeCell ref="AX20:BB20"/>
    <mergeCell ref="AP18:AS18"/>
    <mergeCell ref="AK19:AO19"/>
    <mergeCell ref="AA18:AE18"/>
    <mergeCell ref="P18:Z18"/>
    <mergeCell ref="AX19:BB19"/>
    <mergeCell ref="BV4:CA4"/>
    <mergeCell ref="E7:CB8"/>
    <mergeCell ref="E12:J12"/>
    <mergeCell ref="K12:P12"/>
    <mergeCell ref="Q12:V12"/>
    <mergeCell ref="F4:J4"/>
    <mergeCell ref="M4:P4"/>
    <mergeCell ref="V4:Y4"/>
    <mergeCell ref="AG4:AL4"/>
    <mergeCell ref="AT4:AY4"/>
    <mergeCell ref="BG4:BO4"/>
    <mergeCell ref="P23:Y23"/>
    <mergeCell ref="P24:Y24"/>
    <mergeCell ref="P25:Y25"/>
    <mergeCell ref="P26:Y26"/>
    <mergeCell ref="J14:AG14"/>
    <mergeCell ref="P19:Y19"/>
    <mergeCell ref="P20:Y20"/>
    <mergeCell ref="P21:Y21"/>
    <mergeCell ref="P22:Y22"/>
    <mergeCell ref="AA23:AE23"/>
    <mergeCell ref="E23:O23"/>
    <mergeCell ref="E19:O19"/>
    <mergeCell ref="E20:O20"/>
    <mergeCell ref="E21:O21"/>
    <mergeCell ref="E22:O22"/>
    <mergeCell ref="AF19:AJ1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4:CB18"/>
  <sheetViews>
    <sheetView zoomScale="70" zoomScaleNormal="70" workbookViewId="0">
      <selection activeCell="R25" sqref="R25"/>
    </sheetView>
  </sheetViews>
  <sheetFormatPr defaultColWidth="3.33203125" defaultRowHeight="14.4" x14ac:dyDescent="0.3"/>
  <cols>
    <col min="18" max="19" width="3.33203125" customWidth="1"/>
  </cols>
  <sheetData>
    <row r="4" spans="5:80" x14ac:dyDescent="0.3">
      <c r="E4" t="s">
        <v>5</v>
      </c>
      <c r="F4" s="11"/>
      <c r="G4" s="12"/>
      <c r="H4" s="12"/>
      <c r="I4" s="12"/>
      <c r="J4" s="13"/>
      <c r="L4" t="s">
        <v>7</v>
      </c>
      <c r="M4" s="31">
        <v>45770</v>
      </c>
      <c r="N4" s="32"/>
      <c r="O4" s="32"/>
      <c r="P4" s="33"/>
      <c r="Q4" s="1"/>
      <c r="S4" s="4" t="s">
        <v>8</v>
      </c>
      <c r="V4" s="31">
        <v>45770</v>
      </c>
      <c r="W4" s="32"/>
      <c r="X4" s="32"/>
      <c r="Y4" s="33"/>
      <c r="Z4" s="1"/>
      <c r="AB4" t="s">
        <v>4</v>
      </c>
      <c r="AG4" s="11" t="s">
        <v>43</v>
      </c>
      <c r="AH4" s="12"/>
      <c r="AI4" s="12"/>
      <c r="AJ4" s="12"/>
      <c r="AK4" s="12"/>
      <c r="AL4" s="13"/>
      <c r="AM4" s="5" t="s">
        <v>2</v>
      </c>
      <c r="AN4" s="3" t="s">
        <v>1</v>
      </c>
      <c r="AP4" t="s">
        <v>3</v>
      </c>
      <c r="AT4" s="34" t="s">
        <v>46</v>
      </c>
      <c r="AU4" s="35"/>
      <c r="AV4" s="35"/>
      <c r="AW4" s="35"/>
      <c r="AX4" s="35"/>
      <c r="AY4" s="36"/>
      <c r="AZ4" s="3" t="s">
        <v>0</v>
      </c>
      <c r="BB4" t="s">
        <v>9</v>
      </c>
      <c r="BG4" s="17" t="s">
        <v>42</v>
      </c>
      <c r="BH4" s="18"/>
      <c r="BI4" s="18"/>
      <c r="BJ4" s="18"/>
      <c r="BK4" s="18"/>
      <c r="BL4" s="18"/>
      <c r="BM4" s="18"/>
      <c r="BN4" s="18"/>
      <c r="BO4" s="19"/>
      <c r="BP4" s="3" t="s">
        <v>0</v>
      </c>
      <c r="BR4" t="s">
        <v>10</v>
      </c>
      <c r="BV4" s="17" t="s">
        <v>52</v>
      </c>
      <c r="BW4" s="18"/>
      <c r="BX4" s="18"/>
      <c r="BY4" s="18"/>
      <c r="BZ4" s="18"/>
      <c r="CA4" s="19"/>
      <c r="CB4" s="3" t="s">
        <v>0</v>
      </c>
    </row>
    <row r="5" spans="5:80" ht="4.5" customHeight="1" x14ac:dyDescent="0.3"/>
    <row r="6" spans="5:80" x14ac:dyDescent="0.3">
      <c r="E6" t="s">
        <v>6</v>
      </c>
    </row>
    <row r="7" spans="5:80" x14ac:dyDescent="0.3">
      <c r="E7" s="20" t="s">
        <v>45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2"/>
    </row>
    <row r="8" spans="5:80" x14ac:dyDescent="0.3"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5"/>
    </row>
    <row r="9" spans="5:80" ht="3" customHeight="1" x14ac:dyDescent="0.3">
      <c r="I9" s="2"/>
      <c r="J9" s="2"/>
      <c r="K9" s="2"/>
      <c r="L9" s="2"/>
      <c r="M9" s="2"/>
      <c r="N9" s="2"/>
      <c r="O9" s="2"/>
      <c r="P9" s="2"/>
      <c r="Q9" s="2"/>
      <c r="R9" s="2"/>
    </row>
    <row r="10" spans="5:80" ht="15.6" customHeight="1" x14ac:dyDescent="0.3"/>
    <row r="11" spans="5:80" ht="15" thickBot="1" x14ac:dyDescent="0.35"/>
    <row r="12" spans="5:80" x14ac:dyDescent="0.3">
      <c r="E12" s="29" t="s">
        <v>19</v>
      </c>
      <c r="F12" s="29"/>
      <c r="G12" s="29"/>
      <c r="H12" s="29"/>
      <c r="I12" s="29"/>
      <c r="J12" s="30"/>
      <c r="K12" s="26" t="s">
        <v>11</v>
      </c>
      <c r="L12" s="27"/>
      <c r="M12" s="27"/>
      <c r="N12" s="27"/>
      <c r="O12" s="27"/>
      <c r="P12" s="28"/>
      <c r="Q12" s="29" t="s">
        <v>12</v>
      </c>
      <c r="R12" s="29"/>
      <c r="S12" s="29"/>
      <c r="T12" s="29"/>
      <c r="U12" s="29"/>
      <c r="V12" s="30"/>
    </row>
    <row r="14" spans="5:80" x14ac:dyDescent="0.3"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 t="s">
        <v>32</v>
      </c>
      <c r="S14" s="40"/>
      <c r="T14" s="40"/>
      <c r="U14" s="40"/>
      <c r="V14" s="40"/>
      <c r="W14" s="40"/>
      <c r="X14" s="40"/>
      <c r="Y14" s="40"/>
      <c r="Z14" s="40"/>
      <c r="AA14" s="40"/>
      <c r="AB14" s="40" t="s">
        <v>33</v>
      </c>
      <c r="AC14" s="40"/>
      <c r="AD14" s="40"/>
      <c r="AE14" s="40"/>
      <c r="AF14" s="40"/>
      <c r="AG14" s="40"/>
      <c r="AH14" s="40"/>
      <c r="AI14" s="40"/>
      <c r="AJ14" s="40"/>
      <c r="AK14" s="40"/>
      <c r="AL14" s="40" t="s">
        <v>34</v>
      </c>
      <c r="AM14" s="40"/>
      <c r="AN14" s="40"/>
      <c r="AO14" s="40"/>
      <c r="AP14" s="40"/>
      <c r="AQ14" s="40"/>
      <c r="AR14" s="40"/>
      <c r="AS14" s="40"/>
      <c r="AT14" s="40"/>
      <c r="AU14" s="40"/>
      <c r="AV14" s="40" t="s">
        <v>35</v>
      </c>
      <c r="AW14" s="40"/>
      <c r="AX14" s="40"/>
      <c r="AY14" s="40"/>
      <c r="AZ14" s="40"/>
      <c r="BA14" s="40"/>
      <c r="BB14" s="40"/>
      <c r="BC14" s="40"/>
      <c r="BD14" s="40"/>
      <c r="BE14" s="40"/>
    </row>
    <row r="15" spans="5:80" x14ac:dyDescent="0.3">
      <c r="E15" s="40" t="s">
        <v>28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 t="s">
        <v>16</v>
      </c>
      <c r="S15" s="40"/>
      <c r="T15" s="40"/>
      <c r="U15" s="40"/>
      <c r="V15" s="40" t="s">
        <v>29</v>
      </c>
      <c r="W15" s="40"/>
      <c r="X15" s="40"/>
      <c r="Y15" s="40"/>
      <c r="Z15" s="40"/>
      <c r="AA15" s="40"/>
      <c r="AB15" s="40" t="s">
        <v>16</v>
      </c>
      <c r="AC15" s="40"/>
      <c r="AD15" s="40"/>
      <c r="AE15" s="40"/>
      <c r="AF15" s="40" t="s">
        <v>29</v>
      </c>
      <c r="AG15" s="40"/>
      <c r="AH15" s="40"/>
      <c r="AI15" s="40"/>
      <c r="AJ15" s="40"/>
      <c r="AK15" s="40"/>
      <c r="AL15" s="40" t="s">
        <v>16</v>
      </c>
      <c r="AM15" s="40"/>
      <c r="AN15" s="40"/>
      <c r="AO15" s="40"/>
      <c r="AP15" s="40" t="s">
        <v>29</v>
      </c>
      <c r="AQ15" s="40"/>
      <c r="AR15" s="40"/>
      <c r="AS15" s="40"/>
      <c r="AT15" s="40"/>
      <c r="AU15" s="40"/>
      <c r="AV15" s="40" t="s">
        <v>16</v>
      </c>
      <c r="AW15" s="40"/>
      <c r="AX15" s="40"/>
      <c r="AY15" s="40"/>
      <c r="AZ15" s="40" t="s">
        <v>29</v>
      </c>
      <c r="BA15" s="40"/>
      <c r="BB15" s="40"/>
      <c r="BC15" s="40"/>
      <c r="BD15" s="40"/>
      <c r="BE15" s="40"/>
    </row>
    <row r="16" spans="5:80" x14ac:dyDescent="0.3">
      <c r="E16" s="48" t="s">
        <v>30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>
        <v>9123590000</v>
      </c>
      <c r="S16" s="48"/>
      <c r="T16" s="48"/>
      <c r="U16" s="48"/>
      <c r="V16" s="51"/>
      <c r="W16" s="51"/>
      <c r="X16" s="51"/>
      <c r="Y16" s="51"/>
      <c r="Z16" s="51"/>
      <c r="AA16" s="51"/>
      <c r="AB16" s="48"/>
      <c r="AC16" s="48"/>
      <c r="AD16" s="48"/>
      <c r="AE16" s="48"/>
      <c r="AF16" s="51"/>
      <c r="AG16" s="51"/>
      <c r="AH16" s="51"/>
      <c r="AI16" s="51"/>
      <c r="AJ16" s="51"/>
      <c r="AK16" s="51"/>
      <c r="AL16" s="48"/>
      <c r="AM16" s="48"/>
      <c r="AN16" s="48"/>
      <c r="AO16" s="48"/>
      <c r="AP16" s="51"/>
      <c r="AQ16" s="51"/>
      <c r="AR16" s="51"/>
      <c r="AS16" s="51"/>
      <c r="AT16" s="51"/>
      <c r="AU16" s="51"/>
      <c r="AV16" s="48"/>
      <c r="AW16" s="48"/>
      <c r="AX16" s="48"/>
      <c r="AY16" s="48"/>
      <c r="AZ16" s="51"/>
      <c r="BA16" s="51"/>
      <c r="BB16" s="51"/>
      <c r="BC16" s="51"/>
      <c r="BD16" s="51"/>
      <c r="BE16" s="51"/>
    </row>
    <row r="17" spans="5:57" x14ac:dyDescent="0.3">
      <c r="E17" s="48" t="s">
        <v>31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>
        <v>9145210000</v>
      </c>
      <c r="S17" s="48"/>
      <c r="T17" s="48"/>
      <c r="U17" s="48"/>
      <c r="V17" s="51"/>
      <c r="W17" s="51"/>
      <c r="X17" s="51"/>
      <c r="Y17" s="51"/>
      <c r="Z17" s="51"/>
      <c r="AA17" s="51"/>
      <c r="AB17" s="48"/>
      <c r="AC17" s="48"/>
      <c r="AD17" s="48"/>
      <c r="AE17" s="48"/>
      <c r="AF17" s="51"/>
      <c r="AG17" s="51"/>
      <c r="AH17" s="51"/>
      <c r="AI17" s="51"/>
      <c r="AJ17" s="51"/>
      <c r="AK17" s="51"/>
      <c r="AL17" s="48"/>
      <c r="AM17" s="48"/>
      <c r="AN17" s="48"/>
      <c r="AO17" s="48"/>
      <c r="AP17" s="51"/>
      <c r="AQ17" s="51"/>
      <c r="AR17" s="51"/>
      <c r="AS17" s="51"/>
      <c r="AT17" s="51"/>
      <c r="AU17" s="51"/>
      <c r="AV17" s="48"/>
      <c r="AW17" s="48"/>
      <c r="AX17" s="48"/>
      <c r="AY17" s="48"/>
      <c r="AZ17" s="51"/>
      <c r="BA17" s="51"/>
      <c r="BB17" s="51"/>
      <c r="BC17" s="51"/>
      <c r="BD17" s="51"/>
      <c r="BE17" s="51"/>
    </row>
    <row r="18" spans="5:57" x14ac:dyDescent="0.3">
      <c r="E18" s="48" t="s">
        <v>51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>
        <v>7101020000</v>
      </c>
      <c r="S18" s="48"/>
      <c r="T18" s="48"/>
      <c r="U18" s="48"/>
      <c r="V18" s="51"/>
      <c r="W18" s="51"/>
      <c r="X18" s="51"/>
      <c r="Y18" s="51"/>
      <c r="Z18" s="51"/>
      <c r="AA18" s="51"/>
      <c r="AB18" s="48"/>
      <c r="AC18" s="48"/>
      <c r="AD18" s="48"/>
      <c r="AE18" s="48"/>
      <c r="AF18" s="51"/>
      <c r="AG18" s="51"/>
      <c r="AH18" s="51"/>
      <c r="AI18" s="51"/>
      <c r="AJ18" s="51"/>
      <c r="AK18" s="51"/>
      <c r="AL18" s="48"/>
      <c r="AM18" s="48"/>
      <c r="AN18" s="48"/>
      <c r="AO18" s="48"/>
      <c r="AP18" s="51"/>
      <c r="AQ18" s="51"/>
      <c r="AR18" s="51"/>
      <c r="AS18" s="51"/>
      <c r="AT18" s="51"/>
      <c r="AU18" s="51"/>
      <c r="AV18" s="48"/>
      <c r="AW18" s="48"/>
      <c r="AX18" s="48"/>
      <c r="AY18" s="48"/>
      <c r="AZ18" s="51"/>
      <c r="BA18" s="51"/>
      <c r="BB18" s="51"/>
      <c r="BC18" s="51"/>
      <c r="BD18" s="51"/>
      <c r="BE18" s="51"/>
    </row>
  </sheetData>
  <mergeCells count="52">
    <mergeCell ref="E14:Q14"/>
    <mergeCell ref="AV14:BE14"/>
    <mergeCell ref="AV15:AY15"/>
    <mergeCell ref="AZ15:BE15"/>
    <mergeCell ref="AV16:AY16"/>
    <mergeCell ref="AZ16:BE16"/>
    <mergeCell ref="R14:AA14"/>
    <mergeCell ref="E16:Q16"/>
    <mergeCell ref="E15:Q15"/>
    <mergeCell ref="R16:U16"/>
    <mergeCell ref="AV17:AY17"/>
    <mergeCell ref="AZ17:BE17"/>
    <mergeCell ref="AB17:AE17"/>
    <mergeCell ref="AF17:AK17"/>
    <mergeCell ref="AL14:AU14"/>
    <mergeCell ref="AL15:AO15"/>
    <mergeCell ref="AP15:AU15"/>
    <mergeCell ref="AL16:AO16"/>
    <mergeCell ref="AP16:AU16"/>
    <mergeCell ref="AL17:AO17"/>
    <mergeCell ref="AP17:AU17"/>
    <mergeCell ref="AB14:AK14"/>
    <mergeCell ref="AB15:AE15"/>
    <mergeCell ref="AF15:AK15"/>
    <mergeCell ref="AB16:AE16"/>
    <mergeCell ref="AF16:AK16"/>
    <mergeCell ref="R17:U17"/>
    <mergeCell ref="E17:Q17"/>
    <mergeCell ref="R15:U15"/>
    <mergeCell ref="V15:AA15"/>
    <mergeCell ref="V16:AA16"/>
    <mergeCell ref="V17:AA17"/>
    <mergeCell ref="BV4:CA4"/>
    <mergeCell ref="E7:CB8"/>
    <mergeCell ref="E12:J12"/>
    <mergeCell ref="K12:P12"/>
    <mergeCell ref="Q12:V12"/>
    <mergeCell ref="F4:J4"/>
    <mergeCell ref="M4:P4"/>
    <mergeCell ref="V4:Y4"/>
    <mergeCell ref="AG4:AL4"/>
    <mergeCell ref="AT4:AY4"/>
    <mergeCell ref="BG4:BO4"/>
    <mergeCell ref="AL18:AO18"/>
    <mergeCell ref="AP18:AU18"/>
    <mergeCell ref="AV18:AY18"/>
    <mergeCell ref="AZ18:BE18"/>
    <mergeCell ref="E18:Q18"/>
    <mergeCell ref="R18:U18"/>
    <mergeCell ref="V18:AA18"/>
    <mergeCell ref="AB18:AE18"/>
    <mergeCell ref="AF18:AK1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0EAC70B7623FC4DAD9C640F34EB3AB7" ma:contentTypeVersion="1" ma:contentTypeDescription="Создание документа." ma:contentTypeScope="" ma:versionID="3570061a223aa98b335b138e76e9700c">
  <xsd:schema xmlns:xsd="http://www.w3.org/2001/XMLSchema" xmlns:xs="http://www.w3.org/2001/XMLSchema" xmlns:p="http://schemas.microsoft.com/office/2006/metadata/properties" xmlns:ns2="http://schemas.microsoft.com/sharepoint/v3/fields" targetNamespace="http://schemas.microsoft.com/office/2006/metadata/properties" ma:root="true" ma:fieldsID="70ec0fd295a60ceac0e99bf4f2029195" ns2:_=""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8" nillable="true" ma:displayName="Версия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439F0E-59D6-4654-8399-C82CF707A079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</ds:schemaRefs>
</ds:datastoreItem>
</file>

<file path=customXml/itemProps2.xml><?xml version="1.0" encoding="utf-8"?>
<ds:datastoreItem xmlns:ds="http://schemas.openxmlformats.org/officeDocument/2006/customXml" ds:itemID="{4930C386-D271-4628-9A9E-E4D3F4903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54888-F04D-4ADF-B82E-DC73B6D54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Визуал 1 вкл</vt:lpstr>
      <vt:lpstr>Визуал 2 вкл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Лилия Речаповна</dc:creator>
  <cp:lastModifiedBy>Popova, Liliya</cp:lastModifiedBy>
  <dcterms:created xsi:type="dcterms:W3CDTF">2025-07-01T07:20:45Z</dcterms:created>
  <dcterms:modified xsi:type="dcterms:W3CDTF">2025-11-17T12:59:23Z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0x010100B0EAC70B7623FC4DAD9C640F34EB3AB7</vt:lpwstr>
  </property>
</Properties>
</file>