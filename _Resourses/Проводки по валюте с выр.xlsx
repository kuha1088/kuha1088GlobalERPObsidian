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2"/>
  <workbookPr/>
  <mc:AlternateContent xmlns:mc="http://schemas.openxmlformats.org/markup-compatibility/2006">
    <mc:Choice Requires="x15">
      <x15ac:absPath xmlns:x15ac="http://schemas.microsoft.com/office/spreadsheetml/2010/11/ac" url="C:\Users\PopovaLi\Desktop\Терралинк\Рабочий процесс\Проект СНГ\Мои доки\АО в ин валюте\"/>
    </mc:Choice>
  </mc:AlternateContent>
  <xr:revisionPtr revIDLastSave="0" documentId="8_{050D9462-1FF0-4A16-A60F-6165BC019BBF}" xr6:coauthVersionLast="36" xr6:coauthVersionMax="36" xr10:uidLastSave="{00000000-0000-0000-0000-000000000000}"/>
  <bookViews>
    <workbookView xWindow="0" yWindow="0" windowWidth="28800" windowHeight="12300" activeTab="1" xr2:uid="{00000000-000D-0000-FFFF-FFFF00000000}"/>
  </bookViews>
  <sheets>
    <sheet name="Отрицат КР" sheetId="1" r:id="rId1"/>
    <sheet name="Положит КР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4" i="2" l="1"/>
  <c r="L3" i="2"/>
  <c r="L2" i="2"/>
  <c r="L1" i="2"/>
  <c r="H23" i="2"/>
  <c r="G23" i="2"/>
  <c r="L3" i="1"/>
  <c r="H23" i="1" l="1"/>
  <c r="G23" i="1"/>
  <c r="L1" i="1" s="1"/>
  <c r="L2" i="1" l="1"/>
  <c r="L4" i="1"/>
  <c r="H17" i="1"/>
  <c r="H16" i="1"/>
  <c r="H15" i="1"/>
</calcChain>
</file>

<file path=xl/sharedStrings.xml><?xml version="1.0" encoding="utf-8"?>
<sst xmlns="http://schemas.openxmlformats.org/spreadsheetml/2006/main" count="95" uniqueCount="37">
  <si>
    <t>Документ</t>
  </si>
  <si>
    <t>Дебет</t>
  </si>
  <si>
    <t>Кредит</t>
  </si>
  <si>
    <t>Сумма в вал</t>
  </si>
  <si>
    <t>Сумма НВ</t>
  </si>
  <si>
    <t>Курс</t>
  </si>
  <si>
    <t>Валюта</t>
  </si>
  <si>
    <t>Дата</t>
  </si>
  <si>
    <t>CNY</t>
  </si>
  <si>
    <t>РКО 01030015</t>
  </si>
  <si>
    <t>041/Суточные в валюте/Тараски</t>
  </si>
  <si>
    <t>002/Счет (проживание)/Тараски</t>
  </si>
  <si>
    <t>RUB</t>
  </si>
  <si>
    <t>049/Билет без НДС/Тараскин М.</t>
  </si>
  <si>
    <t>046/Электронный билет НДС 20%</t>
  </si>
  <si>
    <t>ПКО 01030015</t>
  </si>
  <si>
    <t>Проверка на полноту сумм по валюте</t>
  </si>
  <si>
    <t>РКО 01030026</t>
  </si>
  <si>
    <t>041/Суточные в валюте/Насрутд</t>
  </si>
  <si>
    <t>002/Счет (проживание)/Насрутд</t>
  </si>
  <si>
    <t>008/Электронный билет/Насрутд</t>
  </si>
  <si>
    <t>возврат</t>
  </si>
  <si>
    <t>ПКО 01030022</t>
  </si>
  <si>
    <t>Текст</t>
  </si>
  <si>
    <t>Документы расходов</t>
  </si>
  <si>
    <t>Документы по покупке авиабилетов через стороннюю компанию</t>
  </si>
  <si>
    <t>Выравнивание документов, отражение курсовой разницы</t>
  </si>
  <si>
    <t>Зачет РКО 500000637</t>
  </si>
  <si>
    <t>-</t>
  </si>
  <si>
    <t>Денежные документы - Авансы</t>
  </si>
  <si>
    <t>Денежные документы - Возвраты</t>
  </si>
  <si>
    <t>в счет ЗП возмещение</t>
  </si>
  <si>
    <t>Курсовая разница</t>
  </si>
  <si>
    <t>документ для выравнивания</t>
  </si>
  <si>
    <t>Проверка на полноту сумм в рублях:</t>
  </si>
  <si>
    <t>Зачет РКО 500001326</t>
  </si>
  <si>
    <t>700427386 документ с переносом суммы на СП 79/7102000501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</si>
</sst>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_₽"/>
  </numFmts>
  <fonts count="6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 tint="-0.249977111117893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/>
    <xf numFmtId="4" fontId="1" fillId="0" borderId="0" xfId="0" applyNumberFormat="1" applyFont="1"/>
    <xf numFmtId="0" fontId="0" fillId="2" borderId="1" xfId="0" applyFill="1" applyBorder="1"/>
    <xf numFmtId="14" fontId="0" fillId="2" borderId="1" xfId="0" applyNumberFormat="1" applyFill="1" applyBorder="1"/>
    <xf numFmtId="164" fontId="0" fillId="2" borderId="1" xfId="0" applyNumberFormat="1" applyFill="1" applyBorder="1"/>
    <xf numFmtId="0" fontId="0" fillId="3" borderId="1" xfId="0" applyFill="1" applyBorder="1"/>
    <xf numFmtId="14" fontId="0" fillId="3" borderId="1" xfId="0" applyNumberFormat="1" applyFill="1" applyBorder="1"/>
    <xf numFmtId="164" fontId="0" fillId="3" borderId="1" xfId="0" applyNumberFormat="1" applyFill="1" applyBorder="1"/>
    <xf numFmtId="0" fontId="0" fillId="4" borderId="1" xfId="0" applyFill="1" applyBorder="1"/>
    <xf numFmtId="164" fontId="0" fillId="4" borderId="1" xfId="0" applyNumberFormat="1" applyFill="1" applyBorder="1"/>
    <xf numFmtId="0" fontId="2" fillId="0" borderId="1" xfId="0" applyFont="1" applyBorder="1" applyAlignment="1">
      <alignment vertical="center"/>
    </xf>
    <xf numFmtId="14" fontId="2" fillId="0" borderId="1" xfId="0" applyNumberFormat="1" applyFont="1" applyBorder="1" applyAlignment="1">
      <alignment vertical="center"/>
    </xf>
    <xf numFmtId="0" fontId="2" fillId="0" borderId="1" xfId="0" applyFont="1" applyBorder="1"/>
    <xf numFmtId="164" fontId="2" fillId="0" borderId="1" xfId="0" applyNumberFormat="1" applyFont="1" applyBorder="1"/>
    <xf numFmtId="0" fontId="3" fillId="4" borderId="1" xfId="0" applyFont="1" applyFill="1" applyBorder="1"/>
    <xf numFmtId="0" fontId="1" fillId="5" borderId="1" xfId="0" applyFont="1" applyFill="1" applyBorder="1"/>
    <xf numFmtId="14" fontId="1" fillId="5" borderId="1" xfId="0" applyNumberFormat="1" applyFont="1" applyFill="1" applyBorder="1"/>
    <xf numFmtId="164" fontId="1" fillId="5" borderId="1" xfId="0" applyNumberFormat="1" applyFont="1" applyFill="1" applyBorder="1"/>
    <xf numFmtId="0" fontId="0" fillId="5" borderId="1" xfId="0" applyFill="1" applyBorder="1"/>
    <xf numFmtId="0" fontId="0" fillId="2" borderId="1" xfId="0" applyFont="1" applyFill="1" applyBorder="1"/>
    <xf numFmtId="14" fontId="0" fillId="2" borderId="1" xfId="0" applyNumberFormat="1" applyFont="1" applyFill="1" applyBorder="1"/>
    <xf numFmtId="0" fontId="0" fillId="0" borderId="1" xfId="0" applyFont="1" applyBorder="1"/>
    <xf numFmtId="164" fontId="0" fillId="2" borderId="1" xfId="0" applyNumberFormat="1" applyFont="1" applyFill="1" applyBorder="1"/>
    <xf numFmtId="0" fontId="0" fillId="4" borderId="1" xfId="0" applyFont="1" applyFill="1" applyBorder="1"/>
    <xf numFmtId="14" fontId="0" fillId="4" borderId="1" xfId="0" applyNumberFormat="1" applyFont="1" applyFill="1" applyBorder="1"/>
    <xf numFmtId="164" fontId="0" fillId="4" borderId="1" xfId="0" applyNumberFormat="1" applyFont="1" applyFill="1" applyBorder="1"/>
    <xf numFmtId="0" fontId="0" fillId="3" borderId="1" xfId="0" applyFont="1" applyFill="1" applyBorder="1"/>
    <xf numFmtId="14" fontId="0" fillId="3" borderId="1" xfId="0" applyNumberFormat="1" applyFont="1" applyFill="1" applyBorder="1"/>
    <xf numFmtId="164" fontId="0" fillId="3" borderId="1" xfId="0" applyNumberFormat="1" applyFont="1" applyFill="1" applyBorder="1"/>
    <xf numFmtId="0" fontId="4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14" fontId="0" fillId="4" borderId="2" xfId="0" applyNumberFormat="1" applyFill="1" applyBorder="1" applyAlignment="1">
      <alignment horizontal="center" vertical="center"/>
    </xf>
    <xf numFmtId="14" fontId="0" fillId="4" borderId="3" xfId="0" applyNumberFormat="1" applyFill="1" applyBorder="1" applyAlignment="1">
      <alignment horizontal="center" vertical="center"/>
    </xf>
    <xf numFmtId="14" fontId="0" fillId="4" borderId="4" xfId="0" applyNumberForma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5" fillId="0" borderId="3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"/>
  <sheetViews>
    <sheetView zoomScale="85" zoomScaleNormal="85" workbookViewId="0">
      <selection activeCell="I30" sqref="I30"/>
    </sheetView>
  </sheetViews>
  <sheetFormatPr defaultRowHeight="14.4" x14ac:dyDescent="0.3"/>
  <cols>
    <col min="1" max="1" width="12.33203125" bestFit="1" customWidth="1"/>
    <col min="2" max="2" width="11" customWidth="1"/>
    <col min="3" max="4" width="12.33203125" bestFit="1" customWidth="1"/>
    <col min="7" max="7" width="15.5546875" style="2" bestFit="1" customWidth="1"/>
    <col min="8" max="8" width="12.6640625" style="2" bestFit="1" customWidth="1"/>
    <col min="9" max="9" width="36" customWidth="1"/>
    <col min="11" max="11" width="36.33203125" bestFit="1" customWidth="1"/>
    <col min="12" max="12" width="12.88671875" customWidth="1"/>
  </cols>
  <sheetData>
    <row r="1" spans="1:12" ht="18" x14ac:dyDescent="0.35">
      <c r="A1" s="33" t="s">
        <v>0</v>
      </c>
      <c r="B1" s="33" t="s">
        <v>7</v>
      </c>
      <c r="C1" s="33" t="s">
        <v>1</v>
      </c>
      <c r="D1" s="33" t="s">
        <v>2</v>
      </c>
      <c r="E1" s="33" t="s">
        <v>6</v>
      </c>
      <c r="F1" s="33" t="s">
        <v>5</v>
      </c>
      <c r="G1" s="34" t="s">
        <v>3</v>
      </c>
      <c r="H1" s="34" t="s">
        <v>4</v>
      </c>
      <c r="I1" s="33" t="s">
        <v>23</v>
      </c>
      <c r="J1" s="3"/>
      <c r="K1" s="4" t="s">
        <v>16</v>
      </c>
      <c r="L1" s="5">
        <f>G4-(SUM(G9:G13))-G7-G6-G23</f>
        <v>-1.8189894035458565E-12</v>
      </c>
    </row>
    <row r="2" spans="1:12" x14ac:dyDescent="0.3">
      <c r="A2" s="35" t="s">
        <v>29</v>
      </c>
      <c r="B2" s="35"/>
      <c r="C2" s="35"/>
      <c r="D2" s="35"/>
      <c r="E2" s="35"/>
      <c r="F2" s="35"/>
      <c r="G2" s="35"/>
      <c r="H2" s="35"/>
      <c r="I2" s="35"/>
      <c r="K2" s="4" t="s">
        <v>34</v>
      </c>
      <c r="L2" s="5">
        <f>H3-H6-H7-H9-H10-H11-H12-H13-H23</f>
        <v>-2.5465851649641991E-11</v>
      </c>
    </row>
    <row r="3" spans="1:12" x14ac:dyDescent="0.3">
      <c r="A3" s="6">
        <v>500000637</v>
      </c>
      <c r="B3" s="7">
        <v>45756</v>
      </c>
      <c r="C3" s="6">
        <v>7102000003</v>
      </c>
      <c r="D3" s="6">
        <v>5025000000</v>
      </c>
      <c r="E3" s="6" t="s">
        <v>8</v>
      </c>
      <c r="F3" s="6">
        <v>11.5664</v>
      </c>
      <c r="G3" s="8">
        <v>20600</v>
      </c>
      <c r="H3" s="8">
        <v>238267.84</v>
      </c>
      <c r="I3" s="6" t="s">
        <v>9</v>
      </c>
      <c r="K3" s="4">
        <v>7102000003</v>
      </c>
      <c r="L3" s="5">
        <f>H3-H4</f>
        <v>0</v>
      </c>
    </row>
    <row r="4" spans="1:12" x14ac:dyDescent="0.3">
      <c r="A4" s="6">
        <v>7100009758</v>
      </c>
      <c r="B4" s="7">
        <v>45768</v>
      </c>
      <c r="C4" s="6">
        <v>7102000000</v>
      </c>
      <c r="D4" s="6">
        <v>7102000003</v>
      </c>
      <c r="E4" s="6" t="s">
        <v>8</v>
      </c>
      <c r="F4" s="6">
        <v>11.5664</v>
      </c>
      <c r="G4" s="8">
        <v>20600</v>
      </c>
      <c r="H4" s="8">
        <v>238267.84</v>
      </c>
      <c r="I4" s="6" t="s">
        <v>27</v>
      </c>
      <c r="K4" s="4">
        <v>7102000000</v>
      </c>
      <c r="L4" s="5">
        <f>H4-H6-H7-H9-H10-H11-H12-H13-H23</f>
        <v>-2.5465851649641991E-11</v>
      </c>
    </row>
    <row r="5" spans="1:12" x14ac:dyDescent="0.3">
      <c r="A5" s="35" t="s">
        <v>30</v>
      </c>
      <c r="B5" s="35"/>
      <c r="C5" s="35"/>
      <c r="D5" s="35"/>
      <c r="E5" s="35"/>
      <c r="F5" s="35"/>
      <c r="G5" s="35"/>
      <c r="H5" s="35"/>
      <c r="I5" s="35"/>
    </row>
    <row r="6" spans="1:12" x14ac:dyDescent="0.3">
      <c r="A6" s="9">
        <v>7100009759</v>
      </c>
      <c r="B6" s="10">
        <v>45768</v>
      </c>
      <c r="C6" s="9">
        <v>7000000000</v>
      </c>
      <c r="D6" s="9">
        <v>7102000000</v>
      </c>
      <c r="E6" s="9" t="s">
        <v>8</v>
      </c>
      <c r="F6" s="9">
        <v>11.5664</v>
      </c>
      <c r="G6" s="11">
        <v>10.87</v>
      </c>
      <c r="H6" s="11">
        <v>125.73</v>
      </c>
      <c r="I6" s="9" t="s">
        <v>31</v>
      </c>
    </row>
    <row r="7" spans="1:12" x14ac:dyDescent="0.3">
      <c r="A7" s="9">
        <v>400015213</v>
      </c>
      <c r="B7" s="10">
        <v>45770</v>
      </c>
      <c r="C7" s="9">
        <v>5025000000</v>
      </c>
      <c r="D7" s="9">
        <v>7102000000</v>
      </c>
      <c r="E7" s="9" t="s">
        <v>8</v>
      </c>
      <c r="F7" s="9">
        <v>11.112299999999999</v>
      </c>
      <c r="G7" s="11">
        <v>9660</v>
      </c>
      <c r="H7" s="11">
        <v>107344.82</v>
      </c>
      <c r="I7" s="9" t="s">
        <v>15</v>
      </c>
      <c r="K7" s="4"/>
      <c r="L7" s="5"/>
    </row>
    <row r="8" spans="1:12" x14ac:dyDescent="0.3">
      <c r="A8" s="35" t="s">
        <v>24</v>
      </c>
      <c r="B8" s="35"/>
      <c r="C8" s="35"/>
      <c r="D8" s="35"/>
      <c r="E8" s="35"/>
      <c r="F8" s="35"/>
      <c r="G8" s="35"/>
      <c r="H8" s="35"/>
      <c r="I8" s="35"/>
    </row>
    <row r="9" spans="1:12" x14ac:dyDescent="0.3">
      <c r="A9" s="36">
        <v>7100009702</v>
      </c>
      <c r="B9" s="37">
        <v>45768</v>
      </c>
      <c r="C9" s="12">
        <v>3205030119</v>
      </c>
      <c r="D9" s="12">
        <v>7102000000</v>
      </c>
      <c r="E9" s="12" t="s">
        <v>8</v>
      </c>
      <c r="F9" s="12">
        <v>11.5664</v>
      </c>
      <c r="G9" s="13">
        <v>5145</v>
      </c>
      <c r="H9" s="13">
        <v>59509.13</v>
      </c>
      <c r="I9" s="12" t="s">
        <v>10</v>
      </c>
    </row>
    <row r="10" spans="1:12" x14ac:dyDescent="0.3">
      <c r="A10" s="36"/>
      <c r="B10" s="37"/>
      <c r="C10" s="12">
        <v>3205030009</v>
      </c>
      <c r="D10" s="12">
        <v>7102000000</v>
      </c>
      <c r="E10" s="12" t="s">
        <v>8</v>
      </c>
      <c r="F10" s="12">
        <v>11.5664</v>
      </c>
      <c r="G10" s="13">
        <v>1422.52</v>
      </c>
      <c r="H10" s="13">
        <v>16453.439999999999</v>
      </c>
      <c r="I10" s="12" t="s">
        <v>11</v>
      </c>
    </row>
    <row r="11" spans="1:12" x14ac:dyDescent="0.3">
      <c r="A11" s="36"/>
      <c r="B11" s="37"/>
      <c r="C11" s="12">
        <v>3205030009</v>
      </c>
      <c r="D11" s="12">
        <v>7102000000</v>
      </c>
      <c r="E11" s="12" t="s">
        <v>8</v>
      </c>
      <c r="F11" s="12">
        <v>11.5664</v>
      </c>
      <c r="G11" s="13">
        <v>900</v>
      </c>
      <c r="H11" s="13">
        <v>10409.76</v>
      </c>
      <c r="I11" s="12" t="s">
        <v>11</v>
      </c>
    </row>
    <row r="12" spans="1:12" x14ac:dyDescent="0.3">
      <c r="A12" s="36"/>
      <c r="B12" s="37"/>
      <c r="C12" s="12">
        <v>3205030009</v>
      </c>
      <c r="D12" s="12">
        <v>7102000000</v>
      </c>
      <c r="E12" s="12" t="s">
        <v>8</v>
      </c>
      <c r="F12" s="12">
        <v>11.5664</v>
      </c>
      <c r="G12" s="13">
        <v>576</v>
      </c>
      <c r="H12" s="13">
        <v>6662.25</v>
      </c>
      <c r="I12" s="12" t="s">
        <v>11</v>
      </c>
    </row>
    <row r="13" spans="1:12" x14ac:dyDescent="0.3">
      <c r="A13" s="36"/>
      <c r="B13" s="37"/>
      <c r="C13" s="12">
        <v>3205030009</v>
      </c>
      <c r="D13" s="12">
        <v>7102000000</v>
      </c>
      <c r="E13" s="12" t="s">
        <v>8</v>
      </c>
      <c r="F13" s="12">
        <v>11.5664</v>
      </c>
      <c r="G13" s="13">
        <v>2885.61</v>
      </c>
      <c r="H13" s="13">
        <v>33376.120000000003</v>
      </c>
      <c r="I13" s="12" t="s">
        <v>11</v>
      </c>
    </row>
    <row r="14" spans="1:12" x14ac:dyDescent="0.3">
      <c r="A14" s="35" t="s">
        <v>25</v>
      </c>
      <c r="B14" s="35"/>
      <c r="C14" s="35"/>
      <c r="D14" s="35"/>
      <c r="E14" s="35"/>
      <c r="F14" s="35"/>
      <c r="G14" s="35"/>
      <c r="H14" s="35"/>
      <c r="I14" s="35"/>
    </row>
    <row r="15" spans="1:12" x14ac:dyDescent="0.3">
      <c r="A15" s="14">
        <v>7100010125</v>
      </c>
      <c r="B15" s="15">
        <v>45768</v>
      </c>
      <c r="C15" s="16">
        <v>3205030009</v>
      </c>
      <c r="D15" s="16">
        <v>7102000002</v>
      </c>
      <c r="E15" s="16" t="s">
        <v>12</v>
      </c>
      <c r="F15" s="16">
        <v>1</v>
      </c>
      <c r="G15" s="17">
        <v>152332</v>
      </c>
      <c r="H15" s="17">
        <f>G15</f>
        <v>152332</v>
      </c>
      <c r="I15" s="16" t="s">
        <v>13</v>
      </c>
    </row>
    <row r="16" spans="1:12" x14ac:dyDescent="0.3">
      <c r="A16" s="14"/>
      <c r="B16" s="15"/>
      <c r="C16" s="16">
        <v>3205030009</v>
      </c>
      <c r="D16" s="16">
        <v>7102000002</v>
      </c>
      <c r="E16" s="16" t="s">
        <v>12</v>
      </c>
      <c r="F16" s="16">
        <v>1</v>
      </c>
      <c r="G16" s="17">
        <v>400</v>
      </c>
      <c r="H16" s="17">
        <f t="shared" ref="H16:H17" si="0">G16</f>
        <v>400</v>
      </c>
      <c r="I16" s="16" t="s">
        <v>14</v>
      </c>
    </row>
    <row r="17" spans="1:12" x14ac:dyDescent="0.3">
      <c r="A17" s="14"/>
      <c r="B17" s="15"/>
      <c r="C17" s="16">
        <v>1905000000</v>
      </c>
      <c r="D17" s="16">
        <v>7102000002</v>
      </c>
      <c r="E17" s="16" t="s">
        <v>12</v>
      </c>
      <c r="F17" s="16">
        <v>1</v>
      </c>
      <c r="G17" s="17">
        <v>80</v>
      </c>
      <c r="H17" s="17">
        <f t="shared" si="0"/>
        <v>80</v>
      </c>
      <c r="I17" s="16" t="s">
        <v>14</v>
      </c>
    </row>
    <row r="18" spans="1:12" x14ac:dyDescent="0.3">
      <c r="A18" s="35" t="s">
        <v>26</v>
      </c>
      <c r="B18" s="35"/>
      <c r="C18" s="35"/>
      <c r="D18" s="35"/>
      <c r="E18" s="35"/>
      <c r="F18" s="35"/>
      <c r="G18" s="35"/>
      <c r="H18" s="35"/>
      <c r="I18" s="35"/>
    </row>
    <row r="19" spans="1:12" x14ac:dyDescent="0.3">
      <c r="A19" s="23">
        <v>7100009758</v>
      </c>
      <c r="B19" s="24">
        <v>45768</v>
      </c>
      <c r="C19" s="25"/>
      <c r="D19" s="25"/>
      <c r="E19" s="25"/>
      <c r="F19" s="23">
        <v>11.5664</v>
      </c>
      <c r="G19" s="26">
        <v>20600</v>
      </c>
      <c r="H19" s="26">
        <v>238267.84</v>
      </c>
      <c r="I19" s="23" t="s">
        <v>33</v>
      </c>
    </row>
    <row r="20" spans="1:12" x14ac:dyDescent="0.3">
      <c r="A20" s="27">
        <v>7100009702</v>
      </c>
      <c r="B20" s="28">
        <v>45768</v>
      </c>
      <c r="C20" s="25"/>
      <c r="D20" s="25"/>
      <c r="E20" s="25"/>
      <c r="F20" s="18">
        <v>11.5664</v>
      </c>
      <c r="G20" s="29">
        <v>-10929.13</v>
      </c>
      <c r="H20" s="29">
        <v>-126410.7</v>
      </c>
      <c r="I20" s="27" t="s">
        <v>33</v>
      </c>
    </row>
    <row r="21" spans="1:12" x14ac:dyDescent="0.3">
      <c r="A21" s="30">
        <v>400015213</v>
      </c>
      <c r="B21" s="31">
        <v>45770</v>
      </c>
      <c r="C21" s="25"/>
      <c r="D21" s="25"/>
      <c r="E21" s="25"/>
      <c r="F21" s="30">
        <v>11.112299999999999</v>
      </c>
      <c r="G21" s="32">
        <v>-9660</v>
      </c>
      <c r="H21" s="32">
        <v>-107344.82</v>
      </c>
      <c r="I21" s="30" t="s">
        <v>33</v>
      </c>
    </row>
    <row r="22" spans="1:12" x14ac:dyDescent="0.3">
      <c r="A22" s="30">
        <v>7100009759</v>
      </c>
      <c r="B22" s="31">
        <v>45768</v>
      </c>
      <c r="C22" s="25"/>
      <c r="D22" s="25"/>
      <c r="E22" s="25"/>
      <c r="F22" s="30">
        <v>11.5664</v>
      </c>
      <c r="G22" s="32">
        <v>-10.87</v>
      </c>
      <c r="H22" s="32">
        <v>-125.73</v>
      </c>
      <c r="I22" s="30" t="s">
        <v>33</v>
      </c>
      <c r="K22" s="4"/>
      <c r="L22" s="5"/>
    </row>
    <row r="23" spans="1:12" x14ac:dyDescent="0.3">
      <c r="A23" s="19">
        <v>300098116</v>
      </c>
      <c r="B23" s="20">
        <v>45770</v>
      </c>
      <c r="C23" s="19">
        <v>9145210000</v>
      </c>
      <c r="D23" s="19">
        <v>7102000000</v>
      </c>
      <c r="E23" s="19" t="s">
        <v>8</v>
      </c>
      <c r="F23" s="19" t="s">
        <v>28</v>
      </c>
      <c r="G23" s="21">
        <f>SUM(G19:G22)</f>
        <v>8.0113693456951296E-13</v>
      </c>
      <c r="H23" s="21">
        <f>SUM(H19:H22)</f>
        <v>4386.5899999999929</v>
      </c>
      <c r="I23" s="22" t="s">
        <v>32</v>
      </c>
      <c r="K23" s="4"/>
      <c r="L23" s="5"/>
    </row>
    <row r="24" spans="1:12" x14ac:dyDescent="0.3">
      <c r="B24" s="1"/>
    </row>
  </sheetData>
  <mergeCells count="7">
    <mergeCell ref="A2:I2"/>
    <mergeCell ref="A9:A13"/>
    <mergeCell ref="B9:B13"/>
    <mergeCell ref="A8:I8"/>
    <mergeCell ref="A14:I14"/>
    <mergeCell ref="A18:I18"/>
    <mergeCell ref="A5:I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C8F62-BB1B-492B-94D1-C729D6233826}">
  <dimension ref="A1:L23"/>
  <sheetViews>
    <sheetView tabSelected="1" zoomScale="85" zoomScaleNormal="85" workbookViewId="0">
      <selection activeCell="L17" sqref="L17"/>
    </sheetView>
  </sheetViews>
  <sheetFormatPr defaultRowHeight="14.4" x14ac:dyDescent="0.3"/>
  <cols>
    <col min="1" max="1" width="12" bestFit="1" customWidth="1"/>
    <col min="2" max="2" width="10.109375" bestFit="1" customWidth="1"/>
    <col min="3" max="3" width="13.44140625" customWidth="1"/>
    <col min="4" max="4" width="11.6640625" customWidth="1"/>
    <col min="5" max="5" width="9.109375" bestFit="1" customWidth="1"/>
    <col min="6" max="6" width="8" bestFit="1" customWidth="1"/>
    <col min="7" max="7" width="14.5546875" bestFit="1" customWidth="1"/>
    <col min="8" max="8" width="13.44140625" customWidth="1"/>
    <col min="9" max="9" width="30.33203125" bestFit="1" customWidth="1"/>
    <col min="10" max="10" width="15.33203125" customWidth="1"/>
    <col min="11" max="11" width="36.88671875" bestFit="1" customWidth="1"/>
    <col min="12" max="12" width="9.21875" bestFit="1" customWidth="1"/>
  </cols>
  <sheetData>
    <row r="1" spans="1:12" ht="18" x14ac:dyDescent="0.35">
      <c r="A1" s="33" t="s">
        <v>0</v>
      </c>
      <c r="B1" s="33" t="s">
        <v>7</v>
      </c>
      <c r="C1" s="33" t="s">
        <v>1</v>
      </c>
      <c r="D1" s="33" t="s">
        <v>2</v>
      </c>
      <c r="E1" s="33" t="s">
        <v>6</v>
      </c>
      <c r="F1" s="33" t="s">
        <v>5</v>
      </c>
      <c r="G1" s="34" t="s">
        <v>3</v>
      </c>
      <c r="H1" s="34" t="s">
        <v>4</v>
      </c>
      <c r="I1" s="33" t="s">
        <v>23</v>
      </c>
      <c r="K1" s="4" t="s">
        <v>16</v>
      </c>
      <c r="L1" s="5">
        <f>G4-(SUM(G9:G15))-G7-G6-G23</f>
        <v>0</v>
      </c>
    </row>
    <row r="2" spans="1:12" x14ac:dyDescent="0.3">
      <c r="A2" s="35" t="s">
        <v>29</v>
      </c>
      <c r="B2" s="35"/>
      <c r="C2" s="35"/>
      <c r="D2" s="35"/>
      <c r="E2" s="35"/>
      <c r="F2" s="35"/>
      <c r="G2" s="35"/>
      <c r="H2" s="35"/>
      <c r="I2" s="35"/>
      <c r="K2" s="4" t="s">
        <v>34</v>
      </c>
      <c r="L2" s="5">
        <f>H3-H6-H7-H9-H10-H11-H12-H13-H14-H15-H23</f>
        <v>5.6047610996756703E-11</v>
      </c>
    </row>
    <row r="3" spans="1:12" x14ac:dyDescent="0.3">
      <c r="A3" s="6">
        <v>500001326</v>
      </c>
      <c r="B3" s="7">
        <v>45867</v>
      </c>
      <c r="C3" s="6">
        <v>7102000003</v>
      </c>
      <c r="D3" s="6">
        <v>5025000000</v>
      </c>
      <c r="E3" s="6" t="s">
        <v>8</v>
      </c>
      <c r="F3" s="6">
        <v>11.120900000000001</v>
      </c>
      <c r="G3" s="8">
        <v>42400</v>
      </c>
      <c r="H3" s="8">
        <v>471526.16000000003</v>
      </c>
      <c r="I3" s="6" t="s">
        <v>17</v>
      </c>
      <c r="K3" s="4">
        <v>7102000003</v>
      </c>
      <c r="L3" s="5">
        <f>H3-H4</f>
        <v>0</v>
      </c>
    </row>
    <row r="4" spans="1:12" x14ac:dyDescent="0.3">
      <c r="A4" s="6">
        <v>7100032771</v>
      </c>
      <c r="B4" s="7">
        <v>45888</v>
      </c>
      <c r="C4" s="6">
        <v>7102000000</v>
      </c>
      <c r="D4" s="6">
        <v>7102000003</v>
      </c>
      <c r="E4" s="6" t="s">
        <v>8</v>
      </c>
      <c r="F4" s="6">
        <v>11.120900000000001</v>
      </c>
      <c r="G4" s="8">
        <v>42400</v>
      </c>
      <c r="H4" s="8">
        <v>471526.16000000003</v>
      </c>
      <c r="I4" s="6" t="s">
        <v>35</v>
      </c>
      <c r="K4" s="4">
        <v>7102000000</v>
      </c>
      <c r="L4" s="5">
        <f>H4-H6-H7-H9-H10-H11-H12-H13-H14-H15-H23</f>
        <v>5.6047610996756703E-11</v>
      </c>
    </row>
    <row r="5" spans="1:12" x14ac:dyDescent="0.3">
      <c r="A5" s="35" t="s">
        <v>30</v>
      </c>
      <c r="B5" s="35"/>
      <c r="C5" s="35"/>
      <c r="D5" s="35"/>
      <c r="E5" s="35"/>
      <c r="F5" s="35"/>
      <c r="G5" s="35"/>
      <c r="H5" s="35"/>
      <c r="I5" s="35"/>
    </row>
    <row r="6" spans="1:12" x14ac:dyDescent="0.3">
      <c r="A6" s="9">
        <v>7100032770</v>
      </c>
      <c r="B6" s="10">
        <v>45888</v>
      </c>
      <c r="C6" s="9">
        <v>7102000501</v>
      </c>
      <c r="D6" s="9">
        <v>7102000000</v>
      </c>
      <c r="E6" s="9" t="s">
        <v>8</v>
      </c>
      <c r="F6" s="9">
        <v>11.120900000000001</v>
      </c>
      <c r="G6" s="11">
        <v>67</v>
      </c>
      <c r="H6" s="11">
        <v>745.1</v>
      </c>
      <c r="I6" s="9" t="s">
        <v>21</v>
      </c>
    </row>
    <row r="7" spans="1:12" x14ac:dyDescent="0.3">
      <c r="A7" s="9">
        <v>400029810</v>
      </c>
      <c r="B7" s="10">
        <v>45889</v>
      </c>
      <c r="C7" s="9">
        <v>5025000000</v>
      </c>
      <c r="D7" s="9">
        <v>7102000000</v>
      </c>
      <c r="E7" s="9" t="s">
        <v>8</v>
      </c>
      <c r="F7" s="9">
        <v>11.170199999999999</v>
      </c>
      <c r="G7" s="11">
        <v>9200</v>
      </c>
      <c r="H7" s="11">
        <v>102765.84</v>
      </c>
      <c r="I7" s="9" t="s">
        <v>22</v>
      </c>
      <c r="J7" s="44" t="s">
        <v>36</v>
      </c>
    </row>
    <row r="8" spans="1:12" x14ac:dyDescent="0.3">
      <c r="A8" s="35" t="s">
        <v>24</v>
      </c>
      <c r="B8" s="35"/>
      <c r="C8" s="35"/>
      <c r="D8" s="35"/>
      <c r="E8" s="35"/>
      <c r="F8" s="35"/>
      <c r="G8" s="35"/>
      <c r="H8" s="35"/>
      <c r="I8" s="35"/>
    </row>
    <row r="9" spans="1:12" x14ac:dyDescent="0.3">
      <c r="A9" s="41">
        <v>7100032066</v>
      </c>
      <c r="B9" s="38">
        <v>45888</v>
      </c>
      <c r="C9" s="12">
        <v>3205030119</v>
      </c>
      <c r="D9" s="12">
        <v>7102000000</v>
      </c>
      <c r="E9" s="12" t="s">
        <v>8</v>
      </c>
      <c r="F9" s="12">
        <v>11.120900000000001</v>
      </c>
      <c r="G9" s="13">
        <v>9982</v>
      </c>
      <c r="H9" s="13">
        <v>111008.83</v>
      </c>
      <c r="I9" s="12" t="s">
        <v>18</v>
      </c>
    </row>
    <row r="10" spans="1:12" x14ac:dyDescent="0.3">
      <c r="A10" s="42"/>
      <c r="B10" s="39"/>
      <c r="C10" s="12">
        <v>3205030009</v>
      </c>
      <c r="D10" s="12">
        <v>7102000000</v>
      </c>
      <c r="E10" s="12" t="s">
        <v>8</v>
      </c>
      <c r="F10" s="12">
        <v>11.120900000000001</v>
      </c>
      <c r="G10" s="13">
        <v>6190</v>
      </c>
      <c r="H10" s="13">
        <v>68838.37</v>
      </c>
      <c r="I10" s="12" t="s">
        <v>19</v>
      </c>
    </row>
    <row r="11" spans="1:12" x14ac:dyDescent="0.3">
      <c r="A11" s="42"/>
      <c r="B11" s="39"/>
      <c r="C11" s="12">
        <v>3205030009</v>
      </c>
      <c r="D11" s="12">
        <v>7102000000</v>
      </c>
      <c r="E11" s="12" t="s">
        <v>8</v>
      </c>
      <c r="F11" s="12">
        <v>11.120900000000001</v>
      </c>
      <c r="G11" s="13">
        <v>8100</v>
      </c>
      <c r="H11" s="13">
        <v>90079.290000000008</v>
      </c>
      <c r="I11" s="12" t="s">
        <v>19</v>
      </c>
    </row>
    <row r="12" spans="1:12" x14ac:dyDescent="0.3">
      <c r="A12" s="42"/>
      <c r="B12" s="39"/>
      <c r="C12" s="12">
        <v>3205030009</v>
      </c>
      <c r="D12" s="12">
        <v>7102000000</v>
      </c>
      <c r="E12" s="12" t="s">
        <v>8</v>
      </c>
      <c r="F12" s="12">
        <v>11.120900000000001</v>
      </c>
      <c r="G12" s="13">
        <v>5066</v>
      </c>
      <c r="H12" s="13">
        <v>56338.48</v>
      </c>
      <c r="I12" s="12" t="s">
        <v>19</v>
      </c>
    </row>
    <row r="13" spans="1:12" x14ac:dyDescent="0.3">
      <c r="A13" s="42"/>
      <c r="B13" s="39"/>
      <c r="C13" s="12">
        <v>3205030009</v>
      </c>
      <c r="D13" s="12">
        <v>7102000000</v>
      </c>
      <c r="E13" s="12" t="s">
        <v>8</v>
      </c>
      <c r="F13" s="12">
        <v>11.120900000000001</v>
      </c>
      <c r="G13" s="13">
        <v>704</v>
      </c>
      <c r="H13" s="13">
        <v>7829.11</v>
      </c>
      <c r="I13" s="12" t="s">
        <v>20</v>
      </c>
    </row>
    <row r="14" spans="1:12" x14ac:dyDescent="0.3">
      <c r="A14" s="42"/>
      <c r="B14" s="39"/>
      <c r="C14" s="12">
        <v>3205030009</v>
      </c>
      <c r="D14" s="12">
        <v>7102000000</v>
      </c>
      <c r="E14" s="12" t="s">
        <v>8</v>
      </c>
      <c r="F14" s="12">
        <v>11.120900000000001</v>
      </c>
      <c r="G14" s="13">
        <v>2142</v>
      </c>
      <c r="H14" s="13">
        <v>23820.97</v>
      </c>
      <c r="I14" s="12" t="s">
        <v>20</v>
      </c>
    </row>
    <row r="15" spans="1:12" x14ac:dyDescent="0.3">
      <c r="A15" s="43"/>
      <c r="B15" s="40"/>
      <c r="C15" s="12">
        <v>3205030009</v>
      </c>
      <c r="D15" s="12">
        <v>7102000000</v>
      </c>
      <c r="E15" s="12" t="s">
        <v>8</v>
      </c>
      <c r="F15" s="12">
        <v>11.120900000000001</v>
      </c>
      <c r="G15" s="13">
        <v>949</v>
      </c>
      <c r="H15" s="13">
        <v>10553.73</v>
      </c>
      <c r="I15" s="12" t="s">
        <v>20</v>
      </c>
    </row>
    <row r="16" spans="1:12" x14ac:dyDescent="0.3">
      <c r="A16" s="35" t="s">
        <v>25</v>
      </c>
      <c r="B16" s="35"/>
      <c r="C16" s="35"/>
      <c r="D16" s="35"/>
      <c r="E16" s="35"/>
      <c r="F16" s="35"/>
      <c r="G16" s="35"/>
      <c r="H16" s="35"/>
      <c r="I16" s="35"/>
    </row>
    <row r="17" spans="1:9" x14ac:dyDescent="0.3">
      <c r="A17" s="14">
        <v>7100036044</v>
      </c>
      <c r="B17" s="15">
        <v>45888</v>
      </c>
      <c r="C17" s="16">
        <v>3205030009</v>
      </c>
      <c r="D17" s="16">
        <v>7102000002</v>
      </c>
      <c r="E17" s="16" t="s">
        <v>12</v>
      </c>
      <c r="F17" s="16">
        <v>1</v>
      </c>
      <c r="G17" s="17">
        <v>157516</v>
      </c>
      <c r="H17" s="17">
        <v>157516</v>
      </c>
      <c r="I17" s="16" t="s">
        <v>20</v>
      </c>
    </row>
    <row r="18" spans="1:9" x14ac:dyDescent="0.3">
      <c r="A18" s="35" t="s">
        <v>26</v>
      </c>
      <c r="B18" s="35"/>
      <c r="C18" s="35"/>
      <c r="D18" s="35"/>
      <c r="E18" s="35"/>
      <c r="F18" s="35"/>
      <c r="G18" s="35"/>
      <c r="H18" s="35"/>
      <c r="I18" s="35"/>
    </row>
    <row r="19" spans="1:9" x14ac:dyDescent="0.3">
      <c r="A19" s="23">
        <v>7100032771</v>
      </c>
      <c r="B19" s="24">
        <v>45888</v>
      </c>
      <c r="C19" s="25"/>
      <c r="D19" s="25"/>
      <c r="E19" s="25"/>
      <c r="F19" s="23">
        <v>11.120900000000001</v>
      </c>
      <c r="G19" s="26">
        <v>42400</v>
      </c>
      <c r="H19" s="26">
        <v>471526.16000000003</v>
      </c>
      <c r="I19" s="23" t="s">
        <v>33</v>
      </c>
    </row>
    <row r="20" spans="1:9" x14ac:dyDescent="0.3">
      <c r="A20" s="27">
        <v>7100032066</v>
      </c>
      <c r="B20" s="28">
        <v>45888</v>
      </c>
      <c r="C20" s="25"/>
      <c r="D20" s="25"/>
      <c r="E20" s="25"/>
      <c r="F20" s="12">
        <v>11.120900000000001</v>
      </c>
      <c r="G20" s="29">
        <v>-33133</v>
      </c>
      <c r="H20" s="29">
        <v>-368468.78</v>
      </c>
      <c r="I20" s="27" t="s">
        <v>33</v>
      </c>
    </row>
    <row r="21" spans="1:9" x14ac:dyDescent="0.3">
      <c r="A21" s="9">
        <v>400029810</v>
      </c>
      <c r="B21" s="10">
        <v>45889</v>
      </c>
      <c r="C21" s="25"/>
      <c r="D21" s="25"/>
      <c r="E21" s="25"/>
      <c r="F21" s="9">
        <v>11.170199999999999</v>
      </c>
      <c r="G21" s="11">
        <v>-9200</v>
      </c>
      <c r="H21" s="11">
        <v>-102765.84</v>
      </c>
      <c r="I21" s="30" t="s">
        <v>33</v>
      </c>
    </row>
    <row r="22" spans="1:9" x14ac:dyDescent="0.3">
      <c r="A22" s="9">
        <v>7100032770</v>
      </c>
      <c r="B22" s="10">
        <v>45888</v>
      </c>
      <c r="C22" s="25"/>
      <c r="D22" s="25"/>
      <c r="E22" s="25"/>
      <c r="F22" s="9">
        <v>11.120900000000001</v>
      </c>
      <c r="G22" s="11">
        <v>-67</v>
      </c>
      <c r="H22" s="11">
        <v>-745.1</v>
      </c>
      <c r="I22" s="30" t="s">
        <v>33</v>
      </c>
    </row>
    <row r="23" spans="1:9" x14ac:dyDescent="0.3">
      <c r="A23" s="19">
        <v>300198455</v>
      </c>
      <c r="B23" s="20">
        <v>45889</v>
      </c>
      <c r="C23" s="19">
        <v>7102000000</v>
      </c>
      <c r="D23" s="19">
        <v>9123590000</v>
      </c>
      <c r="E23" s="19" t="s">
        <v>8</v>
      </c>
      <c r="F23" s="19" t="s">
        <v>28</v>
      </c>
      <c r="G23" s="21">
        <f>SUM(G19:G22)</f>
        <v>0</v>
      </c>
      <c r="H23" s="21">
        <f>SUM(H19:H22)</f>
        <v>-453.55999999999187</v>
      </c>
      <c r="I23" s="22" t="s">
        <v>32</v>
      </c>
    </row>
  </sheetData>
  <mergeCells count="7">
    <mergeCell ref="A18:I18"/>
    <mergeCell ref="B9:B15"/>
    <mergeCell ref="A9:A15"/>
    <mergeCell ref="A2:I2"/>
    <mergeCell ref="A5:I5"/>
    <mergeCell ref="A8:I8"/>
    <mergeCell ref="A16:I1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Отрицат КР</vt:lpstr>
      <vt:lpstr>Положит КР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Попова Лилия Речаповна</dc:creator>
  <cp:lastModifiedBy>Popova, Liliya</cp:lastModifiedBy>
  <dcterms:created xsi:type="dcterms:W3CDTF">2025-09-29T12:35:23Z</dcterms:created>
  <dcterms:modified xsi:type="dcterms:W3CDTF">2025-10-01T06:19:03Z</dcterms:modified>
</cp:coreProperties>
</file>