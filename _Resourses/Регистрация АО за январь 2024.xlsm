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Patrakova_NG\Desktop\"/>
    </mc:Choice>
  </mc:AlternateContent>
  <bookViews>
    <workbookView xWindow="-15" yWindow="0" windowWidth="2175" windowHeight="0" tabRatio="865" activeTab="1"/>
  </bookViews>
  <sheets>
    <sheet name="база" sheetId="1" r:id="rId1"/>
    <sheet name="Командировки" sheetId="5" r:id="rId2"/>
    <sheet name="Командировки СУДЫ" sheetId="84" r:id="rId3"/>
    <sheet name="Льготный проезд   " sheetId="105" r:id="rId4"/>
    <sheet name="список 0604 01   " sheetId="106" r:id="rId5"/>
    <sheet name="ТМЦ" sheetId="8" r:id="rId6"/>
    <sheet name="во Х402" sheetId="73" r:id="rId7"/>
    <sheet name="во 0929 " sheetId="74" r:id="rId8"/>
    <sheet name="во 0935" sheetId="75" r:id="rId9"/>
    <sheet name="во 613" sheetId="76" r:id="rId10"/>
    <sheet name="во 604" sheetId="77" r:id="rId11"/>
    <sheet name="во 614" sheetId="21" r:id="rId12"/>
    <sheet name="во 634" sheetId="22" r:id="rId13"/>
    <sheet name="во 626" sheetId="32" r:id="rId14"/>
    <sheet name="во 629" sheetId="15" r:id="rId15"/>
    <sheet name="во 600" sheetId="17" r:id="rId16"/>
    <sheet name="во 930" sheetId="78" r:id="rId17"/>
  </sheets>
  <definedNames>
    <definedName name="_xlnm._FilterDatabase" localSheetId="1" hidden="1">Командировки!$A$5:$AB$91</definedName>
    <definedName name="_xlnm._FilterDatabase" localSheetId="2" hidden="1">'Командировки СУДЫ'!$A$5:$Q$5</definedName>
    <definedName name="_xlnm.Print_Titles" localSheetId="1">Командировки!$3:$3</definedName>
    <definedName name="_xlnm.Print_Titles" localSheetId="2">'Командировки СУДЫ'!$3:$3</definedName>
    <definedName name="_xlnm.Print_Area" localSheetId="1">Командировки!$A$3:$AB$3</definedName>
    <definedName name="_xlnm.Print_Area" localSheetId="2">'Командировки СУДЫ'!$A$3:$Q$3</definedName>
  </definedNames>
  <calcPr calcId="162913"/>
</workbook>
</file>

<file path=xl/calcChain.xml><?xml version="1.0" encoding="utf-8"?>
<calcChain xmlns="http://schemas.openxmlformats.org/spreadsheetml/2006/main">
  <c r="L17" i="106" l="1"/>
  <c r="J98" i="5"/>
  <c r="J102" i="5"/>
  <c r="J101" i="5"/>
  <c r="J99" i="5"/>
  <c r="J100" i="5"/>
  <c r="J97" i="5"/>
  <c r="J96" i="5"/>
  <c r="J95" i="5"/>
  <c r="J9" i="84" l="1"/>
  <c r="F19" i="8" l="1"/>
  <c r="L23" i="74" l="1"/>
  <c r="K23" i="74"/>
  <c r="H23" i="74"/>
  <c r="K24" i="74"/>
  <c r="J13" i="74"/>
  <c r="E14" i="74"/>
  <c r="E40" i="105" l="1"/>
  <c r="F40" i="105"/>
  <c r="G40" i="105"/>
  <c r="H40" i="105"/>
  <c r="I40" i="105"/>
  <c r="J40" i="105"/>
  <c r="K40" i="105"/>
  <c r="L40" i="105"/>
  <c r="M40" i="105"/>
  <c r="N40" i="105"/>
  <c r="O40" i="105"/>
  <c r="P40" i="105"/>
  <c r="Q40" i="105"/>
  <c r="R40" i="105"/>
  <c r="S40" i="105"/>
  <c r="T40" i="105"/>
  <c r="U40" i="105"/>
  <c r="V40" i="105"/>
  <c r="Y40" i="105"/>
  <c r="Z40" i="105"/>
  <c r="AA40" i="105"/>
  <c r="D40" i="105"/>
  <c r="Y39" i="105"/>
  <c r="X39" i="105"/>
  <c r="W39" i="105"/>
  <c r="V39" i="105"/>
  <c r="C39" i="105"/>
  <c r="Z38" i="105"/>
  <c r="Y38" i="105"/>
  <c r="X38" i="105"/>
  <c r="W38" i="105"/>
  <c r="W40" i="105" s="1"/>
  <c r="V38" i="105"/>
  <c r="C38" i="105"/>
  <c r="X40" i="105" l="1"/>
  <c r="F39" i="77"/>
  <c r="C27" i="77"/>
  <c r="C26" i="77"/>
  <c r="G38" i="77"/>
  <c r="C38" i="77"/>
  <c r="G23" i="77"/>
  <c r="G18" i="77"/>
  <c r="G17" i="77"/>
  <c r="I106" i="76"/>
  <c r="E106" i="76"/>
  <c r="H106" i="76" s="1"/>
  <c r="B106" i="76"/>
  <c r="I105" i="76"/>
  <c r="E105" i="76"/>
  <c r="H105" i="76" s="1"/>
  <c r="B105" i="76"/>
  <c r="I104" i="76"/>
  <c r="E104" i="76"/>
  <c r="H104" i="76" s="1"/>
  <c r="B104" i="76"/>
  <c r="I103" i="76"/>
  <c r="E103" i="76"/>
  <c r="H103" i="76" s="1"/>
  <c r="B103" i="76"/>
  <c r="I102" i="76"/>
  <c r="E102" i="76"/>
  <c r="H102" i="76" s="1"/>
  <c r="B102" i="76"/>
  <c r="I101" i="76"/>
  <c r="E101" i="76"/>
  <c r="H101" i="76" s="1"/>
  <c r="B101" i="76"/>
  <c r="H107" i="76"/>
  <c r="E20" i="76"/>
  <c r="H20" i="76" s="1"/>
  <c r="I20" i="76"/>
  <c r="B20" i="76"/>
  <c r="E49" i="76"/>
  <c r="E37" i="76"/>
  <c r="E6" i="76"/>
  <c r="E52" i="76"/>
  <c r="E17" i="76"/>
  <c r="E7" i="76"/>
  <c r="E44" i="76"/>
  <c r="E39" i="76"/>
  <c r="E13" i="76"/>
  <c r="E35" i="76"/>
  <c r="E26" i="76"/>
  <c r="E64" i="76"/>
  <c r="E72" i="76"/>
  <c r="E21" i="76"/>
  <c r="E32" i="76"/>
  <c r="E42" i="76"/>
  <c r="E11" i="76"/>
  <c r="E71" i="76"/>
  <c r="E62" i="76"/>
  <c r="E57" i="76"/>
  <c r="E28" i="76"/>
  <c r="E75" i="76"/>
  <c r="E70" i="76"/>
  <c r="E84" i="76"/>
  <c r="E82" i="76"/>
  <c r="E85" i="76"/>
  <c r="E25" i="76"/>
  <c r="E83" i="76"/>
  <c r="E60" i="76"/>
  <c r="E77" i="76"/>
  <c r="E48" i="76"/>
  <c r="E10" i="76"/>
  <c r="E15" i="76"/>
  <c r="E12" i="76"/>
  <c r="E74" i="76"/>
  <c r="E55" i="76"/>
  <c r="E53" i="76"/>
  <c r="E51" i="76"/>
  <c r="E24" i="76"/>
  <c r="E59" i="76"/>
  <c r="E34" i="76"/>
  <c r="E79" i="76"/>
  <c r="E66" i="76"/>
  <c r="E43" i="76"/>
  <c r="E27" i="76"/>
  <c r="E80" i="76"/>
  <c r="E47" i="76"/>
  <c r="E61" i="76"/>
  <c r="E41" i="76"/>
  <c r="E67" i="76"/>
  <c r="E81" i="76"/>
  <c r="E58" i="76"/>
  <c r="E16" i="76"/>
  <c r="E50" i="76"/>
  <c r="E65" i="76"/>
  <c r="E40" i="76"/>
  <c r="E73" i="76"/>
  <c r="E22" i="76"/>
  <c r="E33" i="76"/>
  <c r="E38" i="76"/>
  <c r="E29" i="76"/>
  <c r="E36" i="76"/>
  <c r="E31" i="76"/>
  <c r="E45" i="76"/>
  <c r="E68" i="76"/>
  <c r="E56" i="76"/>
  <c r="E18" i="76"/>
  <c r="E54" i="76"/>
  <c r="E30" i="76"/>
  <c r="E9" i="76"/>
  <c r="E46" i="76"/>
  <c r="E14" i="76"/>
  <c r="E8" i="76"/>
  <c r="E23" i="76"/>
  <c r="E76" i="76"/>
  <c r="E19" i="76"/>
  <c r="E78" i="76"/>
  <c r="I57" i="75"/>
  <c r="I56" i="75"/>
  <c r="I54" i="75"/>
  <c r="J53" i="75"/>
  <c r="G53" i="75"/>
  <c r="J52" i="75"/>
  <c r="G52" i="75"/>
  <c r="J51" i="75"/>
  <c r="G51" i="75"/>
  <c r="J50" i="75"/>
  <c r="G50" i="75"/>
  <c r="I9" i="75"/>
  <c r="I20" i="75"/>
  <c r="B48" i="73"/>
  <c r="F46" i="73"/>
  <c r="F44" i="73"/>
  <c r="F11" i="73"/>
  <c r="E86" i="76" l="1"/>
  <c r="N23" i="106"/>
  <c r="N22" i="106"/>
  <c r="N21" i="106"/>
  <c r="N7" i="106"/>
  <c r="N8" i="106"/>
  <c r="N9" i="106"/>
  <c r="N10" i="106"/>
  <c r="N11" i="106"/>
  <c r="N12" i="106"/>
  <c r="N13" i="106"/>
  <c r="N14" i="106"/>
  <c r="N15" i="106"/>
  <c r="N16" i="106"/>
  <c r="N6" i="106"/>
  <c r="D23" i="106"/>
  <c r="D21" i="106"/>
  <c r="D22" i="106"/>
  <c r="D7" i="106"/>
  <c r="D8" i="106"/>
  <c r="D9" i="106"/>
  <c r="D10" i="106"/>
  <c r="D11" i="106"/>
  <c r="D12" i="106"/>
  <c r="D13" i="106"/>
  <c r="D14" i="106"/>
  <c r="D15" i="106"/>
  <c r="D16" i="106"/>
  <c r="D6" i="106"/>
  <c r="J17" i="106"/>
  <c r="K17" i="106"/>
  <c r="L26" i="106"/>
  <c r="I17" i="106"/>
  <c r="L24" i="106"/>
  <c r="K24" i="106"/>
  <c r="K26" i="106" s="1"/>
  <c r="X7" i="105"/>
  <c r="X8" i="105"/>
  <c r="X9" i="105"/>
  <c r="X10" i="105"/>
  <c r="X11" i="105"/>
  <c r="X12" i="105"/>
  <c r="X13" i="105"/>
  <c r="X14" i="105"/>
  <c r="X15" i="105"/>
  <c r="X16" i="105"/>
  <c r="X17" i="105"/>
  <c r="X18" i="105"/>
  <c r="X19" i="105"/>
  <c r="X20" i="105"/>
  <c r="X21" i="105"/>
  <c r="X22" i="105"/>
  <c r="X23" i="105"/>
  <c r="X24" i="105"/>
  <c r="X25" i="105"/>
  <c r="X26" i="105"/>
  <c r="X27" i="105"/>
  <c r="X28" i="105"/>
  <c r="X29" i="105"/>
  <c r="X30" i="105"/>
  <c r="X6" i="105"/>
  <c r="W7" i="105"/>
  <c r="W8" i="105"/>
  <c r="W9" i="105"/>
  <c r="W10" i="105"/>
  <c r="W11" i="105"/>
  <c r="W12" i="105"/>
  <c r="W13" i="105"/>
  <c r="W14" i="105"/>
  <c r="W15" i="105"/>
  <c r="W16" i="105"/>
  <c r="W17" i="105"/>
  <c r="W18" i="105"/>
  <c r="W19" i="105"/>
  <c r="W20" i="105"/>
  <c r="W21" i="105"/>
  <c r="W22" i="105"/>
  <c r="W23" i="105"/>
  <c r="W24" i="105"/>
  <c r="W25" i="105"/>
  <c r="W26" i="105"/>
  <c r="W27" i="105"/>
  <c r="W28" i="105"/>
  <c r="W29" i="105"/>
  <c r="W30" i="105"/>
  <c r="W6" i="105"/>
  <c r="C7" i="105"/>
  <c r="C8" i="105"/>
  <c r="C9" i="105"/>
  <c r="C10" i="105"/>
  <c r="C11" i="105"/>
  <c r="C12" i="105"/>
  <c r="C13" i="105"/>
  <c r="C14" i="105"/>
  <c r="C15" i="105"/>
  <c r="C16" i="105"/>
  <c r="C17" i="105"/>
  <c r="C18" i="105"/>
  <c r="C19" i="105"/>
  <c r="C20" i="105"/>
  <c r="C21" i="105"/>
  <c r="C22" i="105"/>
  <c r="C23" i="105"/>
  <c r="C24" i="105"/>
  <c r="C25" i="105"/>
  <c r="C26" i="105"/>
  <c r="C27" i="105"/>
  <c r="C28" i="105"/>
  <c r="C29" i="105"/>
  <c r="C30" i="105"/>
  <c r="C6" i="105"/>
  <c r="U31" i="105"/>
  <c r="T31" i="105"/>
  <c r="S31" i="105"/>
  <c r="R31" i="105"/>
  <c r="Q31" i="105"/>
  <c r="P31" i="105"/>
  <c r="O31" i="105"/>
  <c r="N31" i="105"/>
  <c r="M31" i="105"/>
  <c r="J30" i="77" s="1"/>
  <c r="L31" i="105"/>
  <c r="K31" i="105"/>
  <c r="J31" i="105"/>
  <c r="I31" i="105"/>
  <c r="H31" i="105"/>
  <c r="J29" i="77" s="1"/>
  <c r="G31" i="105"/>
  <c r="F31" i="105"/>
  <c r="E31" i="105"/>
  <c r="D31" i="105"/>
  <c r="Y30" i="105"/>
  <c r="V30" i="105"/>
  <c r="Y29" i="105"/>
  <c r="Z29" i="105" s="1"/>
  <c r="V29" i="105"/>
  <c r="Y28" i="105"/>
  <c r="Z28" i="105" s="1"/>
  <c r="V28" i="105"/>
  <c r="Y27" i="105"/>
  <c r="Z27" i="105" s="1"/>
  <c r="V27" i="105"/>
  <c r="Y26" i="105"/>
  <c r="Z26" i="105" s="1"/>
  <c r="V26" i="105"/>
  <c r="Y25" i="105"/>
  <c r="Z25" i="105" s="1"/>
  <c r="V25" i="105"/>
  <c r="Z24" i="105"/>
  <c r="Y24" i="105"/>
  <c r="V24" i="105"/>
  <c r="Y23" i="105"/>
  <c r="Z23" i="105" s="1"/>
  <c r="V23" i="105"/>
  <c r="Y22" i="105"/>
  <c r="Z22" i="105" s="1"/>
  <c r="V22" i="105"/>
  <c r="Y21" i="105"/>
  <c r="Z21" i="105" s="1"/>
  <c r="V21" i="105"/>
  <c r="Y20" i="105"/>
  <c r="Z20" i="105" s="1"/>
  <c r="V20" i="105"/>
  <c r="Y19" i="105"/>
  <c r="Z19" i="105" s="1"/>
  <c r="V19" i="105"/>
  <c r="Y18" i="105"/>
  <c r="V18" i="105"/>
  <c r="Y17" i="105"/>
  <c r="V17" i="105"/>
  <c r="Y16" i="105"/>
  <c r="Z16" i="105" s="1"/>
  <c r="V16" i="105"/>
  <c r="Y15" i="105"/>
  <c r="Z15" i="105" s="1"/>
  <c r="V15" i="105"/>
  <c r="Y14" i="105"/>
  <c r="Z14" i="105" s="1"/>
  <c r="V14" i="105"/>
  <c r="Y13" i="105"/>
  <c r="Z13" i="105" s="1"/>
  <c r="V13" i="105"/>
  <c r="Y12" i="105"/>
  <c r="Z12" i="105" s="1"/>
  <c r="V12" i="105"/>
  <c r="Y11" i="105"/>
  <c r="Z11" i="105" s="1"/>
  <c r="V11" i="105"/>
  <c r="Y10" i="105"/>
  <c r="Z10" i="105" s="1"/>
  <c r="V10" i="105"/>
  <c r="Y9" i="105"/>
  <c r="Z9" i="105" s="1"/>
  <c r="V9" i="105"/>
  <c r="Y8" i="105"/>
  <c r="Z8" i="105" s="1"/>
  <c r="V8" i="105"/>
  <c r="Y7" i="105"/>
  <c r="V7" i="105"/>
  <c r="Y6" i="105"/>
  <c r="Z6" i="105" s="1"/>
  <c r="V6" i="10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5" i="5"/>
  <c r="AB6" i="5"/>
  <c r="AB7" i="5"/>
  <c r="AB4" i="5"/>
  <c r="P91" i="5"/>
  <c r="Q91" i="5"/>
  <c r="R91" i="5"/>
  <c r="S91" i="5"/>
  <c r="T91" i="5"/>
  <c r="U91" i="5"/>
  <c r="V91" i="5"/>
  <c r="W91" i="5"/>
  <c r="X91" i="5"/>
  <c r="Y91" i="5"/>
  <c r="Z91" i="5"/>
  <c r="O91" i="5"/>
  <c r="M5" i="84"/>
  <c r="C33" i="5"/>
  <c r="C34" i="5"/>
  <c r="C35" i="5"/>
  <c r="C36" i="5"/>
  <c r="C37" i="5"/>
  <c r="C38" i="5"/>
  <c r="C39" i="5"/>
  <c r="C40" i="5"/>
  <c r="C41" i="5"/>
  <c r="C42" i="5"/>
  <c r="C43" i="5"/>
  <c r="C50" i="5"/>
  <c r="C58" i="5"/>
  <c r="C61" i="5"/>
  <c r="C67" i="5"/>
  <c r="C68" i="5"/>
  <c r="C69" i="5"/>
  <c r="C70" i="5"/>
  <c r="C71" i="5"/>
  <c r="C72" i="5"/>
  <c r="C82" i="5"/>
  <c r="C83" i="5"/>
  <c r="F83" i="5"/>
  <c r="H83" i="5" s="1"/>
  <c r="F82" i="5"/>
  <c r="H82" i="5" s="1"/>
  <c r="F72" i="5"/>
  <c r="H72" i="5" s="1"/>
  <c r="F71" i="5"/>
  <c r="H71" i="5" s="1"/>
  <c r="F70" i="5"/>
  <c r="H70" i="5" s="1"/>
  <c r="F69" i="5"/>
  <c r="H69" i="5" s="1"/>
  <c r="F68" i="5"/>
  <c r="H68" i="5" s="1"/>
  <c r="F67" i="5"/>
  <c r="H67" i="5" s="1"/>
  <c r="F61" i="5"/>
  <c r="H61" i="5" s="1"/>
  <c r="F58" i="5"/>
  <c r="H58" i="5" s="1"/>
  <c r="F50" i="5"/>
  <c r="H50" i="5" s="1"/>
  <c r="F43" i="5"/>
  <c r="H43" i="5" s="1"/>
  <c r="F42" i="5"/>
  <c r="H42" i="5" s="1"/>
  <c r="F41" i="5"/>
  <c r="H41" i="5" s="1"/>
  <c r="F40" i="5"/>
  <c r="H40" i="5" s="1"/>
  <c r="F39" i="5"/>
  <c r="H39" i="5" s="1"/>
  <c r="F38" i="5"/>
  <c r="H38" i="5" s="1"/>
  <c r="F37" i="5"/>
  <c r="H37" i="5" s="1"/>
  <c r="F36" i="5"/>
  <c r="H36" i="5" s="1"/>
  <c r="F35" i="5"/>
  <c r="H35" i="5" s="1"/>
  <c r="F34" i="5"/>
  <c r="H34" i="5" s="1"/>
  <c r="F33" i="5"/>
  <c r="H33" i="5" s="1"/>
  <c r="AB91" i="5" l="1"/>
  <c r="V31" i="105"/>
  <c r="V34" i="105" s="1"/>
  <c r="Y31" i="105"/>
  <c r="Z31" i="105"/>
  <c r="F4" i="84" l="1"/>
  <c r="H4" i="84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44" i="5"/>
  <c r="C45" i="5"/>
  <c r="C46" i="5"/>
  <c r="C47" i="5"/>
  <c r="C48" i="5"/>
  <c r="C49" i="5"/>
  <c r="C53" i="5"/>
  <c r="C54" i="5"/>
  <c r="C55" i="5"/>
  <c r="C59" i="5"/>
  <c r="C60" i="5"/>
  <c r="C62" i="5"/>
  <c r="C63" i="5"/>
  <c r="C73" i="5"/>
  <c r="C74" i="5"/>
  <c r="C75" i="5"/>
  <c r="C87" i="5"/>
  <c r="C88" i="5"/>
  <c r="C89" i="5"/>
  <c r="C90" i="5"/>
  <c r="H90" i="5"/>
  <c r="F89" i="5"/>
  <c r="H89" i="5" s="1"/>
  <c r="F88" i="5"/>
  <c r="H88" i="5" s="1"/>
  <c r="F87" i="5"/>
  <c r="H87" i="5" s="1"/>
  <c r="F75" i="5"/>
  <c r="H75" i="5" s="1"/>
  <c r="H74" i="5"/>
  <c r="F73" i="5"/>
  <c r="H73" i="5" s="1"/>
  <c r="F63" i="5"/>
  <c r="H63" i="5" s="1"/>
  <c r="F62" i="5"/>
  <c r="H62" i="5" s="1"/>
  <c r="F60" i="5"/>
  <c r="H60" i="5" s="1"/>
  <c r="F59" i="5"/>
  <c r="H59" i="5" s="1"/>
  <c r="F55" i="5"/>
  <c r="H55" i="5" s="1"/>
  <c r="F54" i="5"/>
  <c r="H54" i="5" s="1"/>
  <c r="F53" i="5"/>
  <c r="H53" i="5" s="1"/>
  <c r="F49" i="5"/>
  <c r="H49" i="5" s="1"/>
  <c r="F48" i="5"/>
  <c r="H48" i="5" s="1"/>
  <c r="F47" i="5"/>
  <c r="H47" i="5" s="1"/>
  <c r="F46" i="5"/>
  <c r="H46" i="5" s="1"/>
  <c r="F45" i="5"/>
  <c r="H45" i="5" s="1"/>
  <c r="F44" i="5"/>
  <c r="H44" i="5" s="1"/>
  <c r="F17" i="5"/>
  <c r="H17" i="5" s="1"/>
  <c r="F16" i="5"/>
  <c r="H16" i="5" s="1"/>
  <c r="F15" i="5"/>
  <c r="H15" i="5" s="1"/>
  <c r="F14" i="5"/>
  <c r="H14" i="5" s="1"/>
  <c r="F13" i="5"/>
  <c r="H13" i="5" s="1"/>
  <c r="F12" i="5"/>
  <c r="H12" i="5" s="1"/>
  <c r="F11" i="5"/>
  <c r="H11" i="5" s="1"/>
  <c r="F10" i="5"/>
  <c r="H10" i="5" s="1"/>
  <c r="F9" i="5"/>
  <c r="H9" i="5" s="1"/>
  <c r="F8" i="5"/>
  <c r="H8" i="5" s="1"/>
  <c r="F7" i="5"/>
  <c r="H7" i="5" s="1"/>
  <c r="F6" i="5"/>
  <c r="H6" i="5" s="1"/>
  <c r="F5" i="5"/>
  <c r="H5" i="5" s="1"/>
  <c r="F4" i="5"/>
  <c r="H4" i="5" l="1"/>
  <c r="F81" i="5"/>
  <c r="H81" i="5" s="1"/>
  <c r="F77" i="5" l="1"/>
  <c r="H77" i="5" s="1"/>
  <c r="F20" i="5" l="1"/>
  <c r="H20" i="5" s="1"/>
  <c r="F86" i="5" l="1"/>
  <c r="H86" i="5" s="1"/>
  <c r="F85" i="5"/>
  <c r="H85" i="5" s="1"/>
  <c r="F84" i="5"/>
  <c r="H84" i="5" s="1"/>
  <c r="F80" i="5"/>
  <c r="H80" i="5" s="1"/>
  <c r="F79" i="5"/>
  <c r="H79" i="5" s="1"/>
  <c r="F78" i="5"/>
  <c r="H78" i="5" s="1"/>
  <c r="F76" i="5"/>
  <c r="H76" i="5" s="1"/>
  <c r="F66" i="5"/>
  <c r="H66" i="5" s="1"/>
  <c r="F65" i="5"/>
  <c r="H65" i="5" s="1"/>
  <c r="F64" i="5"/>
  <c r="H64" i="5" s="1"/>
  <c r="F57" i="5"/>
  <c r="H57" i="5" s="1"/>
  <c r="F56" i="5"/>
  <c r="H56" i="5" s="1"/>
  <c r="F32" i="5"/>
  <c r="H32" i="5" s="1"/>
  <c r="F31" i="5"/>
  <c r="H31" i="5" s="1"/>
  <c r="F30" i="5"/>
  <c r="H30" i="5" s="1"/>
  <c r="F29" i="5"/>
  <c r="H29" i="5" s="1"/>
  <c r="F28" i="5"/>
  <c r="H28" i="5" s="1"/>
  <c r="F27" i="5"/>
  <c r="H27" i="5" s="1"/>
  <c r="F26" i="5"/>
  <c r="H26" i="5" s="1"/>
  <c r="F25" i="5"/>
  <c r="H25" i="5" s="1"/>
  <c r="F24" i="5"/>
  <c r="H24" i="5" s="1"/>
  <c r="F23" i="5"/>
  <c r="H23" i="5" s="1"/>
  <c r="F22" i="5"/>
  <c r="H22" i="5" s="1"/>
  <c r="F21" i="5"/>
  <c r="H21" i="5" s="1"/>
  <c r="F19" i="5"/>
  <c r="H19" i="5" s="1"/>
  <c r="F18" i="5"/>
  <c r="H18" i="5" s="1"/>
  <c r="J24" i="74" l="1"/>
  <c r="E31" i="74"/>
  <c r="F30" i="74"/>
  <c r="B30" i="74"/>
  <c r="F29" i="74"/>
  <c r="B29" i="74"/>
  <c r="F28" i="74"/>
  <c r="B28" i="74"/>
  <c r="F27" i="74"/>
  <c r="B27" i="74"/>
  <c r="F26" i="74"/>
  <c r="B26" i="74"/>
  <c r="F25" i="74"/>
  <c r="B25" i="74"/>
  <c r="C15" i="77" l="1"/>
  <c r="D11" i="78"/>
  <c r="G22" i="77"/>
  <c r="G21" i="77"/>
  <c r="B1048303" i="5"/>
  <c r="H42" i="76"/>
  <c r="H37" i="76"/>
  <c r="H76" i="76"/>
  <c r="H19" i="76"/>
  <c r="H66" i="76"/>
  <c r="H63" i="76"/>
  <c r="H18" i="76"/>
  <c r="H53" i="76"/>
  <c r="H13" i="76"/>
  <c r="H10" i="76"/>
  <c r="H35" i="76"/>
  <c r="H73" i="76"/>
  <c r="H51" i="76"/>
  <c r="H31" i="76"/>
  <c r="H57" i="76"/>
  <c r="H25" i="76"/>
  <c r="H71" i="76"/>
  <c r="H65" i="76"/>
  <c r="H9" i="76"/>
  <c r="H16" i="76"/>
  <c r="H33" i="76"/>
  <c r="H70" i="76"/>
  <c r="H60" i="76"/>
  <c r="H52" i="76"/>
  <c r="H17" i="76"/>
  <c r="H41" i="76"/>
  <c r="H84" i="76"/>
  <c r="H82" i="76"/>
  <c r="H54" i="76"/>
  <c r="H83" i="76"/>
  <c r="H21" i="76"/>
  <c r="H62" i="76"/>
  <c r="H7" i="76"/>
  <c r="H56" i="76"/>
  <c r="H72" i="76"/>
  <c r="H11" i="76"/>
  <c r="H55" i="76"/>
  <c r="H32" i="76"/>
  <c r="H77" i="76"/>
  <c r="H46" i="76"/>
  <c r="H27" i="76"/>
  <c r="H30" i="76"/>
  <c r="H28" i="76"/>
  <c r="H14" i="76"/>
  <c r="H79" i="76"/>
  <c r="H12" i="76"/>
  <c r="H45" i="76"/>
  <c r="H38" i="76"/>
  <c r="I42" i="76"/>
  <c r="B42" i="76"/>
  <c r="I37" i="76"/>
  <c r="B37" i="76"/>
  <c r="I76" i="76"/>
  <c r="B76" i="76"/>
  <c r="I74" i="76"/>
  <c r="H74" i="76"/>
  <c r="B74" i="76"/>
  <c r="I75" i="76"/>
  <c r="H75" i="76"/>
  <c r="B75" i="76"/>
  <c r="I19" i="76"/>
  <c r="B19" i="76"/>
  <c r="I66" i="76"/>
  <c r="B66" i="76"/>
  <c r="I63" i="76"/>
  <c r="B63" i="76"/>
  <c r="I78" i="76"/>
  <c r="H78" i="76"/>
  <c r="B78" i="76"/>
  <c r="I18" i="76"/>
  <c r="B18" i="76"/>
  <c r="I53" i="76"/>
  <c r="B53" i="76"/>
  <c r="I13" i="76"/>
  <c r="B13" i="76"/>
  <c r="I10" i="76"/>
  <c r="B10" i="76"/>
  <c r="I35" i="76"/>
  <c r="B35" i="76"/>
  <c r="I8" i="76"/>
  <c r="H8" i="76"/>
  <c r="B8" i="76"/>
  <c r="I73" i="76"/>
  <c r="B73" i="76"/>
  <c r="I67" i="76"/>
  <c r="H67" i="76"/>
  <c r="B67" i="76"/>
  <c r="I51" i="76"/>
  <c r="B51" i="76"/>
  <c r="I80" i="76"/>
  <c r="H80" i="76"/>
  <c r="B80" i="76"/>
  <c r="I31" i="76"/>
  <c r="B31" i="76"/>
  <c r="I57" i="76"/>
  <c r="B57" i="76"/>
  <c r="I48" i="76"/>
  <c r="H48" i="76"/>
  <c r="B48" i="76"/>
  <c r="I15" i="76"/>
  <c r="H15" i="76"/>
  <c r="B15" i="76"/>
  <c r="I58" i="76"/>
  <c r="H58" i="76"/>
  <c r="B58" i="76"/>
  <c r="I23" i="76"/>
  <c r="H23" i="76"/>
  <c r="B23" i="76"/>
  <c r="I25" i="76"/>
  <c r="B25" i="76"/>
  <c r="I47" i="76"/>
  <c r="H47" i="76"/>
  <c r="B47" i="76"/>
  <c r="I71" i="76"/>
  <c r="B71" i="76"/>
  <c r="I65" i="76"/>
  <c r="I9" i="76"/>
  <c r="I81" i="76"/>
  <c r="H81" i="76"/>
  <c r="I16" i="76"/>
  <c r="I33" i="76"/>
  <c r="I70" i="76"/>
  <c r="I60" i="76"/>
  <c r="I52" i="76"/>
  <c r="I44" i="76"/>
  <c r="H44" i="76"/>
  <c r="I17" i="76"/>
  <c r="I36" i="76"/>
  <c r="H36" i="76"/>
  <c r="I41" i="76"/>
  <c r="I84" i="76"/>
  <c r="I68" i="76"/>
  <c r="H68" i="76"/>
  <c r="I82" i="76"/>
  <c r="I54" i="76"/>
  <c r="I83" i="76"/>
  <c r="I85" i="76"/>
  <c r="H85" i="76"/>
  <c r="I21" i="76"/>
  <c r="I62" i="76"/>
  <c r="I49" i="76"/>
  <c r="H49" i="76"/>
  <c r="I29" i="76"/>
  <c r="H29" i="76"/>
  <c r="I7" i="76"/>
  <c r="I50" i="76"/>
  <c r="H50" i="76"/>
  <c r="I56" i="76"/>
  <c r="I26" i="76"/>
  <c r="H26" i="76"/>
  <c r="I34" i="76"/>
  <c r="H34" i="76"/>
  <c r="I72" i="76"/>
  <c r="I43" i="76"/>
  <c r="H43" i="76"/>
  <c r="I22" i="76"/>
  <c r="H22" i="76"/>
  <c r="I61" i="76"/>
  <c r="H61" i="76"/>
  <c r="I69" i="76"/>
  <c r="H69" i="76"/>
  <c r="I11" i="76"/>
  <c r="I55" i="76"/>
  <c r="I24" i="76"/>
  <c r="H24" i="76"/>
  <c r="I32" i="76"/>
  <c r="I77" i="76"/>
  <c r="I46" i="76"/>
  <c r="I59" i="76"/>
  <c r="H59" i="76"/>
  <c r="I27" i="76"/>
  <c r="I30" i="76"/>
  <c r="I28" i="76"/>
  <c r="I6" i="76"/>
  <c r="H6" i="76"/>
  <c r="I14" i="76"/>
  <c r="I79" i="76"/>
  <c r="I12" i="76"/>
  <c r="I45" i="76"/>
  <c r="I64" i="76"/>
  <c r="H64" i="76"/>
  <c r="I39" i="76"/>
  <c r="H39" i="76"/>
  <c r="I40" i="76"/>
  <c r="H40" i="76"/>
  <c r="I38" i="76"/>
  <c r="J8" i="75"/>
  <c r="G8" i="75"/>
  <c r="J7" i="75"/>
  <c r="G7" i="75"/>
  <c r="D64" i="73"/>
  <c r="E63" i="73"/>
  <c r="B63" i="73"/>
  <c r="F13" i="73"/>
  <c r="E9" i="73"/>
  <c r="E10" i="73"/>
  <c r="B8" i="73"/>
  <c r="B9" i="73"/>
  <c r="B10" i="73"/>
  <c r="K5" i="84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51" i="5"/>
  <c r="C52" i="5"/>
  <c r="C56" i="5"/>
  <c r="C57" i="5"/>
  <c r="C64" i="5"/>
  <c r="C65" i="5"/>
  <c r="C66" i="5"/>
  <c r="C77" i="5"/>
  <c r="C76" i="5"/>
  <c r="C78" i="5"/>
  <c r="C79" i="5"/>
  <c r="C80" i="5"/>
  <c r="C81" i="5"/>
  <c r="G19" i="77" l="1"/>
  <c r="H86" i="76"/>
  <c r="H91" i="5"/>
  <c r="F91" i="5"/>
  <c r="C84" i="5" l="1"/>
  <c r="C85" i="5"/>
  <c r="C86" i="5"/>
  <c r="D11" i="8" l="1"/>
  <c r="D8" i="22" l="1"/>
  <c r="E9" i="78" l="1"/>
  <c r="B9" i="78"/>
  <c r="D18" i="8" l="1"/>
  <c r="E10" i="78" l="1"/>
  <c r="B10" i="78"/>
  <c r="E8" i="78"/>
  <c r="B8" i="78"/>
  <c r="B22" i="76" l="1"/>
  <c r="D7" i="75"/>
  <c r="B30" i="76"/>
  <c r="B27" i="76"/>
  <c r="Q4" i="84"/>
  <c r="C4" i="84"/>
  <c r="G6" i="8" l="1"/>
  <c r="D9" i="8"/>
  <c r="D5" i="8" l="1"/>
  <c r="L12" i="74" l="1"/>
  <c r="K12" i="74"/>
  <c r="H12" i="74"/>
  <c r="L11" i="74"/>
  <c r="K11" i="74"/>
  <c r="H11" i="74"/>
  <c r="L10" i="74"/>
  <c r="K10" i="74"/>
  <c r="H10" i="74"/>
  <c r="E7" i="22"/>
  <c r="B72" i="76"/>
  <c r="B85" i="76"/>
  <c r="B6" i="76"/>
  <c r="B52" i="76"/>
  <c r="B44" i="76"/>
  <c r="B41" i="76"/>
  <c r="B9" i="76"/>
  <c r="B81" i="76"/>
  <c r="B26" i="76"/>
  <c r="B38" i="76"/>
  <c r="B59" i="76"/>
  <c r="B39" i="76"/>
  <c r="B70" i="76"/>
  <c r="E107" i="76" l="1"/>
  <c r="H91" i="76"/>
  <c r="C22" i="77"/>
  <c r="F5" i="84" l="1"/>
  <c r="K91" i="5"/>
  <c r="L91" i="5"/>
  <c r="M91" i="5"/>
  <c r="N91" i="5"/>
  <c r="F92" i="5" l="1"/>
  <c r="F93" i="5" s="1"/>
  <c r="F7" i="84"/>
  <c r="H5" i="84"/>
  <c r="H92" i="5" l="1"/>
  <c r="H93" i="5" s="1"/>
  <c r="H7" i="84"/>
  <c r="J32" i="77"/>
  <c r="B92" i="76" l="1"/>
  <c r="L9" i="74"/>
  <c r="K9" i="74"/>
  <c r="H9" i="74"/>
  <c r="L8" i="74"/>
  <c r="K8" i="74"/>
  <c r="H8" i="74"/>
  <c r="L7" i="74"/>
  <c r="K7" i="74"/>
  <c r="H7" i="74"/>
  <c r="L6" i="74"/>
  <c r="K6" i="74"/>
  <c r="K13" i="74" s="1"/>
  <c r="H6" i="74"/>
  <c r="E20" i="22" l="1"/>
  <c r="B20" i="22"/>
  <c r="J49" i="75"/>
  <c r="G49" i="75"/>
  <c r="J48" i="75"/>
  <c r="G48" i="75"/>
  <c r="J47" i="75"/>
  <c r="G47" i="75"/>
  <c r="J46" i="75"/>
  <c r="G46" i="75"/>
  <c r="G25" i="77" l="1"/>
  <c r="B82" i="76" l="1"/>
  <c r="B62" i="76"/>
  <c r="B21" i="76"/>
  <c r="B16" i="76"/>
  <c r="B83" i="76"/>
  <c r="B55" i="76"/>
  <c r="B64" i="76"/>
  <c r="B60" i="76"/>
  <c r="B11" i="76"/>
  <c r="B56" i="76"/>
  <c r="B24" i="76"/>
  <c r="B49" i="76"/>
  <c r="B65" i="76"/>
  <c r="B7" i="76"/>
  <c r="B14" i="76"/>
  <c r="B17" i="76"/>
  <c r="B69" i="76"/>
  <c r="B68" i="76"/>
  <c r="B46" i="76"/>
  <c r="B36" i="76"/>
  <c r="B79" i="76"/>
  <c r="B32" i="76"/>
  <c r="B28" i="76"/>
  <c r="B29" i="76"/>
  <c r="B40" i="76"/>
  <c r="B45" i="76"/>
  <c r="B50" i="76"/>
  <c r="B84" i="76"/>
  <c r="B61" i="76"/>
  <c r="B34" i="76"/>
  <c r="B77" i="76"/>
  <c r="B33" i="76"/>
  <c r="B12" i="76"/>
  <c r="B54" i="76"/>
  <c r="B43" i="76"/>
  <c r="D8" i="8" l="1"/>
  <c r="D16" i="8" l="1"/>
  <c r="G8" i="77" l="1"/>
  <c r="C8" i="77"/>
  <c r="G11" i="77"/>
  <c r="C11" i="77"/>
  <c r="G7" i="77"/>
  <c r="C7" i="77"/>
  <c r="G9" i="77"/>
  <c r="C9" i="77"/>
  <c r="C28" i="77" l="1"/>
  <c r="D7" i="8" l="1"/>
  <c r="D6" i="8"/>
  <c r="C21" i="77" l="1"/>
  <c r="G6" i="77"/>
  <c r="C6" i="77"/>
  <c r="G12" i="77"/>
  <c r="C12" i="77"/>
  <c r="G13" i="77"/>
  <c r="C13" i="77"/>
  <c r="G16" i="77"/>
  <c r="C16" i="77"/>
  <c r="G14" i="77"/>
  <c r="C14" i="77"/>
  <c r="G10" i="77"/>
  <c r="C10" i="77"/>
  <c r="J45" i="75"/>
  <c r="J44" i="75"/>
  <c r="J43" i="75"/>
  <c r="J42" i="75"/>
  <c r="J41" i="75"/>
  <c r="J40" i="75"/>
  <c r="G18" i="8" l="1"/>
  <c r="E19" i="21" l="1"/>
  <c r="B19" i="21"/>
  <c r="E8" i="73"/>
  <c r="N5" i="84"/>
  <c r="J11" i="84" s="1"/>
  <c r="O5" i="84"/>
  <c r="J10" i="84" s="1"/>
  <c r="L5" i="84"/>
  <c r="J12" i="84"/>
  <c r="H90" i="76" l="1"/>
  <c r="H92" i="76" s="1"/>
  <c r="G17" i="8" l="1"/>
  <c r="G16" i="8"/>
  <c r="F6" i="74" l="1"/>
  <c r="F7" i="74"/>
  <c r="F8" i="74"/>
  <c r="F9" i="74"/>
  <c r="F10" i="74"/>
  <c r="F11" i="74"/>
  <c r="F12" i="74"/>
  <c r="F13" i="74"/>
  <c r="G44" i="75"/>
  <c r="Q5" i="84" l="1"/>
  <c r="A92" i="76" l="1"/>
  <c r="B91" i="76"/>
  <c r="G42" i="75"/>
  <c r="G43" i="75"/>
  <c r="G45" i="75"/>
  <c r="D10" i="8" l="1"/>
  <c r="B13" i="74" l="1"/>
  <c r="B12" i="74"/>
  <c r="B11" i="74"/>
  <c r="B10" i="74"/>
  <c r="B9" i="74"/>
  <c r="G41" i="75" l="1"/>
  <c r="E22" i="78" l="1"/>
  <c r="B22" i="78"/>
  <c r="J19" i="75"/>
  <c r="J6" i="75"/>
  <c r="G40" i="75"/>
  <c r="G19" i="75"/>
  <c r="G6" i="75"/>
  <c r="E18" i="75"/>
  <c r="E6" i="75"/>
  <c r="B18" i="75"/>
  <c r="B6" i="75"/>
  <c r="B6" i="74"/>
  <c r="B7" i="74"/>
  <c r="B8" i="74"/>
  <c r="B49" i="73"/>
  <c r="E43" i="73"/>
  <c r="B43" i="73"/>
  <c r="D23" i="78" l="1"/>
  <c r="D31" i="78" s="1"/>
  <c r="D30" i="78"/>
  <c r="I58" i="75"/>
  <c r="D19" i="75"/>
  <c r="D26" i="75" s="1"/>
  <c r="I26" i="75"/>
  <c r="D25" i="75"/>
  <c r="E30" i="75" s="1"/>
  <c r="I25" i="75"/>
  <c r="E38" i="74"/>
  <c r="E37" i="74"/>
  <c r="F39" i="73"/>
  <c r="F33" i="73"/>
  <c r="F35" i="73" s="1"/>
  <c r="F26" i="73"/>
  <c r="F28" i="73" s="1"/>
  <c r="F21" i="73"/>
  <c r="F23" i="73" s="1"/>
  <c r="F16" i="73"/>
  <c r="D27" i="75" l="1"/>
  <c r="E32" i="75" s="1"/>
  <c r="D32" i="78"/>
  <c r="F18" i="73"/>
  <c r="B50" i="73"/>
  <c r="K29" i="74"/>
  <c r="K30" i="74"/>
  <c r="G4" i="77"/>
  <c r="I27" i="75"/>
  <c r="F41" i="73"/>
  <c r="E39" i="74"/>
  <c r="F42" i="74" l="1"/>
  <c r="K31" i="74"/>
  <c r="F44" i="74" s="1"/>
  <c r="D17" i="8" l="1"/>
  <c r="D14" i="8"/>
  <c r="D10" i="32" l="1"/>
  <c r="G15" i="8" l="1"/>
  <c r="G14" i="8"/>
  <c r="D21" i="22" l="1"/>
  <c r="G9" i="8" l="1"/>
  <c r="G13" i="8" l="1"/>
  <c r="G12" i="8"/>
  <c r="D15" i="8"/>
  <c r="G11" i="8"/>
  <c r="G10" i="8"/>
  <c r="D13" i="8"/>
  <c r="D12" i="8"/>
  <c r="G8" i="8" l="1"/>
  <c r="G5" i="8" l="1"/>
  <c r="D8" i="21" l="1"/>
  <c r="D8" i="17" l="1"/>
  <c r="D20" i="21" l="1"/>
  <c r="D10" i="15" l="1"/>
  <c r="E23" i="32" l="1"/>
  <c r="B23" i="32"/>
  <c r="E9" i="32"/>
  <c r="B9" i="32"/>
  <c r="G4" i="8" l="1"/>
  <c r="G7" i="8"/>
  <c r="D30" i="22" l="1"/>
  <c r="D29" i="22" l="1"/>
  <c r="D31" i="22" s="1"/>
  <c r="E9" i="15" l="1"/>
  <c r="B9" i="15"/>
  <c r="D24" i="32" l="1"/>
  <c r="E29" i="32" l="1"/>
  <c r="E30" i="32"/>
  <c r="D24" i="21"/>
  <c r="D25" i="21"/>
  <c r="E7" i="21"/>
  <c r="B7" i="21"/>
  <c r="E31" i="32" l="1"/>
  <c r="D26" i="21"/>
  <c r="E7" i="17" l="1"/>
  <c r="B7" i="17"/>
  <c r="B31" i="17" l="1"/>
  <c r="D25" i="17"/>
  <c r="B32" i="17" s="1"/>
  <c r="E24" i="17"/>
  <c r="B24" i="17"/>
  <c r="E23" i="17"/>
  <c r="B23" i="17"/>
  <c r="D4" i="8" l="1"/>
  <c r="B33" i="17" l="1"/>
</calcChain>
</file>

<file path=xl/sharedStrings.xml><?xml version="1.0" encoding="utf-8"?>
<sst xmlns="http://schemas.openxmlformats.org/spreadsheetml/2006/main" count="11504" uniqueCount="3766">
  <si>
    <t>Таб.№</t>
  </si>
  <si>
    <t>Ф.И.О.</t>
  </si>
  <si>
    <t>рук</t>
  </si>
  <si>
    <t>Управление капитального строительства жилья и зданий</t>
  </si>
  <si>
    <t>Центральная инженерно-технологическая служба</t>
  </si>
  <si>
    <t>Управление промышленной безопасности и охраны труда</t>
  </si>
  <si>
    <t>Управление по организации обслуживания производства</t>
  </si>
  <si>
    <t>Заместитель начальника отдела</t>
  </si>
  <si>
    <t>Управление по капитальному ремонту производственных объектов</t>
  </si>
  <si>
    <t>Управление по разработке месторождений</t>
  </si>
  <si>
    <t>Управление по бурению</t>
  </si>
  <si>
    <t>Начальник отдела</t>
  </si>
  <si>
    <t>Геологическое управление</t>
  </si>
  <si>
    <t>Химяк Олег Михайлович</t>
  </si>
  <si>
    <t>Начальник управления</t>
  </si>
  <si>
    <t>Грибков Александр Дмитриевич</t>
  </si>
  <si>
    <t>Управление по материально-техническому обеспечению производства</t>
  </si>
  <si>
    <t>Управление по работе с кадрами</t>
  </si>
  <si>
    <t>Лаврухин Вячеслав Николаевич</t>
  </si>
  <si>
    <t>Марисов Юрий Петрович</t>
  </si>
  <si>
    <t>Управление коммерческо-сбытовой деятельности</t>
  </si>
  <si>
    <t>Заместитель начальника управления</t>
  </si>
  <si>
    <t>Управление внешнеэкономической деятельности</t>
  </si>
  <si>
    <t>Башук Александр Иванович</t>
  </si>
  <si>
    <t>Управление информационной безопасности</t>
  </si>
  <si>
    <t>Солнцев Сергей Николаевич</t>
  </si>
  <si>
    <t>Миленин Александр Викторович</t>
  </si>
  <si>
    <t>Управление капитального строительства производственных объектов</t>
  </si>
  <si>
    <t>Бухаров Евгений Александрович</t>
  </si>
  <si>
    <t>Мансуров Виктор Петрович</t>
  </si>
  <si>
    <t>Второй отдел</t>
  </si>
  <si>
    <t>Ермаков Станислав Анатольевич</t>
  </si>
  <si>
    <t>Техническое управление</t>
  </si>
  <si>
    <t>Сухарев Владимир Петрович</t>
  </si>
  <si>
    <t>Метрологический отдел</t>
  </si>
  <si>
    <t>Ким Анатолий Анатольевич</t>
  </si>
  <si>
    <t>Управление информационных технологий</t>
  </si>
  <si>
    <t>Инспектор</t>
  </si>
  <si>
    <t>Финансовое управление</t>
  </si>
  <si>
    <t>Ганичев Андрей Валерьевич</t>
  </si>
  <si>
    <t>Заместитель начальника центра</t>
  </si>
  <si>
    <t>Управление организации и оплаты труда</t>
  </si>
  <si>
    <t>Ярыгин Александр Анатольевич</t>
  </si>
  <si>
    <t>Арсланов Тимур Эриканович</t>
  </si>
  <si>
    <t>Управление имущества</t>
  </si>
  <si>
    <t>Главный специалист</t>
  </si>
  <si>
    <t>Павлюченко Дмитрий Валерьевич</t>
  </si>
  <si>
    <t>Правовое управление</t>
  </si>
  <si>
    <t>Драндусов Андрей Владимирович</t>
  </si>
  <si>
    <t>Управление экологической безопасности и природопользования</t>
  </si>
  <si>
    <t>Первый заместитель начальника управления</t>
  </si>
  <si>
    <t>Снесарь Сергей Александрович</t>
  </si>
  <si>
    <t>Медведев Сергей Владимирович</t>
  </si>
  <si>
    <t>Управление главного механика</t>
  </si>
  <si>
    <t>Главный механик - начальник управления</t>
  </si>
  <si>
    <t>Кабайда Олег Игоревич</t>
  </si>
  <si>
    <t>Ведущий юрисконсульт</t>
  </si>
  <si>
    <t>Колюбаев Александр Васильевич</t>
  </si>
  <si>
    <t>Синявский Александр Федорович</t>
  </si>
  <si>
    <t>Месилов Николай Петрович</t>
  </si>
  <si>
    <t>Голованев Андрей Анатольевич</t>
  </si>
  <si>
    <t>Петрачук Василий Владимирович</t>
  </si>
  <si>
    <t>Поспелов Юрий Алексеевич</t>
  </si>
  <si>
    <t>Управление энергетики</t>
  </si>
  <si>
    <t>Управление делами</t>
  </si>
  <si>
    <t>Производственный отдел по подготовке нефти</t>
  </si>
  <si>
    <t>Шостак Валерий Александрович</t>
  </si>
  <si>
    <t>Административно-хозяйственное управление</t>
  </si>
  <si>
    <t>Ведущий инженер - руководитель группы</t>
  </si>
  <si>
    <t>Петров Сергей Геннадьевич</t>
  </si>
  <si>
    <t>Полатовский Сергей Николаевич</t>
  </si>
  <si>
    <t>Дмитриев Юрий Константинович</t>
  </si>
  <si>
    <t>Девякович Геннадий Михайлович</t>
  </si>
  <si>
    <t>Управление по землепользованию</t>
  </si>
  <si>
    <t>Кривобоков Федор Иванович</t>
  </si>
  <si>
    <t>Марисов Олег Юрьевич</t>
  </si>
  <si>
    <t>Куфтерин Владимир Валерьевич</t>
  </si>
  <si>
    <t>Теплов Глеб Вячеславович</t>
  </si>
  <si>
    <t>Трущелёв Валерий Юрьевич</t>
  </si>
  <si>
    <t>Шелковников Вадим Евгеньевич</t>
  </si>
  <si>
    <t>Старший инспектор</t>
  </si>
  <si>
    <t>Ахметов Камиль Рашитович</t>
  </si>
  <si>
    <t>Таразанов Андрей Владимирович</t>
  </si>
  <si>
    <t>Климкин Олег Геннадьевич</t>
  </si>
  <si>
    <t>Маркшейдерский отдел</t>
  </si>
  <si>
    <t>Иванкив Михаил Михайлович</t>
  </si>
  <si>
    <t>Девятков Владимир Леонидович</t>
  </si>
  <si>
    <t xml:space="preserve">Начальник управления </t>
  </si>
  <si>
    <t>Заместитель начальника управления по вопросам внедрения новых технологий</t>
  </si>
  <si>
    <t>Ершов Евгений Леонидович</t>
  </si>
  <si>
    <t>Управление ценных бумаг</t>
  </si>
  <si>
    <t>Иналов Вадим Анатольевич</t>
  </si>
  <si>
    <t>Бекчев Виктор Николаевич</t>
  </si>
  <si>
    <t>Калинин Александр Юрьевич</t>
  </si>
  <si>
    <t>Фалалеев Дмитрий Юрьевич</t>
  </si>
  <si>
    <t>Губарь Григорий Владимирович</t>
  </si>
  <si>
    <t>Управление корпоративного контроля и анализа</t>
  </si>
  <si>
    <t>Аверьянов Андрей Вячеславович</t>
  </si>
  <si>
    <t>Сташкин Рудольф Петрович</t>
  </si>
  <si>
    <t>Калачев Игорь Юрьевич</t>
  </si>
  <si>
    <t>Палий Сергей Павлович</t>
  </si>
  <si>
    <t>Управление протокола</t>
  </si>
  <si>
    <t>Лянторское ВМУ</t>
  </si>
  <si>
    <t>Белоусько Александр Владимирович</t>
  </si>
  <si>
    <t>Сиробаба Александр Викторович</t>
  </si>
  <si>
    <t>Гимранов Ринат Дамирович</t>
  </si>
  <si>
    <t>Михалёв Вадим Георгиевич</t>
  </si>
  <si>
    <t>Аппарат при руководстве</t>
  </si>
  <si>
    <t>Управление стратегических исследований и разработок</t>
  </si>
  <si>
    <t>Ведущий экономист</t>
  </si>
  <si>
    <t>Ларичев Илья Владимирович</t>
  </si>
  <si>
    <t>Серебряков Андрей Николаевич</t>
  </si>
  <si>
    <t>Кузовлев Станислав Владиславович</t>
  </si>
  <si>
    <t>Минибаев Игорь Эдуардович</t>
  </si>
  <si>
    <t>Якутск</t>
  </si>
  <si>
    <t>Бакика Валерий Евгеньевич</t>
  </si>
  <si>
    <t>Инженер II категории</t>
  </si>
  <si>
    <t>Дубинин Владимир Анатольевич</t>
  </si>
  <si>
    <t>Вишнёв Олег Александрович</t>
  </si>
  <si>
    <t>Денискин Алексей Юрьевич</t>
  </si>
  <si>
    <t>Управление по координации сбыта нефтепродуктов</t>
  </si>
  <si>
    <t>Баев Федор Алексеевич</t>
  </si>
  <si>
    <t>Пресс-служба</t>
  </si>
  <si>
    <t>Артёменко Алексей Геннадьевич</t>
  </si>
  <si>
    <t>Начальник службы</t>
  </si>
  <si>
    <t>Заместитель главного механика</t>
  </si>
  <si>
    <t>Ракшин Вячеслав Вячеславович</t>
  </si>
  <si>
    <t>Колесников Иван Иванович</t>
  </si>
  <si>
    <t>Киликиди Дмитрий Григорьевич</t>
  </si>
  <si>
    <t>Голозубов Владимир Алексеевич</t>
  </si>
  <si>
    <t>Строгонов Сергей Владимирович</t>
  </si>
  <si>
    <t>Новиков Денис Юрьевич</t>
  </si>
  <si>
    <t>Хорешко Игорь Васильевич</t>
  </si>
  <si>
    <t>Осипов Евгений Александрович</t>
  </si>
  <si>
    <t>Назаров Игорь Георгиевич</t>
  </si>
  <si>
    <t>Дроздов Виталий Владимирович</t>
  </si>
  <si>
    <t>Говорухин Дмитрий Евгеньевич</t>
  </si>
  <si>
    <t>Ревнивцев Игорь Валентинович</t>
  </si>
  <si>
    <t>Плетнев Дмитрий Владимирович</t>
  </si>
  <si>
    <t>Агиевич Вадим Анатольевич</t>
  </si>
  <si>
    <t>Планово-экономическое управление</t>
  </si>
  <si>
    <t>Пустовой Владимир Николаевич</t>
  </si>
  <si>
    <t>Лушников Андрей Александрович</t>
  </si>
  <si>
    <t>Экономист</t>
  </si>
  <si>
    <t>Управление ведения бухгалтерского учета и отчетности</t>
  </si>
  <si>
    <t>Андреева Любовь Петровна</t>
  </si>
  <si>
    <t>Шипкова Антонина Павловна</t>
  </si>
  <si>
    <t xml:space="preserve">Клиновская Таисия Петровна </t>
  </si>
  <si>
    <t>Экономист I категории</t>
  </si>
  <si>
    <t>Михайлова Ирина Владимировна</t>
  </si>
  <si>
    <t>Руководитель группы</t>
  </si>
  <si>
    <t>Корнилова Галина Петровна</t>
  </si>
  <si>
    <t>Ведущий референт</t>
  </si>
  <si>
    <t>Филинова Любовь Ивановна</t>
  </si>
  <si>
    <t>Ведущий инженер</t>
  </si>
  <si>
    <t>Дейнега Тамара Викторовна</t>
  </si>
  <si>
    <t>Референт II категории</t>
  </si>
  <si>
    <t>Планово-производственный отдел по капитальному строительству</t>
  </si>
  <si>
    <t>Ласькова Наталья Ивановна</t>
  </si>
  <si>
    <t>Юрисконсульт II категории</t>
  </si>
  <si>
    <t>Бутакова Татьяна Петровна</t>
  </si>
  <si>
    <t>Заведующий хозяйством</t>
  </si>
  <si>
    <t>Петрова Альбина Рашитовна</t>
  </si>
  <si>
    <t>Заместитель начальника экспедиции</t>
  </si>
  <si>
    <t>Малышкина Любовь Альфредовна</t>
  </si>
  <si>
    <t>Косенко Ирина Юрьевна</t>
  </si>
  <si>
    <t>Грибкова Анжелика Алексеевна</t>
  </si>
  <si>
    <t>Налоговое управление</t>
  </si>
  <si>
    <t>Теплова Ирина Геннадьевна</t>
  </si>
  <si>
    <t>Орлова Зинаида Александровна</t>
  </si>
  <si>
    <t>Разумкова Наталья Георгиевна</t>
  </si>
  <si>
    <t>Бухгалтер I категории</t>
  </si>
  <si>
    <t>Кударова Наталья Петровна</t>
  </si>
  <si>
    <t>Ведущий бухгалтер</t>
  </si>
  <si>
    <t>Акуленко Елена Роальдовна</t>
  </si>
  <si>
    <t>Гаук Галина Петровна</t>
  </si>
  <si>
    <t>Габрусь Валентина Кузьминична</t>
  </si>
  <si>
    <t>Каюкова Лариса Сергеевна</t>
  </si>
  <si>
    <t>Воробьева Галина Владимировна</t>
  </si>
  <si>
    <t>Юрисконсульт I категории</t>
  </si>
  <si>
    <t>Мацук Ольга Владимировна</t>
  </si>
  <si>
    <t>Колыбелкина Нина Владимировна</t>
  </si>
  <si>
    <t>Зарубина Лариса Вячеславовна</t>
  </si>
  <si>
    <t>Шевелева Надежда Григорьевна</t>
  </si>
  <si>
    <t>Маглеванная Нина Юрьевна</t>
  </si>
  <si>
    <t>Пырикова Галина Валентиновна</t>
  </si>
  <si>
    <t>Рыхтенко Ольга Филипповна</t>
  </si>
  <si>
    <t>Горновская Ирина Владимировна</t>
  </si>
  <si>
    <t>Матвеева Светлана Алексеевна</t>
  </si>
  <si>
    <t>Чабарай Инна Анатольевна</t>
  </si>
  <si>
    <t>Рарицкая Надежда Владимировна</t>
  </si>
  <si>
    <t>Дымова Лариса Викторовна</t>
  </si>
  <si>
    <t>Черненко Людмила Владимировна</t>
  </si>
  <si>
    <t>Зырянова Наталья Анатольевна</t>
  </si>
  <si>
    <t>Лапотышкина Галина Александровна</t>
  </si>
  <si>
    <t>Управление перспективного развития</t>
  </si>
  <si>
    <t>Демчук Татьяна Стефановна</t>
  </si>
  <si>
    <t>Воробьева Светлана Васильевна</t>
  </si>
  <si>
    <t>Григорьева Наталья Леонидовна</t>
  </si>
  <si>
    <t>Ходыкина Елена Викторовна</t>
  </si>
  <si>
    <t>Ворончихина Светлана Владимировна</t>
  </si>
  <si>
    <t>Поспелова Елена Вячеславовна</t>
  </si>
  <si>
    <t>Новоселова Снежана Леонидовна</t>
  </si>
  <si>
    <t>Суботьялова Наталья Ивановна</t>
  </si>
  <si>
    <t>Давлетгареева Валентина Александровна</t>
  </si>
  <si>
    <t>Позднухова Светлана Павловна</t>
  </si>
  <si>
    <t>Кац Регина Ильинична</t>
  </si>
  <si>
    <t>Евдокимова Надежда Николаевна</t>
  </si>
  <si>
    <t>Романенко Татьяна Аркадьевна</t>
  </si>
  <si>
    <t>Сладкова Ольга Генриховна</t>
  </si>
  <si>
    <t>Начальник центра</t>
  </si>
  <si>
    <t>Люкшина Елена Евгеньевна</t>
  </si>
  <si>
    <t>Варнакова Татьяна Николаевна</t>
  </si>
  <si>
    <t>Ворончагина Любовь Евгеньевна</t>
  </si>
  <si>
    <t>Редикарцева Александра Леонидовна</t>
  </si>
  <si>
    <t>Голова Людмила Алексеевна</t>
  </si>
  <si>
    <t>Служба внутреннего аудита</t>
  </si>
  <si>
    <t>Буйницкая Татьяна Евгеньевна</t>
  </si>
  <si>
    <t>Миронова Ольга Евгеньевна</t>
  </si>
  <si>
    <t>Дедкова Нина Фишевна</t>
  </si>
  <si>
    <t>Макарова Ольга Федоровна</t>
  </si>
  <si>
    <t>Мусихина Валентина Викторовна</t>
  </si>
  <si>
    <t>Рождаева Антонида Трофимовна</t>
  </si>
  <si>
    <t>Гурьянова Татьяна Анатольевна</t>
  </si>
  <si>
    <t>Котлярова Вера Александровна</t>
  </si>
  <si>
    <t>Полищук Елена Васильевна</t>
  </si>
  <si>
    <t>Чеснокова Татьяна Анатольевна</t>
  </si>
  <si>
    <t>Иванова Светлана Юрьевна</t>
  </si>
  <si>
    <t>Референт I категории</t>
  </si>
  <si>
    <t>Бурангулова Гузель Рафаиловна</t>
  </si>
  <si>
    <t>Егорова Эльмира Петровна</t>
  </si>
  <si>
    <t>Верба Галина Ивановна</t>
  </si>
  <si>
    <t>Сидорук Любовь Антоновна</t>
  </si>
  <si>
    <t>Колькова Галина Федоровна</t>
  </si>
  <si>
    <t>Ногманова Наиля Фирдавесовна</t>
  </si>
  <si>
    <t>Ермолаева Наталья Геннадьевна</t>
  </si>
  <si>
    <t>Данильченко Оксана Васильевна</t>
  </si>
  <si>
    <t>Референт</t>
  </si>
  <si>
    <t>Никитина Ирина Евгеньевна</t>
  </si>
  <si>
    <t>Соколова Ирина Викторовна</t>
  </si>
  <si>
    <t>Попова Анжелика Вячеславовна</t>
  </si>
  <si>
    <t>Павлова Людмила Ивановна</t>
  </si>
  <si>
    <t>Инженер I категории</t>
  </si>
  <si>
    <t>Ладыко Ольга Игоревна</t>
  </si>
  <si>
    <t>Сербина Татьяна Егоровна</t>
  </si>
  <si>
    <t>Журба Елена Петровна</t>
  </si>
  <si>
    <t>Чусовитина Людмила Александровна</t>
  </si>
  <si>
    <t>Солтысяк Жанна Николаевна</t>
  </si>
  <si>
    <t>Абакумова Светлана Александровна</t>
  </si>
  <si>
    <t>Дейнега Лариса Викторовна</t>
  </si>
  <si>
    <t>Чуклина Вероника Юрьевна</t>
  </si>
  <si>
    <t>Малкина Наталья Валентиновна</t>
  </si>
  <si>
    <t>Петенева Ирина Леонидовна</t>
  </si>
  <si>
    <t>Хакимова Любовь Петровна</t>
  </si>
  <si>
    <t>Пуртова Ирина Юрьевна</t>
  </si>
  <si>
    <t>Бутко Татьяна Николаевна</t>
  </si>
  <si>
    <t>Бевза Галина Владимировна</t>
  </si>
  <si>
    <t>Мисюра Ирина Ивановна</t>
  </si>
  <si>
    <t>Курашова Елена Евгеньевна</t>
  </si>
  <si>
    <t>Солодилова Елена Владимировна</t>
  </si>
  <si>
    <t>Ангелина Ольга Александровна</t>
  </si>
  <si>
    <t>Пустовая Галина Вениаминовна</t>
  </si>
  <si>
    <t>Мазер Ирина Александровна</t>
  </si>
  <si>
    <t>Голубцова Жанна Владимировна</t>
  </si>
  <si>
    <t>Тедеева Вера Анатольевна</t>
  </si>
  <si>
    <t>Близнюк Оксана Николаевна</t>
  </si>
  <si>
    <t>Колотовкина Елена Леонидовна</t>
  </si>
  <si>
    <t>Варламова Эмма Маратовна</t>
  </si>
  <si>
    <t>Администратор</t>
  </si>
  <si>
    <t>Юрисконсульт</t>
  </si>
  <si>
    <t>Кужелевич Ольга Владимировна</t>
  </si>
  <si>
    <t>Королёва Ольга Николаевна</t>
  </si>
  <si>
    <t>Попызенко Любовь Владимировна</t>
  </si>
  <si>
    <t>Путицкая Римма Зуфаровна</t>
  </si>
  <si>
    <t>Зорина Елена Анатольевна</t>
  </si>
  <si>
    <t>Анисимова Арина Александровна</t>
  </si>
  <si>
    <t>Секова Алевтина Ивановна</t>
  </si>
  <si>
    <t>Кондратюк Тамара Владимировна</t>
  </si>
  <si>
    <t>Седова Наталья Леонидовна</t>
  </si>
  <si>
    <t>Савченко Марина Владимировна</t>
  </si>
  <si>
    <t>Галичина Виктория Николаевна</t>
  </si>
  <si>
    <t>Сидорова Ирина Искаковна</t>
  </si>
  <si>
    <t>Рекотова Ирина Викторовна</t>
  </si>
  <si>
    <t>Бочарова Ольга Александровна</t>
  </si>
  <si>
    <t>Бельских Татьяна Владимировна</t>
  </si>
  <si>
    <t>Захарченко Татьяна Алексеевна</t>
  </si>
  <si>
    <t>Гез Вера Ивановна</t>
  </si>
  <si>
    <t>Авдеева Людмила Петровна</t>
  </si>
  <si>
    <t>Старший администратор</t>
  </si>
  <si>
    <t>Звозникова Людмила Алексеевна</t>
  </si>
  <si>
    <t>Модельер</t>
  </si>
  <si>
    <t>Фатеева Наталья Вячеславовна</t>
  </si>
  <si>
    <t>Рац Лариса Николаевна</t>
  </si>
  <si>
    <t>Сухова Елена Юрьевна</t>
  </si>
  <si>
    <t>Салимова Галина Владимировна</t>
  </si>
  <si>
    <t>Марьина Елена Евгеньевна</t>
  </si>
  <si>
    <t>Яхудина Наталья Алимовна</t>
  </si>
  <si>
    <t>Монах Елена Борисовна</t>
  </si>
  <si>
    <t>Калмыкова Ирина Валентиновна</t>
  </si>
  <si>
    <t>Шевелёва Наталия Владимировна</t>
  </si>
  <si>
    <t>Зайцева Марина Николаевна</t>
  </si>
  <si>
    <t>Дмитриева Людмила Алексеевна</t>
  </si>
  <si>
    <t>Инженер</t>
  </si>
  <si>
    <t>Богатырчук Екатерина Юрьевна</t>
  </si>
  <si>
    <t>Шевелева Галина Фаритовна</t>
  </si>
  <si>
    <t>Столярчук Людмила Анатольевна</t>
  </si>
  <si>
    <t>Зинченко Татьяна Петровна</t>
  </si>
  <si>
    <t>Малькова Альбина Зуфаровна</t>
  </si>
  <si>
    <t>Туманова Юлия Юрьевна</t>
  </si>
  <si>
    <t>Шамшурина Екатерина Петровна</t>
  </si>
  <si>
    <t>Валицкая Тамара Иосифовна</t>
  </si>
  <si>
    <t>Зиновьева Татьяна Викторовна</t>
  </si>
  <si>
    <t>Зайнутдинова Елена Валерьевна</t>
  </si>
  <si>
    <t>Ефимова Ирина Арсеньевна</t>
  </si>
  <si>
    <t>Штоль Наталья Анатольевна</t>
  </si>
  <si>
    <t>Шубина Ольга Ивановна</t>
  </si>
  <si>
    <t>Светличная Татьяна Валерьевна</t>
  </si>
  <si>
    <t>Пронина Марина Витальевна</t>
  </si>
  <si>
    <t>Зарецкая Ирина Михайловна</t>
  </si>
  <si>
    <t>Цыганок Ирина Викторовна</t>
  </si>
  <si>
    <t>Курепина Наталья Павловна</t>
  </si>
  <si>
    <t>Савватеева Нина Владимировна</t>
  </si>
  <si>
    <t>Шашкова Ольга Михайловна</t>
  </si>
  <si>
    <t>Воловодова Наталья Николаевна</t>
  </si>
  <si>
    <t>Управление экономики и юриспруденции</t>
  </si>
  <si>
    <t>Заместитель начальника службы</t>
  </si>
  <si>
    <t>Каганюк Елена Евгеньевна</t>
  </si>
  <si>
    <t>Кашапова Марина Владимировна</t>
  </si>
  <si>
    <t>Пасечко Елена Викторовна</t>
  </si>
  <si>
    <t>Чернозубова Елена Викторовна</t>
  </si>
  <si>
    <t>Кольцова Наталья Анатольевна</t>
  </si>
  <si>
    <t>Кузнецова Юлия Константиновна</t>
  </si>
  <si>
    <t>Шеремет Ольга Геннадьевна</t>
  </si>
  <si>
    <t>Михайлова Ольга Сергеевна</t>
  </si>
  <si>
    <t>Галочкина Татьяна Евгеньевна</t>
  </si>
  <si>
    <t>Сапелина Юлия Анатольевна</t>
  </si>
  <si>
    <t>Павлина Лариса Федоровна</t>
  </si>
  <si>
    <t>Дугина Людмила Викторовна</t>
  </si>
  <si>
    <t>Холомеева Ирина Яковлевна</t>
  </si>
  <si>
    <t>Михайлова Татьяна Николаевна</t>
  </si>
  <si>
    <t>Кузнецова Татьяна Викторовна</t>
  </si>
  <si>
    <t>Соломина Светлана Алиевна</t>
  </si>
  <si>
    <t>Крецул Татьяна Николаевна</t>
  </si>
  <si>
    <t>Петренко Светлана Викторовна</t>
  </si>
  <si>
    <t>Левина Юлия Сергеевна</t>
  </si>
  <si>
    <t>Зайкина Валерия Александровна</t>
  </si>
  <si>
    <t>Кувикина Галина Владимировна</t>
  </si>
  <si>
    <t>Батраченко Виктория Александровна</t>
  </si>
  <si>
    <t>Браташова Зоя Анатольевна</t>
  </si>
  <si>
    <t>Марченко Елена Викторовна</t>
  </si>
  <si>
    <t>Мелякова Лариса Петровна</t>
  </si>
  <si>
    <t>Самойлова Ольга Владимировна</t>
  </si>
  <si>
    <t>Титова Лариса Анатольевна</t>
  </si>
  <si>
    <t>Павлова Ирина Валерьевна</t>
  </si>
  <si>
    <t>Останкова Наталия Николаевна</t>
  </si>
  <si>
    <t>Борисевич Елена Александровна</t>
  </si>
  <si>
    <t>Аксенова Ольга Леонидовна</t>
  </si>
  <si>
    <t>Зарипова Ирина Борисовна</t>
  </si>
  <si>
    <t>Попова Елена Владимировна</t>
  </si>
  <si>
    <t>Дюкарева Маргарита Викторовна</t>
  </si>
  <si>
    <t>Недокушева Яна Евгеньевна</t>
  </si>
  <si>
    <t>Цвяхина Кристина Петровна</t>
  </si>
  <si>
    <t>Кирилюк Светлана Владимировна</t>
  </si>
  <si>
    <t>Стрюкова Ольга Михайловна</t>
  </si>
  <si>
    <t>Минаева Елена Валерьевна</t>
  </si>
  <si>
    <t>Юнг Лариса Оскаровна</t>
  </si>
  <si>
    <t>Калугина Светлана Викторовна</t>
  </si>
  <si>
    <t>Кочеткова Юлиана Леонардовна</t>
  </si>
  <si>
    <t>Пыжьянова Светлана Сергеевна</t>
  </si>
  <si>
    <t>Филатов Сергей Викторович</t>
  </si>
  <si>
    <t>Шепилов Александр Алексеевич</t>
  </si>
  <si>
    <t>УКРНО</t>
  </si>
  <si>
    <t xml:space="preserve">Директор </t>
  </si>
  <si>
    <t>УПРР</t>
  </si>
  <si>
    <t>Михеев Игорь Юрьевич</t>
  </si>
  <si>
    <t>Хухрык Татьяна Викторовна</t>
  </si>
  <si>
    <t>Ляшенко Станислав Викторович</t>
  </si>
  <si>
    <t>Куза Ростислав Танасович</t>
  </si>
  <si>
    <t>Юдин Владимир Анатольевич</t>
  </si>
  <si>
    <t>Крыжнева Ольга Леонидовна</t>
  </si>
  <si>
    <t>Солнышкина Людмила Александровна</t>
  </si>
  <si>
    <t>Злыгастева Наталия Асгатовна</t>
  </si>
  <si>
    <t>Захваткина Светлана Игорьевна</t>
  </si>
  <si>
    <t>Ганеев Фарит Асхатович</t>
  </si>
  <si>
    <t>Управление по недропользованию</t>
  </si>
  <si>
    <t>Голосная Наталья Владимировна</t>
  </si>
  <si>
    <t>Кузьмин Сергей Сергеевич</t>
  </si>
  <si>
    <t>Аналитическое управление</t>
  </si>
  <si>
    <t>Гулик Андрей Владимирович</t>
  </si>
  <si>
    <t>Коноваленко Наталия Ивановна</t>
  </si>
  <si>
    <t>Шумова Лилия Владимировна</t>
  </si>
  <si>
    <t>Семенова Анна Олеговна</t>
  </si>
  <si>
    <t>Рарицкий Дмитрий Владимирович</t>
  </si>
  <si>
    <t>Шамилова Махуржат Абдулзагировна</t>
  </si>
  <si>
    <t>Афонин Олег Иванович</t>
  </si>
  <si>
    <t>Аппарат при заместителе генерального директора</t>
  </si>
  <si>
    <t>Шабалин Юрий Петрович</t>
  </si>
  <si>
    <t>Истомов Виктор Борисович</t>
  </si>
  <si>
    <t>Чеботарева Людмила Константиновна</t>
  </si>
  <si>
    <t>Левашкина Вера Александровна</t>
  </si>
  <si>
    <t>Ярощук Наталья Васильевна</t>
  </si>
  <si>
    <t>Ткачёв Максим Викторович</t>
  </si>
  <si>
    <t>Старцев-Левицкая Ольга Борисовна</t>
  </si>
  <si>
    <t>Тусов Сергей Владимирович</t>
  </si>
  <si>
    <t>Трофимов Александр Александрович</t>
  </si>
  <si>
    <t>Паничев Виктор Елизарович</t>
  </si>
  <si>
    <t>Галицкая Татьяна Юрьевна</t>
  </si>
  <si>
    <t>Риянов Миниразиф Файзерахманович</t>
  </si>
  <si>
    <t>Заместитель начальника управления-начальник отдела</t>
  </si>
  <si>
    <t>Малкин Владимир Игоревич</t>
  </si>
  <si>
    <t>Хорев Олег Евгеньевич</t>
  </si>
  <si>
    <t>Голиков Антон Валентинович</t>
  </si>
  <si>
    <t>Ткаченко Зоя Ивановна</t>
  </si>
  <si>
    <t>Курбанова Анна Алексеевна</t>
  </si>
  <si>
    <t>Боженюк Олег Олегович</t>
  </si>
  <si>
    <t>Ведущий специалист</t>
  </si>
  <si>
    <t>Матюшенко Анна Игоревна</t>
  </si>
  <si>
    <t>Управление по организации профилактики заболеваний и оздоровления персонала</t>
  </si>
  <si>
    <t>Бальзиров Юрий Мухтарович</t>
  </si>
  <si>
    <t>Присич Андрей Николаевич</t>
  </si>
  <si>
    <t>Мельникова Ольга Ивановна</t>
  </si>
  <si>
    <t>Доронин Сергей Борисович</t>
  </si>
  <si>
    <t>Швец Виталий Владимирович</t>
  </si>
  <si>
    <t>Яковлева Ирина Васильевна</t>
  </si>
  <si>
    <t>Пантелей Александр Михайлович</t>
  </si>
  <si>
    <t>Климишина Олеся Сергеевна</t>
  </si>
  <si>
    <t>Карпов Геннадий Александрович</t>
  </si>
  <si>
    <t>Илюшкин Виктор Семенович</t>
  </si>
  <si>
    <t>Муха Наталья Геннадьевна</t>
  </si>
  <si>
    <t>Швец Ирина Васильевна</t>
  </si>
  <si>
    <t>Инспектор по делопроизводству</t>
  </si>
  <si>
    <t>Фесенко Екатерина Николаевна</t>
  </si>
  <si>
    <t>Ткачева Елена Дмитриевна</t>
  </si>
  <si>
    <t>Панина Марина Анатольевна</t>
  </si>
  <si>
    <t>Пушнева Оксана Васильевна</t>
  </si>
  <si>
    <t>Зейналова Лариса Петровна</t>
  </si>
  <si>
    <t>Приходько Наталья Витальевна</t>
  </si>
  <si>
    <t>Джафарова Наталья Николаевна</t>
  </si>
  <si>
    <t>Лесницкая Любовь Владимировна</t>
  </si>
  <si>
    <t>Цику Саида Байзетовна</t>
  </si>
  <si>
    <t>Онуфриева Дарья Сергеевна</t>
  </si>
  <si>
    <t>Перепелюк Валентина Владимировна</t>
  </si>
  <si>
    <t>Юнг Сергей Валерьевич</t>
  </si>
  <si>
    <t>Бобракова Ольга Ивановна</t>
  </si>
  <si>
    <t>Погодаева Татьяна Геннадьевна</t>
  </si>
  <si>
    <t>Попова Полина Николаевна</t>
  </si>
  <si>
    <t>Валеева Светлана Ивановна</t>
  </si>
  <si>
    <t>Ленск</t>
  </si>
  <si>
    <t>Маслова Наталья Станиславовна</t>
  </si>
  <si>
    <t>Филиппов Максим Сергеевич</t>
  </si>
  <si>
    <t>Тюхтевский Роман Владимирович</t>
  </si>
  <si>
    <t>Угловский Артем Сергеевич</t>
  </si>
  <si>
    <t>Медвецкая Марина Викторовна</t>
  </si>
  <si>
    <t>Экономист II категории</t>
  </si>
  <si>
    <t>Щербина Михаил Виуленович</t>
  </si>
  <si>
    <t>Назин Артём Сергеевич</t>
  </si>
  <si>
    <t>Искорцева Марина Ивановна</t>
  </si>
  <si>
    <t>Булгакова Анастасия Владимировна</t>
  </si>
  <si>
    <t>Кудрявцев Александр Александрович</t>
  </si>
  <si>
    <t>Трепов Кирилл Викторович</t>
  </si>
  <si>
    <t>Уржумцева Ольга Вячеславовна</t>
  </si>
  <si>
    <t>Николаева Ирина Александровна</t>
  </si>
  <si>
    <t>Ляховец Светлана Петровна</t>
  </si>
  <si>
    <t>Басыгысова Марианна Александровна</t>
  </si>
  <si>
    <t>Водотиец Татьяна Владимировна</t>
  </si>
  <si>
    <t>Михайлова Елена Петровна</t>
  </si>
  <si>
    <t>Инженер-программист II категории</t>
  </si>
  <si>
    <t>Ушакова Оксана Александровна</t>
  </si>
  <si>
    <t>Симонова Юлия Николаевна</t>
  </si>
  <si>
    <t>Котельникова Анна Васильевна</t>
  </si>
  <si>
    <t>Васильев Дмитрий Иванович</t>
  </si>
  <si>
    <t>Чувилина Галина Борисовна</t>
  </si>
  <si>
    <t>Стукало Елена Николаевна</t>
  </si>
  <si>
    <t>Миловидова Галина Анатольевна</t>
  </si>
  <si>
    <t>Халилова Лилия Сергеевна</t>
  </si>
  <si>
    <t>Проскурников Юрий Дмитриевич</t>
  </si>
  <si>
    <t>Милюкова Елена Александровна</t>
  </si>
  <si>
    <t>Потехин Павел Геннадьевич</t>
  </si>
  <si>
    <t>Плющ Юлия Филипповна</t>
  </si>
  <si>
    <t>Артемов Сергей Аркадьевич</t>
  </si>
  <si>
    <t>Швайгерт Александр Николаевич</t>
  </si>
  <si>
    <t>Ошеко Олеся Александровна</t>
  </si>
  <si>
    <t>Чалей Иван Вацлавович</t>
  </si>
  <si>
    <t>Воробьева Мария Сергеевна</t>
  </si>
  <si>
    <t>Воронина Ирина Диевна</t>
  </si>
  <si>
    <t>Шумцова Ирина Анатольевна</t>
  </si>
  <si>
    <t>Курмаева Ирина Федоровна</t>
  </si>
  <si>
    <t>Фоменко Надежда Владимировна</t>
  </si>
  <si>
    <t>Гехт Маргарита Николаевна</t>
  </si>
  <si>
    <t>Ким Евгений Вениаминович</t>
  </si>
  <si>
    <t>Шайдурова Татьяна Николаевна</t>
  </si>
  <si>
    <t>Шагардина Анастасия Александровна</t>
  </si>
  <si>
    <t>Петрова Мария Николаевна</t>
  </si>
  <si>
    <t>Сазанов Алексей Сергеевич</t>
  </si>
  <si>
    <t>Гусельникова Елена Александровна</t>
  </si>
  <si>
    <t>Биденко Олег Анатольевич</t>
  </si>
  <si>
    <t>Карпухина Маргарита Вениаминовна</t>
  </si>
  <si>
    <t>Дробышев Юрий Алексеевич</t>
  </si>
  <si>
    <t>Широбокова Ирина Владимировна</t>
  </si>
  <si>
    <t>Дубинина Екатерина Сергеевна</t>
  </si>
  <si>
    <t>Петрова Оксана Викторовна</t>
  </si>
  <si>
    <t>Специалист I категории</t>
  </si>
  <si>
    <t>Галимова Светлана Валерьевна</t>
  </si>
  <si>
    <t>Внукова Наталья Петровна</t>
  </si>
  <si>
    <t>Специалист</t>
  </si>
  <si>
    <t>Шулепова Анна Владимировна</t>
  </si>
  <si>
    <t>Смолякова Мария Игоревна</t>
  </si>
  <si>
    <t>Бурмасов Игорь Андреевич</t>
  </si>
  <si>
    <t>Кудашева Виктория Анатольевна</t>
  </si>
  <si>
    <t>Рахмангулова Альбина Наиловна</t>
  </si>
  <si>
    <t>Шабалдин Михаил Павлович</t>
  </si>
  <si>
    <t>Самисько Алексей Юрьевич</t>
  </si>
  <si>
    <t>Лопатин Вячеслав Владимирович</t>
  </si>
  <si>
    <t>Полиенко Елена Александровна</t>
  </si>
  <si>
    <t>Рахмангулова Виктория Анатольевна</t>
  </si>
  <si>
    <t>Латышева Елена Михайловна</t>
  </si>
  <si>
    <t>Димахов Сергей Викторович</t>
  </si>
  <si>
    <t>Шуптар Кристина Николаевна</t>
  </si>
  <si>
    <t>Мажукина Валерия Игоревна</t>
  </si>
  <si>
    <t>Верпека Максим Сергеевич</t>
  </si>
  <si>
    <t>Саранцева Елизавета Владимировна</t>
  </si>
  <si>
    <t>Сергеева Светлана Юрьевна</t>
  </si>
  <si>
    <t>Буркова Татьяна Борисовна</t>
  </si>
  <si>
    <t>Судницына Ирина Сергеевна</t>
  </si>
  <si>
    <t>Печерицкая Любовь Эдуардовна</t>
  </si>
  <si>
    <t>Любимова Марина Александровна</t>
  </si>
  <si>
    <t>Поляков Евгений Александрович</t>
  </si>
  <si>
    <t>Долгушева Анна Александровна</t>
  </si>
  <si>
    <t>Бобылев Дмитрий Сергеевич</t>
  </si>
  <si>
    <t>Балаушко Ольга Евгеньевна</t>
  </si>
  <si>
    <t>Богаткина Юлия Александровна</t>
  </si>
  <si>
    <t>Панчишин Александр Зиновьевич</t>
  </si>
  <si>
    <t>Вагайцева Елена Владимировна</t>
  </si>
  <si>
    <t>Осовская Наталия Геннадьевна</t>
  </si>
  <si>
    <t>Михайлов Андрей Иванович</t>
  </si>
  <si>
    <t>Кумирова Оксана Владимировна</t>
  </si>
  <si>
    <t>Карпова Мария Николаевна</t>
  </si>
  <si>
    <t>Туманов Алексей Владимирович</t>
  </si>
  <si>
    <t>Юдина Светлана Николаевна</t>
  </si>
  <si>
    <t>Заикин Андрей Эдуардович</t>
  </si>
  <si>
    <t>Ведущий геофизик</t>
  </si>
  <si>
    <t>Береговенко Марина Витальевна</t>
  </si>
  <si>
    <t>Сиднев Станислав Маркович</t>
  </si>
  <si>
    <t>Тупиченко Светлана Витальевна</t>
  </si>
  <si>
    <t>Бехтин Михаил Михайлович</t>
  </si>
  <si>
    <t>Бэц Олег Ионович</t>
  </si>
  <si>
    <t>Рыбникова Елена Николаевна</t>
  </si>
  <si>
    <t>Харь Михаил Сергеевич</t>
  </si>
  <si>
    <t>Аверьянова Екатерина Николаевна</t>
  </si>
  <si>
    <t>Андреева Зоя Александровна</t>
  </si>
  <si>
    <t>Тимонин Игорь Вячеславович</t>
  </si>
  <si>
    <t>Техник</t>
  </si>
  <si>
    <t>Кнельц Ирина Анатольевна</t>
  </si>
  <si>
    <t>Базанова Елена Александровна</t>
  </si>
  <si>
    <t>Филиппова Ирина Сергеевна</t>
  </si>
  <si>
    <t>Макеева Надежда Александровна</t>
  </si>
  <si>
    <t>Яковлев Денис Юрьевич</t>
  </si>
  <si>
    <t>Корноушкин Александр Борисович</t>
  </si>
  <si>
    <t>Плужникова Елена Викторовна</t>
  </si>
  <si>
    <t>Данильченко Ольга Васильевна</t>
  </si>
  <si>
    <t>Золотарева Наталья Викторовна</t>
  </si>
  <si>
    <t>Васильев Иван Александрович</t>
  </si>
  <si>
    <t>Бенский Владислав Андреевич</t>
  </si>
  <si>
    <t>Гудков Михаил Федорович</t>
  </si>
  <si>
    <t>Баландина Олеся Николаевна</t>
  </si>
  <si>
    <t>Солодова Ирина Александровна</t>
  </si>
  <si>
    <t>Шпаков Антон Александрович</t>
  </si>
  <si>
    <t>Попыхайленко Елена Владимировна</t>
  </si>
  <si>
    <t>Хайруллина Айназ Ильязовна</t>
  </si>
  <si>
    <t>Моиспанова Ольга Анатольевна</t>
  </si>
  <si>
    <t>Контрабаев Еркын Серикович</t>
  </si>
  <si>
    <t>Ключко Юлия Владимировна</t>
  </si>
  <si>
    <t>Курбатова Алла Робертовна</t>
  </si>
  <si>
    <t>Кириллова Ирина Александровна</t>
  </si>
  <si>
    <t>Алиева Вера Шакировна</t>
  </si>
  <si>
    <t>Горбунова Лариса Владимировна</t>
  </si>
  <si>
    <t>Фролова Наталья Вячеславовна</t>
  </si>
  <si>
    <t>Лукиянчук Татьяна Анатольевна</t>
  </si>
  <si>
    <t>Климковский Михаил Емельянович</t>
  </si>
  <si>
    <t>БПТОиКО</t>
  </si>
  <si>
    <t xml:space="preserve">рук </t>
  </si>
  <si>
    <t>Андреева Елена Александровна</t>
  </si>
  <si>
    <t>Ревкова Любовь Александровна</t>
  </si>
  <si>
    <t>Малинецкая Ирина Владимировна</t>
  </si>
  <si>
    <t>Владыка Татьяна Александровна</t>
  </si>
  <si>
    <t>Брандт Виктор Готфридович</t>
  </si>
  <si>
    <t>Касымов Олег Иванович</t>
  </si>
  <si>
    <t>Вильданов Ильгизар Адгамович</t>
  </si>
  <si>
    <t>Антонов Алексей Александрович</t>
  </si>
  <si>
    <t>Соколов Александр Алексеевич</t>
  </si>
  <si>
    <t>Масигутов Ракип Начипович</t>
  </si>
  <si>
    <t>Грязев Вячеслав Александрович</t>
  </si>
  <si>
    <t>Голубцов Алексей Владимирович</t>
  </si>
  <si>
    <t>Лунев Игорь Александрович</t>
  </si>
  <si>
    <t>Мешалкин Максим Владимирович</t>
  </si>
  <si>
    <t>Чуриков Алексей Владимирович</t>
  </si>
  <si>
    <t>Рыбаков Сергей Михайлович</t>
  </si>
  <si>
    <t>Андреев Александр Евгеньевич</t>
  </si>
  <si>
    <t>Кастерин Анатолий Алексеевич</t>
  </si>
  <si>
    <t>Первый отдел</t>
  </si>
  <si>
    <t>Зубков Виктор Анатольевич</t>
  </si>
  <si>
    <t>Гайдуков Павел Аркадьевич</t>
  </si>
  <si>
    <t>Савельев Дмитрий Николаевич</t>
  </si>
  <si>
    <t>Заместитель главного инженера - начальник управления</t>
  </si>
  <si>
    <t>Самыкин Виктор Николаевич</t>
  </si>
  <si>
    <t>Переведенцев Андрей Владимирович</t>
  </si>
  <si>
    <t>Кондрашева Галина Васильевна</t>
  </si>
  <si>
    <t>Беспалова Ольга Ивановна</t>
  </si>
  <si>
    <t>Новикова Наталья Григорьевна</t>
  </si>
  <si>
    <t>Баркова Антонина Владимировна</t>
  </si>
  <si>
    <t>Овчинникова Эльвира Ринатовна</t>
  </si>
  <si>
    <t>Тараскина Татьяна Васильевна</t>
  </si>
  <si>
    <t>Тихонова Людмила Анатольевна</t>
  </si>
  <si>
    <t>Серегова Жанна Дмитриевна</t>
  </si>
  <si>
    <t>Бушаева Марина Владимировна</t>
  </si>
  <si>
    <t>Дунаев Виктор Юрьевич</t>
  </si>
  <si>
    <t>Кузьмин Александр Георгиевич</t>
  </si>
  <si>
    <t>Кондратьев Василий Васильевич</t>
  </si>
  <si>
    <t>Молоданов Дмитрий Викторович</t>
  </si>
  <si>
    <t>Главный инженер</t>
  </si>
  <si>
    <t>Злыгастев Валерий Викторович</t>
  </si>
  <si>
    <t>Виноградов Дмитрий Степанович</t>
  </si>
  <si>
    <t>Утяшев Наиль Раилович</t>
  </si>
  <si>
    <t>Ведущий инженер-энергетик</t>
  </si>
  <si>
    <t>Романенко Инна Сергеевна</t>
  </si>
  <si>
    <t>Хухорова Наталья Владимировна</t>
  </si>
  <si>
    <t>Тарасова Татьяна Львовна</t>
  </si>
  <si>
    <t>Заика Вячеслав Степанович</t>
  </si>
  <si>
    <t>Кайдалова Юлия Николаевна</t>
  </si>
  <si>
    <t>Кудина Лариса Викторовна</t>
  </si>
  <si>
    <t>Бруслиновский Игорь Петрович</t>
  </si>
  <si>
    <t>Вагина Ольга Анатольевна</t>
  </si>
  <si>
    <t>Матейчук Сергей Владимирович</t>
  </si>
  <si>
    <t xml:space="preserve">ПУ "СургутАСУнефть" </t>
  </si>
  <si>
    <t>Ведухин Евгений Владимирович</t>
  </si>
  <si>
    <t>Галимов Денис Рустемович</t>
  </si>
  <si>
    <t>Платоненко Сергей Викторович</t>
  </si>
  <si>
    <t>Столяров Алексей Геннадьевич</t>
  </si>
  <si>
    <t>Филиппов Александр Сергеевич</t>
  </si>
  <si>
    <t>Сергеев Николай Александрович</t>
  </si>
  <si>
    <t>Шаргалин Сергей Петрович</t>
  </si>
  <si>
    <t>Савинецкая Елена Владимировна</t>
  </si>
  <si>
    <t>Рудакова Елена Леонидовна</t>
  </si>
  <si>
    <t>Лаптун Лариса Анатольевна</t>
  </si>
  <si>
    <t>Пангаева Анна Александровна</t>
  </si>
  <si>
    <t>Зубкова Ираида Николаевна</t>
  </si>
  <si>
    <t>Кравченко Людмила Алексеевна</t>
  </si>
  <si>
    <t>Поломошина Ирина Владимировна</t>
  </si>
  <si>
    <t>Лысенко Виктория Владимировна</t>
  </si>
  <si>
    <t>Липилина Юлия Николаевна</t>
  </si>
  <si>
    <t>Багирова Ирина Викторовна</t>
  </si>
  <si>
    <t>Панов Алексей Валерьевич</t>
  </si>
  <si>
    <t>Андриевский Павел Николаевич</t>
  </si>
  <si>
    <t>Калугин Сергей Николаевич</t>
  </si>
  <si>
    <t>Титаренко Алексей Васильевич</t>
  </si>
  <si>
    <t>Усачева Светлана Владимировна</t>
  </si>
  <si>
    <t>Тё Андрей Валерианович</t>
  </si>
  <si>
    <t>Первухин Денис Валерьевич</t>
  </si>
  <si>
    <t>Алиакбаров Артем Раилевич</t>
  </si>
  <si>
    <t>Яхшибеков Феликс Рудольфович</t>
  </si>
  <si>
    <t>Афанасьев Артём Александрович</t>
  </si>
  <si>
    <t>Ануфриев Денис Сергеевич</t>
  </si>
  <si>
    <t>Зарипов Рафаил Мансурович</t>
  </si>
  <si>
    <t>Бикбулатова Елена Алексеевна</t>
  </si>
  <si>
    <t>Литвинский Кирилл Петрович</t>
  </si>
  <si>
    <t>Мугинов Руслан Анварович</t>
  </si>
  <si>
    <t>Новоселов Александр Александрович</t>
  </si>
  <si>
    <t>Попцова Рано Хатамшиковна</t>
  </si>
  <si>
    <t>Кушкин Дмитрий Андреевич</t>
  </si>
  <si>
    <t>Лященко Наталья Александровна</t>
  </si>
  <si>
    <t>Келлер Виталий Викторович</t>
  </si>
  <si>
    <t>Трубина Лариса Александровна</t>
  </si>
  <si>
    <t>Выдрина Ольга Валерьевна</t>
  </si>
  <si>
    <t>Чугунов Александр Евгеньевич</t>
  </si>
  <si>
    <t>Красиков Игорь Юрьевич</t>
  </si>
  <si>
    <t>Косолапов Дмитрий Анатольевич</t>
  </si>
  <si>
    <t>Алямкин Виталий Сергеевич</t>
  </si>
  <si>
    <t>Данилов Игорь Васильевич</t>
  </si>
  <si>
    <t>Васильев Вадим Николаевич</t>
  </si>
  <si>
    <t>Симонов Николай Сергеевич</t>
  </si>
  <si>
    <t>Ноздрачев Антон Александрович</t>
  </si>
  <si>
    <t>Бубнов Владимир Васильевич</t>
  </si>
  <si>
    <t>Нечаев Алексей Михайлович</t>
  </si>
  <si>
    <t>Меньщиков Виталий Валерьевич</t>
  </si>
  <si>
    <t>Иванов Сергей Валерьевич</t>
  </si>
  <si>
    <t>Курочкина Нелли Наилевна</t>
  </si>
  <si>
    <t>Шакирова Любовь Петровна</t>
  </si>
  <si>
    <t>Ким Вячеслав Анатольевич</t>
  </si>
  <si>
    <t>Шабашова Юлия Николаевна</t>
  </si>
  <si>
    <t>Самарханов Марат Раисович</t>
  </si>
  <si>
    <t>Лященко Дмитрий Александрович</t>
  </si>
  <si>
    <t>Шабалин Андрей Леонидович</t>
  </si>
  <si>
    <t>Пангаев Евгений Борисович</t>
  </si>
  <si>
    <t>Газетов Сергей Владимирович</t>
  </si>
  <si>
    <t>Баселидзе Юрий Тезикоевич</t>
  </si>
  <si>
    <t>Бурилов Павел Николаевич</t>
  </si>
  <si>
    <t>Разумная Олеся Александровна</t>
  </si>
  <si>
    <t>Чувилов Андрей Валерьевич</t>
  </si>
  <si>
    <t>Ведущий инженер-механик</t>
  </si>
  <si>
    <t>Морозова Галина Владимировна</t>
  </si>
  <si>
    <t>Седых Николай Викентьевич</t>
  </si>
  <si>
    <t>Серебряков Николай Викторович</t>
  </si>
  <si>
    <t>Пономаренко Сергей Дмитриевич</t>
  </si>
  <si>
    <t>Петров Павел Григорьевич</t>
  </si>
  <si>
    <t>Строкатов Дмитрий Анатольевич</t>
  </si>
  <si>
    <t>Пинчук Лариса Рифовна</t>
  </si>
  <si>
    <t>Воробьев Алексей Юрьевич</t>
  </si>
  <si>
    <t>Захаркин Сергей Александрович</t>
  </si>
  <si>
    <t>Хохлов Алексей Сергеевич</t>
  </si>
  <si>
    <t>Рыженко Сергей Сергеевич</t>
  </si>
  <si>
    <t>Погоришный Олег Александрович</t>
  </si>
  <si>
    <t>Смыслов Дмитрий Александрович</t>
  </si>
  <si>
    <t>Забегайло Владимир Александрович</t>
  </si>
  <si>
    <t>Сидорова Светлана Васильевна</t>
  </si>
  <si>
    <t>Братцев Алексей Станиславович</t>
  </si>
  <si>
    <t>Волков Юрий Павлович</t>
  </si>
  <si>
    <t>Савченко Игорь Тимофеевич</t>
  </si>
  <si>
    <t>Николаев Вадим Георгиевич</t>
  </si>
  <si>
    <t>Гришина Наталья Владимировна</t>
  </si>
  <si>
    <t>Пелых Ирина Валентиновна</t>
  </si>
  <si>
    <t>Кринфельд Виктория Викторовна</t>
  </si>
  <si>
    <t>Федорова Ольга Николаевна</t>
  </si>
  <si>
    <t>Чумикова Наталья Владимировна</t>
  </si>
  <si>
    <t>Каменских Надежда Викторовна</t>
  </si>
  <si>
    <t>Занкина Марина Викторовна</t>
  </si>
  <si>
    <t>Леонова Ирина Михайловна</t>
  </si>
  <si>
    <t>Биркун Эльмира Нурлисламовна</t>
  </si>
  <si>
    <t>Хабибуллина Елена Геннадьевна</t>
  </si>
  <si>
    <t>Онищенко Татьяна Анатольевна</t>
  </si>
  <si>
    <t>Гетьманская Наталья Петровна</t>
  </si>
  <si>
    <t>Щербина Дмитрий Владимирович</t>
  </si>
  <si>
    <t>Чувилин Дмитрий Сергеевич</t>
  </si>
  <si>
    <t>Немятых Людмила Владимировна</t>
  </si>
  <si>
    <t>Матюшенко Вадим Сергеевич</t>
  </si>
  <si>
    <t>Андреева Ольга Сергеевна</t>
  </si>
  <si>
    <t>Никанорова Елена Петровна</t>
  </si>
  <si>
    <t>Павлова Елена Григорьевна</t>
  </si>
  <si>
    <t>Ананьев Сергей Александрович</t>
  </si>
  <si>
    <t>Байков Иван Владимирович</t>
  </si>
  <si>
    <t>Гераскевич Вадим Владимирович</t>
  </si>
  <si>
    <t>Голик Валентин Александрович</t>
  </si>
  <si>
    <t>Ковалева Юлия Валерьевна</t>
  </si>
  <si>
    <t>Лаптев Александр Владимирович</t>
  </si>
  <si>
    <t>Троеглазов Максим Геннадьевич</t>
  </si>
  <si>
    <t>Федотов Александр Николаевич</t>
  </si>
  <si>
    <t>Главный энергетик - начальник отдела</t>
  </si>
  <si>
    <t>Черяков Игорь Алексеевич</t>
  </si>
  <si>
    <t>Сарбайцева Светлана Александровна</t>
  </si>
  <si>
    <t>Агибалов Игорь Викторович</t>
  </si>
  <si>
    <t>Бадалов Евгений Александрович</t>
  </si>
  <si>
    <t>Алеева Марина Юрьевна</t>
  </si>
  <si>
    <t>Григорьева Оксана Леонидовна</t>
  </si>
  <si>
    <t>Иванова Марина Николаевна</t>
  </si>
  <si>
    <t>Майборода Елена Олеговна</t>
  </si>
  <si>
    <t>Павлова Светлана Анатольевна</t>
  </si>
  <si>
    <t>Батраченко Сергей Валериевич</t>
  </si>
  <si>
    <t>Злобич Сергей Анатольевич</t>
  </si>
  <si>
    <t>Мошкин Максим Валерьевич</t>
  </si>
  <si>
    <t>Черкасов Владимир Геннадьевич</t>
  </si>
  <si>
    <t>Яременко Андрей Иванович</t>
  </si>
  <si>
    <t>Бондаренко Светлана Владимировна</t>
  </si>
  <si>
    <t>Подалевич Марина Петровна</t>
  </si>
  <si>
    <t>Савченко Татьяна Ивановна</t>
  </si>
  <si>
    <t>Седова Наталья Васильевна</t>
  </si>
  <si>
    <t>Борискин Александр Васильевич</t>
  </si>
  <si>
    <t>Сидорук Эдуард Васильевич</t>
  </si>
  <si>
    <t>Ахвердиев Рустам Мусаевич</t>
  </si>
  <si>
    <t>Гумеров Альберт Хакимович</t>
  </si>
  <si>
    <t>Ламанов Александр Юрьевич</t>
  </si>
  <si>
    <t>Аверкин Вадим Николаевич</t>
  </si>
  <si>
    <t>Чащин Евгений Викторович</t>
  </si>
  <si>
    <t>Шубин Игорь Иванович</t>
  </si>
  <si>
    <t>Бойчук Виталий Сергеевич</t>
  </si>
  <si>
    <t>Романовский Андрей Викторович</t>
  </si>
  <si>
    <t>Зайцев Роман Сергеевич</t>
  </si>
  <si>
    <t>Огарков Александр Николаевич</t>
  </si>
  <si>
    <t>Попов Дмитрий Анатольевич</t>
  </si>
  <si>
    <t>Чередов Евгений Александрович</t>
  </si>
  <si>
    <t>Шарф Евгений Анатольевич</t>
  </si>
  <si>
    <t>Курбанов Даниил Маратович</t>
  </si>
  <si>
    <t>Кондратьев Михаил Владимирович</t>
  </si>
  <si>
    <t>Павленко Лариса Владимировна</t>
  </si>
  <si>
    <t>Максименко Зульфия Василовна</t>
  </si>
  <si>
    <t>Тиссова Наталья Эдуардовна</t>
  </si>
  <si>
    <t>Мазур Наталия Дмитриевна</t>
  </si>
  <si>
    <t>Антипина Ольга Николаевна</t>
  </si>
  <si>
    <t>Григорьева Оксана Петровна</t>
  </si>
  <si>
    <t>Давыдова Лилия Газимовна</t>
  </si>
  <si>
    <t>Крамная Жанна Юрьевна</t>
  </si>
  <si>
    <t>Рудник Ольга Петровна</t>
  </si>
  <si>
    <t>Гончарова Оксана Юрьевна</t>
  </si>
  <si>
    <t>Ткачева Ирина Шамильевна</t>
  </si>
  <si>
    <t>Лопаев Александр Юрьевич</t>
  </si>
  <si>
    <t>Абдульманов Ринат Рифович</t>
  </si>
  <si>
    <t>Ведущий инженер-технолог</t>
  </si>
  <si>
    <t>Бахлыков Андрей Сергеевич</t>
  </si>
  <si>
    <t>Гребеньков Александр Анатольевич</t>
  </si>
  <si>
    <t>НГДУ "Сургутнефть"</t>
  </si>
  <si>
    <t>Зиганшин Радик Фазылович</t>
  </si>
  <si>
    <t>Коротких Павел Алексеевич</t>
  </si>
  <si>
    <t>Кушнир Сергей Анатольевич</t>
  </si>
  <si>
    <t>Лебедев Александр Анатольевич</t>
  </si>
  <si>
    <t>Павлив Александр Орестович</t>
  </si>
  <si>
    <t>Павлык Павел Валерианович</t>
  </si>
  <si>
    <t>Ромбах Григорий Яковлевич</t>
  </si>
  <si>
    <t>Сон Игорь Духович</t>
  </si>
  <si>
    <t>Степанов Алексей Федорович</t>
  </si>
  <si>
    <t>Хайбуллов Марат Шавхатович</t>
  </si>
  <si>
    <t>Шестаков Алексей Анатольевич</t>
  </si>
  <si>
    <t>Шестаков Михаил Владимирович</t>
  </si>
  <si>
    <t>Шупта Александр Николаевич</t>
  </si>
  <si>
    <t>Ведущий геолог</t>
  </si>
  <si>
    <t>Яковлев Алексей Геннадьевич</t>
  </si>
  <si>
    <t>Байрамов Владислав Радикович</t>
  </si>
  <si>
    <t>Рахимов Рамиль Ахсанович</t>
  </si>
  <si>
    <t>Рубченя Роман Валерьевич</t>
  </si>
  <si>
    <t>Афанасьев Виталий Викторович</t>
  </si>
  <si>
    <t>Гинанов Руслан Фаргатович</t>
  </si>
  <si>
    <t>Тайчинов Рустем Ринатович</t>
  </si>
  <si>
    <t>Краснов Максим Александрович</t>
  </si>
  <si>
    <t>Джураев Рустам Баратович</t>
  </si>
  <si>
    <t>Дьяченко Александр Алексеевич</t>
  </si>
  <si>
    <t>Станкевич Виталий Викторович</t>
  </si>
  <si>
    <t>Смыкова Наталья Александровна</t>
  </si>
  <si>
    <t>Шелудько Алла Михайловна</t>
  </si>
  <si>
    <t>Бурлакова Елена Петровна</t>
  </si>
  <si>
    <t>Линник Елена Анатольевна</t>
  </si>
  <si>
    <t>Параняк Светлана Петровна</t>
  </si>
  <si>
    <t>Фатеева Инна Олеговна</t>
  </si>
  <si>
    <t>Балась Дмитрий Евгеньевич</t>
  </si>
  <si>
    <t>Янчевская Юлия Владиславовна</t>
  </si>
  <si>
    <t>Савилов Евгений Владимирович</t>
  </si>
  <si>
    <t>Ведущий инженер-руководитель группы</t>
  </si>
  <si>
    <t>Магомедова Лариса Прокофьевна</t>
  </si>
  <si>
    <t>Рахимова Разиля Минсалиховна</t>
  </si>
  <si>
    <t>Пинемасова Галина Валерьевна</t>
  </si>
  <si>
    <t>Патракова Наталья Геннадьевна</t>
  </si>
  <si>
    <t>Захарова Наталья Петровна</t>
  </si>
  <si>
    <t>Лучкина Татьяна Андреевна</t>
  </si>
  <si>
    <t>Медяков Кирилл Евгеньевич</t>
  </si>
  <si>
    <t>Коробкина Оксана Геннадьевна</t>
  </si>
  <si>
    <t>Никонова Наталья Игоревна</t>
  </si>
  <si>
    <t>Хлопков Сергей Дмитриевич</t>
  </si>
  <si>
    <t>Златоустов Александр Геннадьевич</t>
  </si>
  <si>
    <t>Левандовский Эдуард Эдвинович</t>
  </si>
  <si>
    <t>Чуднов Дмитрий Алексеевич</t>
  </si>
  <si>
    <t>Москов Иван Александрович</t>
  </si>
  <si>
    <t>Абрамова Наталья Юрьевна</t>
  </si>
  <si>
    <t>Яшникова Наталья Васильевна</t>
  </si>
  <si>
    <t>Дмитрачков Дмитрий Николаевич</t>
  </si>
  <si>
    <t>Лукиных Ирина Николаевна</t>
  </si>
  <si>
    <t>Федосеева Наталья Валерьевна</t>
  </si>
  <si>
    <t>Гвоздецкая Галина Григорьевна</t>
  </si>
  <si>
    <t>Захарова Светлана Леонидовна</t>
  </si>
  <si>
    <t>Инженер по проектно-сметной работе I категории</t>
  </si>
  <si>
    <t>Батеева Анна Геннадьевна</t>
  </si>
  <si>
    <t>Мороз Юрий Николаевич</t>
  </si>
  <si>
    <t>Флоча Инна Васильевна</t>
  </si>
  <si>
    <t>Рябцев Михаил Николаевич</t>
  </si>
  <si>
    <t>Коновалова Любовь Александровна</t>
  </si>
  <si>
    <t>Устюгова Марина Валерьевна</t>
  </si>
  <si>
    <t>Харитонова Марина Юрьевна</t>
  </si>
  <si>
    <t>Зорин Александр Сергеевич</t>
  </si>
  <si>
    <t>Романцов Александр Валерьевич</t>
  </si>
  <si>
    <t>Проказа Валентина Анатольевна</t>
  </si>
  <si>
    <t>Халитова Ирина Николаевна</t>
  </si>
  <si>
    <t>Кутузова Елена Сергеевна</t>
  </si>
  <si>
    <t>Поспелова Наталья Анатольевна</t>
  </si>
  <si>
    <t>Сапронова Анжелика Васильевна</t>
  </si>
  <si>
    <t>Плешков Олег Владимирович</t>
  </si>
  <si>
    <t>Иванов Максим Алексеевич</t>
  </si>
  <si>
    <t>Даниелян Сергей Владимирович</t>
  </si>
  <si>
    <t>Бажанов Александр Николаевич</t>
  </si>
  <si>
    <t>Гареев Филус Фанусович</t>
  </si>
  <si>
    <t>Гладков Дмитрий Олегович</t>
  </si>
  <si>
    <t>Поветина Валерия Владимировна</t>
  </si>
  <si>
    <t>Аксиничева Наталья Владимировна</t>
  </si>
  <si>
    <t>Абдулов Ильдус Файрузович</t>
  </si>
  <si>
    <t>Новик Анатолий Александрович</t>
  </si>
  <si>
    <t>Григорчук Людмила Леонтиевна</t>
  </si>
  <si>
    <t>Матвиив Любомира Ивановна</t>
  </si>
  <si>
    <t>Алёшина Татьяна Александровна</t>
  </si>
  <si>
    <t>Кочерова Нина Геннадьевна</t>
  </si>
  <si>
    <t>Новикова Наталья Владимировна</t>
  </si>
  <si>
    <t>Милованова Виктория Викторовна</t>
  </si>
  <si>
    <t>Курочкина Светлана Евгеньевна</t>
  </si>
  <si>
    <t>Спивак Оксана Аркадьевна</t>
  </si>
  <si>
    <t>Щудро Дмитрий Николаевич</t>
  </si>
  <si>
    <t>Чернышева Наталья Николаевна</t>
  </si>
  <si>
    <t>Билый Александр Игоревич</t>
  </si>
  <si>
    <t>Беляева Ольга Алексеевна</t>
  </si>
  <si>
    <t>Александрова Юлия Михайловна</t>
  </si>
  <si>
    <t>Люманов Сервер Энверович</t>
  </si>
  <si>
    <t>Крючков Владимир Анатольевич</t>
  </si>
  <si>
    <t>Аноприенко Александр Анатольевич</t>
  </si>
  <si>
    <t>Ческидов Дмитрий Владимирович</t>
  </si>
  <si>
    <t>Смазнова Светлана Валерьевна</t>
  </si>
  <si>
    <t>Селина Ирина Владимировна</t>
  </si>
  <si>
    <t>Кильдиярова Инна Владимировна</t>
  </si>
  <si>
    <t>Церковная Светлана Викторовна</t>
  </si>
  <si>
    <t>Безрукавых Татьяна Александровна</t>
  </si>
  <si>
    <t>Широкова Любовь Александровна</t>
  </si>
  <si>
    <t>Синицкая Лариса Викторовна</t>
  </si>
  <si>
    <t>Денисюк Элеонора Юрьевна</t>
  </si>
  <si>
    <t>Метелица Наталия Валентиновна</t>
  </si>
  <si>
    <t>Першин Сергей Андреевич</t>
  </si>
  <si>
    <t>Заблоцкий Владислав Владимирович</t>
  </si>
  <si>
    <t>Албычев Вячеслав Геннадьевич</t>
  </si>
  <si>
    <t>Шнайдер Алексей Александрович</t>
  </si>
  <si>
    <t>Алиева Ирина Владимировна</t>
  </si>
  <si>
    <t>Мурзин Игорь Анатольевич</t>
  </si>
  <si>
    <t>Хан Владимир Романович</t>
  </si>
  <si>
    <t>Пустовой Алексей Григорьевич</t>
  </si>
  <si>
    <t>Акопов Николай Гургенович</t>
  </si>
  <si>
    <t>Управление технологического транспорта, спецтехники и автомобильных дорог</t>
  </si>
  <si>
    <t>Кучеренко Андрей Юрьевич</t>
  </si>
  <si>
    <t>Исаков Сергей Викторович</t>
  </si>
  <si>
    <t>Петров Юрий Вячеславович</t>
  </si>
  <si>
    <t>Вильчинская Нина Владимировна</t>
  </si>
  <si>
    <t>Галанина Екатерина Николаевна</t>
  </si>
  <si>
    <t>Малинецкий Сергей Платониевич</t>
  </si>
  <si>
    <t>Выходова Наталья Ивановна</t>
  </si>
  <si>
    <t>Земскова Ирина Владимировна</t>
  </si>
  <si>
    <t>Олейник Оксана Марьяновна</t>
  </si>
  <si>
    <t>Сюрина Наталья Владимировна</t>
  </si>
  <si>
    <t>Дьячков Дмитрий Владимирович</t>
  </si>
  <si>
    <t>Барахтянский Андрей Михайлович</t>
  </si>
  <si>
    <t>Колокольникова Оксана Викторовна</t>
  </si>
  <si>
    <t>Прохоренко Татьяна Сергеевна</t>
  </si>
  <si>
    <t>Поварницын Евгений Александрович</t>
  </si>
  <si>
    <t>Чернухин Роман Александрович</t>
  </si>
  <si>
    <t>Бережной Василий Геннадьевич</t>
  </si>
  <si>
    <t>Клепцов Игнатий Валентинович</t>
  </si>
  <si>
    <t>Страхова Елизавета Александровна</t>
  </si>
  <si>
    <t>Герчиу Андрей Минович</t>
  </si>
  <si>
    <t>Лукьянова Леся Андреевна</t>
  </si>
  <si>
    <t>Пенчук Роман Дмитриевич</t>
  </si>
  <si>
    <t>Татаринов Кирилл Игоревич</t>
  </si>
  <si>
    <t>Федоров Александр Леонидович</t>
  </si>
  <si>
    <t>Фальков Константин Николаевич</t>
  </si>
  <si>
    <t>Пикалов Евгений Александрович</t>
  </si>
  <si>
    <t>Петров Александр Сергеевич</t>
  </si>
  <si>
    <t>Гребенюк Оксана Александровна</t>
  </si>
  <si>
    <t>Белинская Татьяна Анатольевна</t>
  </si>
  <si>
    <t>Валько Ирина Владимировна</t>
  </si>
  <si>
    <t>Ельчукова Светлана Евгеньевна</t>
  </si>
  <si>
    <t>Машошина Елена Рафаэлевна</t>
  </si>
  <si>
    <t>Шишминцева Наталья Сергеевна</t>
  </si>
  <si>
    <t>Магарычёва Татьяна Сергеевна</t>
  </si>
  <si>
    <t>Фролушина Ксения Петровна</t>
  </si>
  <si>
    <t>Лабинский Сергей Борисович</t>
  </si>
  <si>
    <t>Быструшкин Андрей Евгеньевич</t>
  </si>
  <si>
    <t>Андреев Михаил Александрович</t>
  </si>
  <si>
    <t>Колесников Сергей Анатольевич</t>
  </si>
  <si>
    <t>Янкина Юлия Сергеевна</t>
  </si>
  <si>
    <t>Побер Юлия Михайловна</t>
  </si>
  <si>
    <t>Шаргалина Наталья Николаевна</t>
  </si>
  <si>
    <t>Папина Юлия Александровна</t>
  </si>
  <si>
    <t>Олина Наталья Николаевна</t>
  </si>
  <si>
    <t>Заика Анастасия Ивановна</t>
  </si>
  <si>
    <t>Куза Руслан Ростиславович</t>
  </si>
  <si>
    <t>Харламова Мария Владимировна</t>
  </si>
  <si>
    <t>Мотора Наталья Сергеевна</t>
  </si>
  <si>
    <t>Демьяненко Татьяна Васильевна</t>
  </si>
  <si>
    <t>Гуцул Юлия Александровна</t>
  </si>
  <si>
    <t>Глуховерин Андрей Викторович</t>
  </si>
  <si>
    <t>Гельвер Екатерина Андреевна</t>
  </si>
  <si>
    <t>Инженер-программист I категории</t>
  </si>
  <si>
    <t>Дюсюнгалиев Марат Александрович</t>
  </si>
  <si>
    <t>Баталов Дмитрий Александрович</t>
  </si>
  <si>
    <t>Заика Андрей Александрович</t>
  </si>
  <si>
    <t>Пискарев Сергей Станиславович</t>
  </si>
  <si>
    <t>Безрукова Ольга Борисовна</t>
  </si>
  <si>
    <t>Митусова Оксана Петровна</t>
  </si>
  <si>
    <t>Кибирева Наталья Вячеславовна</t>
  </si>
  <si>
    <t>Кудашева Ирина Леонидовна</t>
  </si>
  <si>
    <t>Алексеев Игорь Витальевич</t>
  </si>
  <si>
    <t>Голубова Татьяна Ивановна</t>
  </si>
  <si>
    <t>Шибанова Гульнара Ильдаровна</t>
  </si>
  <si>
    <t>Шибанов Дмитрий Сергеевич</t>
  </si>
  <si>
    <t>Лихвар Евгений Олегович</t>
  </si>
  <si>
    <t>Роженцова Татьяна Аркадьевна</t>
  </si>
  <si>
    <t>Гусев Антон Александрович</t>
  </si>
  <si>
    <t>Ли Елена Герасимовна</t>
  </si>
  <si>
    <t>Самигуллин Александр Гаденанович</t>
  </si>
  <si>
    <t>Трашахова Лилия Рашитовна</t>
  </si>
  <si>
    <t>Кострица Анастасия Антоновна</t>
  </si>
  <si>
    <t>Шибанов Андрей Сергеевич</t>
  </si>
  <si>
    <t>Салахова Наталья Сергеевна</t>
  </si>
  <si>
    <t>Максименко Анфиса Григорьевна</t>
  </si>
  <si>
    <t>Матейчук Оксана Вячеславовна</t>
  </si>
  <si>
    <t>Тепина Виктория Александровна</t>
  </si>
  <si>
    <t>Барсуков Алексей Геннадьевич</t>
  </si>
  <si>
    <t>Планидко Сергей Степанович</t>
  </si>
  <si>
    <t>Чернец Ирина Искандеровна</t>
  </si>
  <si>
    <t>Ровенский Никита Владимирович</t>
  </si>
  <si>
    <t>Половченя Елена Александровна</t>
  </si>
  <si>
    <t>Вихарев Сергей Александрович</t>
  </si>
  <si>
    <t>Тверетин Сергей Сергеевич</t>
  </si>
  <si>
    <t>Марочкина Ольга Сергеевна</t>
  </si>
  <si>
    <t>Ермохин Павел Владимирович</t>
  </si>
  <si>
    <t>Ларионова Оксана Владимировна</t>
  </si>
  <si>
    <t>Виноградова Светлана Ивановна</t>
  </si>
  <si>
    <t>Килин Антон Сергеевич</t>
  </si>
  <si>
    <t>Радионов Евгений Николаевич</t>
  </si>
  <si>
    <t>Денисов Алексей Вячеславович</t>
  </si>
  <si>
    <t>Самарина Светлана Модестовна</t>
  </si>
  <si>
    <t>Вишневская Вита Павловна</t>
  </si>
  <si>
    <t>Сергеева Анастасия Александровна</t>
  </si>
  <si>
    <t>Яцун Артём Станиславович</t>
  </si>
  <si>
    <t>Никишина Елена Васильевна</t>
  </si>
  <si>
    <t>Губарь Павел Григорьевич</t>
  </si>
  <si>
    <t>Видяйкин Вадим Сергеевич</t>
  </si>
  <si>
    <t>Габдрахманова Юлия Фаргатовна</t>
  </si>
  <si>
    <t>Добровольский Станислав Владимирович</t>
  </si>
  <si>
    <t>Ткачев Владимир Александрович</t>
  </si>
  <si>
    <t>Казаков Андрей Васильевич</t>
  </si>
  <si>
    <t>Смирнов Максим Николаевич</t>
  </si>
  <si>
    <t>Землянская Яна Владимировна</t>
  </si>
  <si>
    <t>Малюгина Василиса Михайловна</t>
  </si>
  <si>
    <t>Рязанцев Олег Анатольевич</t>
  </si>
  <si>
    <t>Давлетшин Ильгизар Атласович</t>
  </si>
  <si>
    <t>Полунин Алексей Владимирович</t>
  </si>
  <si>
    <t>Девяткова Оксана Николаевна</t>
  </si>
  <si>
    <t>Олькова Марина Сергеевна</t>
  </si>
  <si>
    <t>Грибов Александр Владимирович</t>
  </si>
  <si>
    <t>Матаис Ирина Владимировна</t>
  </si>
  <si>
    <t>Туринская Лариса Анатольевна</t>
  </si>
  <si>
    <t>Артемова Александра Федоровна</t>
  </si>
  <si>
    <t>Плотников Вячеслав Александрович</t>
  </si>
  <si>
    <t>Тюрин Кирилл Анатольевич</t>
  </si>
  <si>
    <t>Романова Татьяна Валентиновна</t>
  </si>
  <si>
    <t>Габсаликов Булат Альбертович</t>
  </si>
  <si>
    <t>Захаренко Павел Валерьевич</t>
  </si>
  <si>
    <t>Слепцов Александр Константинович</t>
  </si>
  <si>
    <t>Пономарев Игорь Анатольевич</t>
  </si>
  <si>
    <t>Фасхутдинова Ольга Дмитриевна</t>
  </si>
  <si>
    <t>Григоров Артем Владимирович</t>
  </si>
  <si>
    <t>Халтурина Юлия Андреевна</t>
  </si>
  <si>
    <t>Новикова Ирина Александровна</t>
  </si>
  <si>
    <t>Бачурина Любовь Александровна</t>
  </si>
  <si>
    <t>Ходас Наталия Михайловна</t>
  </si>
  <si>
    <t>Ботвинов Анатолий Игоревич</t>
  </si>
  <si>
    <t>Чукомина Наталья Альбертовна</t>
  </si>
  <si>
    <t>Суркова Марина Федоровна</t>
  </si>
  <si>
    <t>Гаганов Алексей Александрович</t>
  </si>
  <si>
    <t>Пастух Руслана Евгеньевна</t>
  </si>
  <si>
    <t>Гордиенко Алексей Михайлович</t>
  </si>
  <si>
    <t>Панасюк Александр Александрович</t>
  </si>
  <si>
    <t>Лазарева Татьяна Михайловна</t>
  </si>
  <si>
    <t>Кокарева Татьяна Александровна</t>
  </si>
  <si>
    <t>Масленников Павел Александрович</t>
  </si>
  <si>
    <t>Галущенко Маргарита Викторовна</t>
  </si>
  <si>
    <t>Петрова Александра Викторовна</t>
  </si>
  <si>
    <t>т.н.</t>
  </si>
  <si>
    <t>Сумма</t>
  </si>
  <si>
    <t>Примечание</t>
  </si>
  <si>
    <t>Н.Г.Патракова</t>
  </si>
  <si>
    <t>ИТОГО</t>
  </si>
  <si>
    <t xml:space="preserve"> </t>
  </si>
  <si>
    <t>№ а/о</t>
  </si>
  <si>
    <t>Даты командировки</t>
  </si>
  <si>
    <t>кол-во дней</t>
  </si>
  <si>
    <r>
      <t xml:space="preserve">для </t>
    </r>
    <r>
      <rPr>
        <b/>
        <u/>
        <sz val="10"/>
        <rFont val="Arial Cyr"/>
        <charset val="204"/>
      </rPr>
      <t>в/о 613</t>
    </r>
  </si>
  <si>
    <t>Пункт назначения</t>
  </si>
  <si>
    <t>Организация</t>
  </si>
  <si>
    <r>
      <t xml:space="preserve">Только командировки в/о </t>
    </r>
    <r>
      <rPr>
        <b/>
        <u/>
        <sz val="7"/>
        <rFont val="Arial Cyr"/>
        <charset val="204"/>
      </rPr>
      <t xml:space="preserve">Х402 </t>
    </r>
    <r>
      <rPr>
        <b/>
        <sz val="7"/>
        <rFont val="Arial Cyr"/>
        <charset val="204"/>
      </rPr>
      <t xml:space="preserve">по счету </t>
    </r>
    <r>
      <rPr>
        <b/>
        <u/>
        <sz val="7"/>
        <rFont val="Arial Cyr"/>
        <charset val="204"/>
      </rPr>
      <t>9147010000       ну</t>
    </r>
  </si>
  <si>
    <r>
      <t xml:space="preserve">Только командировки в/о </t>
    </r>
    <r>
      <rPr>
        <b/>
        <u/>
        <sz val="7"/>
        <rFont val="Arial Cyr"/>
        <charset val="204"/>
      </rPr>
      <t xml:space="preserve">Х402 </t>
    </r>
    <r>
      <rPr>
        <b/>
        <sz val="7"/>
        <rFont val="Arial Cyr"/>
        <charset val="204"/>
      </rPr>
      <t xml:space="preserve">по счету </t>
    </r>
    <r>
      <rPr>
        <b/>
        <u/>
        <sz val="7"/>
        <rFont val="Arial Cyr"/>
        <charset val="204"/>
      </rPr>
      <t>9147020000 не ну</t>
    </r>
  </si>
  <si>
    <t>РАЗНЫЕ ПРИМЕЧАНИЯ   (в т.ч. фактический выезд в ком-ку не по приказу)</t>
  </si>
  <si>
    <t>ИТОГО по авансовому отчету</t>
  </si>
  <si>
    <t>Москва</t>
  </si>
  <si>
    <t>Б/СЧЕТ</t>
  </si>
  <si>
    <t>СУММА ПО ГЛАВНОЙ КНИГЕ</t>
  </si>
  <si>
    <t>итого</t>
  </si>
  <si>
    <t>9147010000</t>
  </si>
  <si>
    <t>9147020000</t>
  </si>
  <si>
    <t>9146040000</t>
  </si>
  <si>
    <t>9148120000</t>
  </si>
  <si>
    <t>9145000000</t>
  </si>
  <si>
    <t>9145010100</t>
  </si>
  <si>
    <t>9142050000</t>
  </si>
  <si>
    <t>в/о 600 физ.лица не раб-ки ОАО "СНГ" (НДФЛ) -   не н/у</t>
  </si>
  <si>
    <t>(до растор. труд. дог.) перемена м.жит-ва  в/о 611  9144160200(ппереезд, провоз багажа до 5-ти тонн) раб-к, чл.семьи н/у  (в педелах норм),НДС - не н/у 9144160300</t>
  </si>
  <si>
    <t>(до растор. труд. дог.) перемена м.жит-ва  в/о 618 9144160200(погрузка-разгрузка и а/услуги) раб-к, чл.семьи (НДФЛ)- н/у, НДС-не н/у 9144160300</t>
  </si>
  <si>
    <t>Ученический отпуск 3205030031</t>
  </si>
  <si>
    <t>РУК</t>
  </si>
  <si>
    <t>основание</t>
  </si>
  <si>
    <t>930 в/у</t>
  </si>
  <si>
    <t>примеч.</t>
  </si>
  <si>
    <t xml:space="preserve">СПИСОК </t>
  </si>
  <si>
    <t>Таб №</t>
  </si>
  <si>
    <t>ФИО</t>
  </si>
  <si>
    <t>В/О</t>
  </si>
  <si>
    <t>ПРИМЕЧ</t>
  </si>
  <si>
    <t>Расходы по погрузке - разгрузке</t>
  </si>
  <si>
    <t>связанные с переездом к новому месту жительства</t>
  </si>
  <si>
    <t>0629</t>
  </si>
  <si>
    <t>ДЛЯ ВКЛЮЧЕНИЯ В ДОХОД РАБОТНИКА</t>
  </si>
  <si>
    <t>0600</t>
  </si>
  <si>
    <t>Красников Василий Викторович</t>
  </si>
  <si>
    <t>Черемисин Игорь Вячеславович</t>
  </si>
  <si>
    <t>Ташлыков Анатолий Владимирович</t>
  </si>
  <si>
    <t>Назарова Галина Васильевна</t>
  </si>
  <si>
    <t>Сорокина Елена Николаевна</t>
  </si>
  <si>
    <t>Лиджиев Анджур Борисович</t>
  </si>
  <si>
    <t>Геолог I категории</t>
  </si>
  <si>
    <t>0614</t>
  </si>
  <si>
    <t>0634</t>
  </si>
  <si>
    <r>
      <t>прочее</t>
    </r>
    <r>
      <rPr>
        <b/>
        <sz val="7"/>
        <rFont val="Arial Cyr"/>
        <charset val="204"/>
      </rPr>
      <t xml:space="preserve">  по счету </t>
    </r>
    <r>
      <rPr>
        <b/>
        <u/>
        <sz val="7"/>
        <rFont val="Arial Cyr"/>
        <charset val="204"/>
      </rPr>
      <t xml:space="preserve">9148120000     </t>
    </r>
    <r>
      <rPr>
        <b/>
        <u/>
        <sz val="10"/>
        <rFont val="Arial Cyr"/>
        <charset val="204"/>
      </rPr>
      <t>в/о 634</t>
    </r>
  </si>
  <si>
    <t>Новиков Ярослав Михайлович</t>
  </si>
  <si>
    <t>Давыдов Алексей Викторович</t>
  </si>
  <si>
    <t>Никонов Сергей Васильевич</t>
  </si>
  <si>
    <t>Тюрин Дмитрий Владимирович</t>
  </si>
  <si>
    <t>Самохин Евгений Владимирович</t>
  </si>
  <si>
    <t>Климишин Егор Алексеевич</t>
  </si>
  <si>
    <t>Гайсарова Венера Минзакиевна</t>
  </si>
  <si>
    <t>Демиденко Николай Леонидович</t>
  </si>
  <si>
    <t>Христинич Антон Владимирович</t>
  </si>
  <si>
    <t>Агаева Юлия Игоревна</t>
  </si>
  <si>
    <t>Куприенко Андрей Викторович</t>
  </si>
  <si>
    <t>Кострова Елена Михайловна</t>
  </si>
  <si>
    <t>Петухова Алёна Юрьевна</t>
  </si>
  <si>
    <r>
      <t xml:space="preserve">Сопровождение детей в детский лагерь </t>
    </r>
    <r>
      <rPr>
        <b/>
        <u/>
        <sz val="7"/>
        <rFont val="Arial Cyr"/>
        <charset val="204"/>
      </rPr>
      <t xml:space="preserve">9146040000 + </t>
    </r>
    <r>
      <rPr>
        <b/>
        <u/>
        <sz val="10"/>
        <rFont val="Arial Cyr"/>
        <charset val="204"/>
      </rPr>
      <t>в/о 634</t>
    </r>
  </si>
  <si>
    <r>
      <t xml:space="preserve">Только командировки по счету </t>
    </r>
    <r>
      <rPr>
        <b/>
        <u/>
        <sz val="7"/>
        <rFont val="Arial Cyr"/>
        <charset val="204"/>
      </rPr>
      <t>9147010000       ну для во 634</t>
    </r>
  </si>
  <si>
    <t>Соляных Наталья Евгеньевна</t>
  </si>
  <si>
    <t>Паневкин Кирилл Сергеевич</t>
  </si>
  <si>
    <t>Башлыков Дмитрий Викторович</t>
  </si>
  <si>
    <t>Самодурова Галина Владимировна</t>
  </si>
  <si>
    <t>Киреева Анна Михайловна</t>
  </si>
  <si>
    <t>Леонтьев Сергей Борисович</t>
  </si>
  <si>
    <t>Быструшкина Алена Ивановна</t>
  </si>
  <si>
    <t>Ведущий инженер-программист</t>
  </si>
  <si>
    <t>Хасанова Лилия Ринатовна</t>
  </si>
  <si>
    <t>Машинистка I категории</t>
  </si>
  <si>
    <t>Евтодий Олег Степанович</t>
  </si>
  <si>
    <t>Сероокий Сергей Владимирович</t>
  </si>
  <si>
    <t>Овчаренко Андрей Владимирович</t>
  </si>
  <si>
    <t>Набиева Любовь Мечиславовна</t>
  </si>
  <si>
    <t>Исмагилова Розалия Акрамовна</t>
  </si>
  <si>
    <t>Аникина Юлия Александровна</t>
  </si>
  <si>
    <t>Жагрина Елена Викторовна</t>
  </si>
  <si>
    <t>Хусаинова Резеда Рузиловна</t>
  </si>
  <si>
    <t>Гречишников Григорий Сергеевич</t>
  </si>
  <si>
    <t>Бакуменко Марина Анатольевна</t>
  </si>
  <si>
    <t>Ковалев Михаил Анатольевич</t>
  </si>
  <si>
    <t>Власов Дмитрий Михайлович</t>
  </si>
  <si>
    <t>Котельникова Евгения Алексеевна</t>
  </si>
  <si>
    <t>Спасенникова Светлана Викторовна</t>
  </si>
  <si>
    <t>Куйвашева Ирина Аркадьевна</t>
  </si>
  <si>
    <t>Джиоева Анна Владимировна</t>
  </si>
  <si>
    <t>Мусиенко Татьяна Ивановна</t>
  </si>
  <si>
    <t xml:space="preserve">СПИСОК № </t>
  </si>
  <si>
    <t>Каликина Маргарита Сергеевна</t>
  </si>
  <si>
    <t>Шахов Артем Викторович</t>
  </si>
  <si>
    <t>Бруслиновский Артем Игоревич</t>
  </si>
  <si>
    <t>Лазарева Ирина Валентиновна</t>
  </si>
  <si>
    <t>Мурунов Евгений Юрьевич</t>
  </si>
  <si>
    <t>PR</t>
  </si>
  <si>
    <t>Водопьян Виктория Васильевна</t>
  </si>
  <si>
    <t>Ядрина Светлана Расимовна</t>
  </si>
  <si>
    <t>Шагуров Максим Александрович</t>
  </si>
  <si>
    <t>Заика Игорь Петрович</t>
  </si>
  <si>
    <t>Галимова Галина Николаевна</t>
  </si>
  <si>
    <t>Качубей Александр Александрович</t>
  </si>
  <si>
    <t>Начальник смены</t>
  </si>
  <si>
    <t>Васильева Мария Олеговна</t>
  </si>
  <si>
    <t>Федорин Вадим Вениаминович</t>
  </si>
  <si>
    <t>Олейник Даниил Николаевич</t>
  </si>
  <si>
    <t>Куюкина Наталья Вениаминовна</t>
  </si>
  <si>
    <t>Осьмак Вячислав Стефанович</t>
  </si>
  <si>
    <t>Шишкин Сергей Николаевич</t>
  </si>
  <si>
    <t>Шахова Наталья Юрьевна</t>
  </si>
  <si>
    <t>Поликарпов Василий Борисович</t>
  </si>
  <si>
    <t>Производственный отдел по добыче нефти и поддержанию пластового давления</t>
  </si>
  <si>
    <t>Гладун Олеся Яремовна</t>
  </si>
  <si>
    <t>Русскина Екатерина Борисовна</t>
  </si>
  <si>
    <t>Кузнецов Константин Николаевич</t>
  </si>
  <si>
    <t>Омельянович Алексей Иванович</t>
  </si>
  <si>
    <t>Барвих Наталья Михайловна</t>
  </si>
  <si>
    <t>Пешков Максим Николаевич</t>
  </si>
  <si>
    <t>Яремчук Вера Сергеевна</t>
  </si>
  <si>
    <t>Богданова Галина Владимировна</t>
  </si>
  <si>
    <t>Мельничук Юрий Иванович</t>
  </si>
  <si>
    <t>Салкин Олег Анатольевич</t>
  </si>
  <si>
    <t>Акинцева Анастасия Николаевна</t>
  </si>
  <si>
    <t>Черепанова Нина Николаевна</t>
  </si>
  <si>
    <t>Специалист II категории</t>
  </si>
  <si>
    <t>Картазаева Юлия Викторовна</t>
  </si>
  <si>
    <t>Корякина Анна Алексеевна</t>
  </si>
  <si>
    <t>Белько Наталья Витальевна</t>
  </si>
  <si>
    <t>Патрина Татьяна Анатольевна</t>
  </si>
  <si>
    <t>Солнцева Марина Сергеевна</t>
  </si>
  <si>
    <t>Софейкова Ирина Сергеевна</t>
  </si>
  <si>
    <t>Беляева Кристина Александровна</t>
  </si>
  <si>
    <t>Комаров Константин Николаевич</t>
  </si>
  <si>
    <t>Королев Алексей Валерьевич</t>
  </si>
  <si>
    <t>Первухин Алексей Викторович</t>
  </si>
  <si>
    <t>Волкова Марина Петровна</t>
  </si>
  <si>
    <t>Панчишина Анна Валерьевна</t>
  </si>
  <si>
    <t>Газизов Илдар Шамилович</t>
  </si>
  <si>
    <t>Басалай Валентина Васильевна</t>
  </si>
  <si>
    <t>Старицына Татьяна Анатольевна</t>
  </si>
  <si>
    <t>Коптева Алена Александровна</t>
  </si>
  <si>
    <t>Боршняков Дмитрий Евгеньевич</t>
  </si>
  <si>
    <t>Подустов Илья Сергеевич</t>
  </si>
  <si>
    <t>Бублейник Алексей Леонидович</t>
  </si>
  <si>
    <t>Бартоломеева Елена Николаевна</t>
  </si>
  <si>
    <t>Прис-
воение</t>
  </si>
  <si>
    <t>Король Наталья Александровна</t>
  </si>
  <si>
    <t>Белянкин Вячеслав Борисович</t>
  </si>
  <si>
    <t>Логинова Юлия Анатольевна</t>
  </si>
  <si>
    <t>Золотарев Степан Сергеевич</t>
  </si>
  <si>
    <t>Чобану Ирина Владимировна</t>
  </si>
  <si>
    <t>Пронин Сергей Петрович</t>
  </si>
  <si>
    <t>Горнинг Сергей Сергеевич</t>
  </si>
  <si>
    <t>Лакодименко Людмила Павловна</t>
  </si>
  <si>
    <t>Новикова Лариса Александровна</t>
  </si>
  <si>
    <t>Тумба Олег Макариевич</t>
  </si>
  <si>
    <t>Боголюбский Антон Васильевич</t>
  </si>
  <si>
    <t>Медведева Юлия Александровна</t>
  </si>
  <si>
    <t>Паненкова Инга Анатольевна</t>
  </si>
  <si>
    <t>Свительский Александр Валентинович</t>
  </si>
  <si>
    <t>Рынзя Борис Олегович</t>
  </si>
  <si>
    <t>Бухгалтер II категории</t>
  </si>
  <si>
    <t>Бучнев Валерий Владимирович</t>
  </si>
  <si>
    <t>Кудряшов Фёдор Александрович</t>
  </si>
  <si>
    <t>Погосов Артем Михайлович</t>
  </si>
  <si>
    <t>Ишмухамедова Светлана Вячеславовна</t>
  </si>
  <si>
    <t>Меркушева Марина Викторовна</t>
  </si>
  <si>
    <t>Черняк Анна Александровна</t>
  </si>
  <si>
    <t>Юрченко Виталий Владимирович</t>
  </si>
  <si>
    <t>Инженер-программист</t>
  </si>
  <si>
    <t>Разуванова Надежда Ростиславовна</t>
  </si>
  <si>
    <t>Гинанова Алла Николаевна</t>
  </si>
  <si>
    <t>Киселев Андрей Александрович</t>
  </si>
  <si>
    <t>Гордеева Ксения Ивановна</t>
  </si>
  <si>
    <t>Дашевская Елена Юрьевна</t>
  </si>
  <si>
    <r>
      <t xml:space="preserve">Только командировки (+НДС и не н/у по судебным заседениям) в/о </t>
    </r>
    <r>
      <rPr>
        <b/>
        <u/>
        <sz val="7"/>
        <rFont val="Arial Cyr"/>
        <charset val="204"/>
      </rPr>
      <t xml:space="preserve">Х402  </t>
    </r>
    <r>
      <rPr>
        <b/>
        <sz val="7"/>
        <rFont val="Arial Cyr"/>
        <charset val="204"/>
      </rPr>
      <t xml:space="preserve">по счету </t>
    </r>
    <r>
      <rPr>
        <b/>
        <u/>
        <sz val="7"/>
        <rFont val="Arial Cyr"/>
        <charset val="204"/>
      </rPr>
      <t>9148120000</t>
    </r>
  </si>
  <si>
    <r>
      <t xml:space="preserve">Только командировки </t>
    </r>
    <r>
      <rPr>
        <b/>
        <u/>
        <sz val="7"/>
        <rFont val="Arial Cyr"/>
        <charset val="204"/>
      </rPr>
      <t xml:space="preserve">
(расходы по судебным заседаниям н/у) 
в/о Х402 по счету 9145220000</t>
    </r>
  </si>
  <si>
    <t>9145220000</t>
  </si>
  <si>
    <t>Ярошенко Кристина Сергеевна</t>
  </si>
  <si>
    <t>Волков Иван Анатольевич</t>
  </si>
  <si>
    <t>Спиридонова Татьяна Валерьевна</t>
  </si>
  <si>
    <t>Мишалова Людмила Анатольевна</t>
  </si>
  <si>
    <t>Цесарж Антон Николаевич</t>
  </si>
  <si>
    <t>Некраш Екатерина Евгеньевна</t>
  </si>
  <si>
    <t>Захарченко Олег Александрович</t>
  </si>
  <si>
    <t>Дианова Надежда Ивановна</t>
  </si>
  <si>
    <t>Армаш Юлия Николаевна</t>
  </si>
  <si>
    <t>№а/о</t>
  </si>
  <si>
    <t>Витвинова Евгения Валерьевна</t>
  </si>
  <si>
    <t>Шепилова Ксения Александровна</t>
  </si>
  <si>
    <t>Харисов Роман Айратович</t>
  </si>
  <si>
    <t>Зайцев-Кушниренко Герман Юсеинович</t>
  </si>
  <si>
    <t>Муковозчик Сергей Александрович</t>
  </si>
  <si>
    <t>Демченко Максим Михайлович</t>
  </si>
  <si>
    <t>Лукашук Игорь Дмитриевич</t>
  </si>
  <si>
    <t>Цюра Екатерина Юрьевна</t>
  </si>
  <si>
    <t>Мошкова Лидия Николаевна</t>
  </si>
  <si>
    <t>Сидяков Андрей Николаевич</t>
  </si>
  <si>
    <t>Колесова Анна Васильевна</t>
  </si>
  <si>
    <t>Хазанкович Екатерина Витальевна</t>
  </si>
  <si>
    <t>Назаров Павел Алексеевич</t>
  </si>
  <si>
    <t>Денисов Михаил Владимирович</t>
  </si>
  <si>
    <t>Чернецова Светлана Владимировна</t>
  </si>
  <si>
    <t>Казакова Регина Аликовна</t>
  </si>
  <si>
    <t>Обрывина Татьяна Ивановна</t>
  </si>
  <si>
    <t>Вандышева Анна Анатольевна</t>
  </si>
  <si>
    <t>Филистович Ирина Владимировна</t>
  </si>
  <si>
    <t>Лемтюгина Алёна Геннадьевна</t>
  </si>
  <si>
    <t>Сафиуллина Светлана Геннадьевна</t>
  </si>
  <si>
    <t>Бердоносова Светлана Юрьевна</t>
  </si>
  <si>
    <t>Скрипаченко Юлия Николаевна</t>
  </si>
  <si>
    <t>Пиралиева Яна Владимировна</t>
  </si>
  <si>
    <t>Тимкачев Семен Викторович</t>
  </si>
  <si>
    <t>Сафронов Александр Николаевич</t>
  </si>
  <si>
    <t>Мартынов Денис Леонидович</t>
  </si>
  <si>
    <t>Беляев Павел Михайлович</t>
  </si>
  <si>
    <t>Левин Вадим Геннадьевич</t>
  </si>
  <si>
    <t>Калита Евгений Иванович</t>
  </si>
  <si>
    <t>Травин Денис Владимирович</t>
  </si>
  <si>
    <t>Кузнецова Галина Владимировна</t>
  </si>
  <si>
    <t>Чугарова Наталия Васильевна</t>
  </si>
  <si>
    <t>Савилова Ирина Николаевна</t>
  </si>
  <si>
    <t>Фахретдинов Ринат Алиевич</t>
  </si>
  <si>
    <t>Манаков Олег Александрович</t>
  </si>
  <si>
    <t>Николаев Николай Николаевич</t>
  </si>
  <si>
    <t>Поликарпова Елена Геннадьевна</t>
  </si>
  <si>
    <t>Коротовских Ирина Владимировна</t>
  </si>
  <si>
    <t>Захарченко Сергей Витальевич</t>
  </si>
  <si>
    <t>Заместитель начальника</t>
  </si>
  <si>
    <t>Акатьев Максим Николаевич</t>
  </si>
  <si>
    <t>Шевелев Сергей Викторович</t>
  </si>
  <si>
    <t>Шесталюк Давид Борисович</t>
  </si>
  <si>
    <t>Хайретдинова Наталья Вацласовна</t>
  </si>
  <si>
    <t>Кузнецова Марина Николаевна</t>
  </si>
  <si>
    <t>Воротникова Ольга Гадыльшевна</t>
  </si>
  <si>
    <t>Хабибуллина Татьяна Викторовна</t>
  </si>
  <si>
    <t>Бондарев Станислав Анатольевич</t>
  </si>
  <si>
    <t>Бизяев Дмитрий Олегович</t>
  </si>
  <si>
    <t>Безбородова Надежда Анатольевна</t>
  </si>
  <si>
    <t>Тимошкина Ксения Сергеевна</t>
  </si>
  <si>
    <t>Яматов Ильвир Маратович</t>
  </si>
  <si>
    <t>Руднов Константин Сергеевич</t>
  </si>
  <si>
    <t>Пушкарев Константин Валерьевич</t>
  </si>
  <si>
    <t>Караваева Наталья Александровна</t>
  </si>
  <si>
    <t>Матевосян Сергей Юрьевич</t>
  </si>
  <si>
    <t>Трофимов Олег Александрович</t>
  </si>
  <si>
    <t>Канарчик Иван Алексеевич</t>
  </si>
  <si>
    <t>Вальков Виталий Владимирович</t>
  </si>
  <si>
    <t>Маркшейдер I категории</t>
  </si>
  <si>
    <t>Харламова Анастасия Сергеевна</t>
  </si>
  <si>
    <t>Советник начальника управления</t>
  </si>
  <si>
    <t>Ведущий маркшейдер</t>
  </si>
  <si>
    <t>Ментуз Кристина Сергеевна</t>
  </si>
  <si>
    <t>Соболев Кирилл Анатольевич</t>
  </si>
  <si>
    <t>Нечаева Юлия Владимировна</t>
  </si>
  <si>
    <t>Иванова Айгуль Раильевна</t>
  </si>
  <si>
    <t>Годованюк Олеся Николаевна</t>
  </si>
  <si>
    <t>Мосина Александра Григорьевна</t>
  </si>
  <si>
    <t>Кузьмин Максим Викторович</t>
  </si>
  <si>
    <t>Дементьева Татьяна Николаевна</t>
  </si>
  <si>
    <t>Сирота Михаил Викторович</t>
  </si>
  <si>
    <t>Бузуева Анна Сергеевна</t>
  </si>
  <si>
    <t>Ильинский Виталий Сергеевич</t>
  </si>
  <si>
    <t>Шеметов Максим Алексеевич</t>
  </si>
  <si>
    <t>Петросян Жирайр Артурович</t>
  </si>
  <si>
    <t>Шкляев Алексей Валентинович</t>
  </si>
  <si>
    <t>Галиев Альберт Файразович</t>
  </si>
  <si>
    <t>Сазонова Наталья Николаевна</t>
  </si>
  <si>
    <t>Гудков Ринат Александрович</t>
  </si>
  <si>
    <t>Шамсиева Юлия Миратовна</t>
  </si>
  <si>
    <t>Марченко Александр Сергеевич</t>
  </si>
  <si>
    <t>Востров Валерий Александрович</t>
  </si>
  <si>
    <t>Без PR</t>
  </si>
  <si>
    <t>Шурупова Галия Расимовна</t>
  </si>
  <si>
    <t>Воробьева Наталья Андреевна</t>
  </si>
  <si>
    <t>Шикула Анастасия Анатольевна</t>
  </si>
  <si>
    <t>Ашейчик Анна Владимировна</t>
  </si>
  <si>
    <t>Дзиковская Елена Викторовна</t>
  </si>
  <si>
    <t>Шевченко Сергей Александрович</t>
  </si>
  <si>
    <t>Потапов Алексей Анатольевич</t>
  </si>
  <si>
    <t>Ложкин Антон Александрович</t>
  </si>
  <si>
    <t>Лепешкин Дмитрий Сергеевич</t>
  </si>
  <si>
    <t>Захаров Сергей Петрович</t>
  </si>
  <si>
    <t>Кирпичная Лидия Николаевна</t>
  </si>
  <si>
    <t>Соболева Ирина Геннадьевна</t>
  </si>
  <si>
    <t>Демчукова Джульетта Ермолаевна</t>
  </si>
  <si>
    <t>Иванченкова Алла Викторовна</t>
  </si>
  <si>
    <t>Тир Вера Викторовна</t>
  </si>
  <si>
    <t>Серебрякова Наталья Кузьминична</t>
  </si>
  <si>
    <t>Заместитель начальника секретариата</t>
  </si>
  <si>
    <t>Суботьялова Юлия Валерьевна</t>
  </si>
  <si>
    <t>Якаева Оксана Вячеславовна</t>
  </si>
  <si>
    <t>Орлов Виктор Аркадьевич</t>
  </si>
  <si>
    <t>Семиженко Ольга Алексеевна</t>
  </si>
  <si>
    <t>Денисенков Дмитрий Владимирович</t>
  </si>
  <si>
    <t>Первый заместитель начальника управления по комплектации</t>
  </si>
  <si>
    <t>Касьянова Наталья Валентиновна</t>
  </si>
  <si>
    <t>Марченко Владислав Анатольевич</t>
  </si>
  <si>
    <t>Курносов Дмитрий Александрович</t>
  </si>
  <si>
    <t>Главин Александр Николаевич</t>
  </si>
  <si>
    <t>Казаков Василий Евгеньевич</t>
  </si>
  <si>
    <t>Алмакаева Ирина Алексеевна</t>
  </si>
  <si>
    <t>Аксарин Андрей Владимирович</t>
  </si>
  <si>
    <t>Заместитель главного инженера по ремонту автотракторной, специальной и нефтепромысловой техники</t>
  </si>
  <si>
    <t>Вьюжанин Антон Владимирович</t>
  </si>
  <si>
    <t>Караваева Надежда Андреевна</t>
  </si>
  <si>
    <t>Антонов Василий Валерьевич</t>
  </si>
  <si>
    <t>Алексеева Елена Андреевна</t>
  </si>
  <si>
    <t>Урюпин Андрей Алексеевич</t>
  </si>
  <si>
    <t>Хакимов Ильяс Асхатович</t>
  </si>
  <si>
    <r>
      <t xml:space="preserve">льг.отп работника 3202010400           </t>
    </r>
    <r>
      <rPr>
        <b/>
        <sz val="8"/>
        <rFont val="Arial Cyr"/>
        <charset val="204"/>
      </rPr>
      <t>Х 401</t>
    </r>
  </si>
  <si>
    <r>
      <t xml:space="preserve">Перемена м/жительства чл.семьи  и раб-ка, н/ и не н/у (без налогов) </t>
    </r>
    <r>
      <rPr>
        <b/>
        <sz val="8"/>
        <rFont val="Arial Cyr"/>
        <charset val="204"/>
      </rPr>
      <t xml:space="preserve">9144160200 </t>
    </r>
  </si>
  <si>
    <t>Коструб Татьяна Вячеславовна</t>
  </si>
  <si>
    <t>Мотько Евгений Ильич</t>
  </si>
  <si>
    <t>Грехов Артем Алексеевич</t>
  </si>
  <si>
    <t>Давлятова Светлана Валентиновна</t>
  </si>
  <si>
    <t>Малюгин Константин Сергеевич</t>
  </si>
  <si>
    <t>Медалиев Николай Михайлович</t>
  </si>
  <si>
    <t>Бобров Сергей Сергеевич</t>
  </si>
  <si>
    <t>Кожухова Ольга Сергеевна</t>
  </si>
  <si>
    <t>Клементьев Алексей Алексеевич</t>
  </si>
  <si>
    <t>Сурикова Юлия Ивановна</t>
  </si>
  <si>
    <t>Зацарин Евгений Юрьевич</t>
  </si>
  <si>
    <t>Осипова Таисия Игоревна</t>
  </si>
  <si>
    <t>Михайлова Ольга Николаевна</t>
  </si>
  <si>
    <t>Лисицын Игорь Витальевич</t>
  </si>
  <si>
    <t>Бандура Наталья Николаевна</t>
  </si>
  <si>
    <t>Михайлов Максим Алексеевич</t>
  </si>
  <si>
    <t>Солнцев Юрий Сергеевич</t>
  </si>
  <si>
    <t>Сафронов Андрей Станиславович</t>
  </si>
  <si>
    <t>Лушина Любовь Михайловна</t>
  </si>
  <si>
    <t>Акмуллин Юрий Владимирович</t>
  </si>
  <si>
    <t>Трифонова Диана Викторовна</t>
  </si>
  <si>
    <t>Халилова Дарья Юрьевна</t>
  </si>
  <si>
    <t>Ятокина Людмила Михайловна</t>
  </si>
  <si>
    <t>Акабирова Эльвина Мухаматовна</t>
  </si>
  <si>
    <t>Управление комплексного анализа производственной деятельности структурных подразделений</t>
  </si>
  <si>
    <t>Жогов Игорь Николаевич</t>
  </si>
  <si>
    <t>Руснак Алексей Михайлович</t>
  </si>
  <si>
    <t>Сабитов Денис Рафаилович</t>
  </si>
  <si>
    <t>Плешивых Евгений Васильевич</t>
  </si>
  <si>
    <t>Мироновская Наталья Владимировна</t>
  </si>
  <si>
    <t>Тримасова Елена Яновна</t>
  </si>
  <si>
    <t>Девятаева Алина Евгеньевна</t>
  </si>
  <si>
    <t>Олейников Александр Игоревич</t>
  </si>
  <si>
    <t>Кирилюк Анна Станиславовна</t>
  </si>
  <si>
    <t>Крафт Андрей Анатольевич</t>
  </si>
  <si>
    <t>Нехотин Павел Сергеевич</t>
  </si>
  <si>
    <t>Галимов Ринат Анварович</t>
  </si>
  <si>
    <t>Васильева Галина Сергеевна</t>
  </si>
  <si>
    <t>Маснык Евгения Зейналобидовна</t>
  </si>
  <si>
    <t>Гельмантинова Алина Эдуардовна</t>
  </si>
  <si>
    <t>Булашов Алексей Олегович</t>
  </si>
  <si>
    <t>Маслова Алина Евгеньевна</t>
  </si>
  <si>
    <t>Василенко Андрей Анатольевич</t>
  </si>
  <si>
    <t>Петриченко Константин Николаевич</t>
  </si>
  <si>
    <t>Чукавин Денис Витальевич</t>
  </si>
  <si>
    <t>Вепрев Михаил Николаевич</t>
  </si>
  <si>
    <t>Христенко Наталья Николаевна</t>
  </si>
  <si>
    <t>Грузнова Олеся Вячеславовна</t>
  </si>
  <si>
    <t>Ботова Кристина Юрьевна</t>
  </si>
  <si>
    <t>Насретдинова Марина Тагировна</t>
  </si>
  <si>
    <t>Баев Валентин Анатольевич</t>
  </si>
  <si>
    <t>Зорин Евгений Александрович</t>
  </si>
  <si>
    <t>Аминова Наталья Петровна</t>
  </si>
  <si>
    <t>Кнерик Виктор Васильевич</t>
  </si>
  <si>
    <t>Паневкина Марина Витальевна</t>
  </si>
  <si>
    <t>Кобзарев Олег Валерьевич</t>
  </si>
  <si>
    <t>Юрасова Анна Владимировна</t>
  </si>
  <si>
    <t>Половин Станислав Юрьевич</t>
  </si>
  <si>
    <t>Ананьев Алексей Иванович</t>
  </si>
  <si>
    <t>Нагорянский Олег Николаевич</t>
  </si>
  <si>
    <t>Юдина Людмила Александровна</t>
  </si>
  <si>
    <t>Кривоносова Юлия Андреевна</t>
  </si>
  <si>
    <t>Авхадеева Наталья Рафаиловна</t>
  </si>
  <si>
    <t>Комарова Людмила Васильевна</t>
  </si>
  <si>
    <t>Аксенова Полина Игоревна</t>
  </si>
  <si>
    <t>Ашарапова Елена Николаевна</t>
  </si>
  <si>
    <t>Кожевникова Яна Владимировна</t>
  </si>
  <si>
    <t>Хузин Алмаз Ансарович</t>
  </si>
  <si>
    <t>Баркова Ольга Валерьевна</t>
  </si>
  <si>
    <t>Ямилов Ринат Альбертович</t>
  </si>
  <si>
    <t>Емельянов Олег Владимирович</t>
  </si>
  <si>
    <t>Шатов Виктор Викторович</t>
  </si>
  <si>
    <t>Голянкова Татьяна Михайловна</t>
  </si>
  <si>
    <t>Епифанов Егор Сергеевич</t>
  </si>
  <si>
    <t>Поваров Дмитрий Валерьевич</t>
  </si>
  <si>
    <t>Мельникова Марина Евгеньевна</t>
  </si>
  <si>
    <t>Низамутдинова Венера Тауфековна</t>
  </si>
  <si>
    <t>Минасян Анастасия Александровна</t>
  </si>
  <si>
    <t>Кудинова Марина Сергеевна</t>
  </si>
  <si>
    <t>Заудалов Сергей Геннадьевич</t>
  </si>
  <si>
    <t>Михайлов Вячеслав Георгиевич</t>
  </si>
  <si>
    <t>Управление внутреннего контроля</t>
  </si>
  <si>
    <t>Капитанова Кристина Александровна</t>
  </si>
  <si>
    <t>Рахманкулова Альбина Аюповна</t>
  </si>
  <si>
    <t>Елин Александр Евгеньевич</t>
  </si>
  <si>
    <t>Талипов Марат Ильдусович</t>
  </si>
  <si>
    <t>Геолог</t>
  </si>
  <si>
    <t>Соловьев Дмитрий Евгеньевич</t>
  </si>
  <si>
    <t>Якаева Ирина Геннадьевна</t>
  </si>
  <si>
    <t>Семерикова Анастасия Александровна</t>
  </si>
  <si>
    <t>Козлов Алексей Иванович</t>
  </si>
  <si>
    <t>Иванова Елена Леонидовна</t>
  </si>
  <si>
    <t>Гавриленко Надежда Павловна</t>
  </si>
  <si>
    <t>Башкирцева Елена Александровна</t>
  </si>
  <si>
    <t>Адамович Мария Сергеевна</t>
  </si>
  <si>
    <t>Полякова Екатерина Юрьевна</t>
  </si>
  <si>
    <t>Ткачева Юлия Олеговна</t>
  </si>
  <si>
    <t>Зиновьев Константин Владимирович</t>
  </si>
  <si>
    <t>Викулов Александр Владимирович</t>
  </si>
  <si>
    <t>Агурицева Инна Юрьевна</t>
  </si>
  <si>
    <t>Бондарева Светлана Анатольевна</t>
  </si>
  <si>
    <t>Окунев Антон Вячеславович</t>
  </si>
  <si>
    <t>Канарейкин Виктор Викторович</t>
  </si>
  <si>
    <t>Бирюкова Анна Николаевна</t>
  </si>
  <si>
    <t>Управление методологии и организации бухгалтерского и налогового учета</t>
  </si>
  <si>
    <t>Арсланов Ильдар Ильнурович</t>
  </si>
  <si>
    <t>Клементьев Дмитрий Васильевич</t>
  </si>
  <si>
    <t>Хаджиметова Ирина Николаевна</t>
  </si>
  <si>
    <t>Иванов Денис Иванович</t>
  </si>
  <si>
    <t>Кондрашова Елена Александровна</t>
  </si>
  <si>
    <t>Самигуллина Олеся Альбертовна</t>
  </si>
  <si>
    <t>Петрова Ирина Витальевна</t>
  </si>
  <si>
    <t>Соломко Юлия Анатольевна</t>
  </si>
  <si>
    <t>Реннер Виктория Викторовна</t>
  </si>
  <si>
    <t>Аливанова Елена Николаевна</t>
  </si>
  <si>
    <t>Винокуров Сергей Михайлович</t>
  </si>
  <si>
    <t>Инкина Валерия Вячеславовна</t>
  </si>
  <si>
    <t>Зелинская Наталья Вячеславовна</t>
  </si>
  <si>
    <t>Коробов Константин Эдуардович</t>
  </si>
  <si>
    <t>Шабанова Надежда Витальевна</t>
  </si>
  <si>
    <t>Техник I категории</t>
  </si>
  <si>
    <t>Коваль Наталья Алексеевна</t>
  </si>
  <si>
    <t>Забиякин Андрей Валерьевич</t>
  </si>
  <si>
    <t>Федышина Алёна Александровна</t>
  </si>
  <si>
    <t>Бородина Анна Анатольевна</t>
  </si>
  <si>
    <t>Бакай Игорь Степанович</t>
  </si>
  <si>
    <t>Могылдан Светлана Васильевна</t>
  </si>
  <si>
    <t>Наврузова Ольга Сергеевна</t>
  </si>
  <si>
    <t>Сурудина Оксана Владимировна</t>
  </si>
  <si>
    <t>Хилкова Оксана Александровна</t>
  </si>
  <si>
    <t>Губарь Елена Сергеевна</t>
  </si>
  <si>
    <t>Гончар Татьяна Сергеевна</t>
  </si>
  <si>
    <t>Мошкин Егор Михайлович</t>
  </si>
  <si>
    <t>Скосырев Алексей Николаевич</t>
  </si>
  <si>
    <t>Большаков Олег Александрович</t>
  </si>
  <si>
    <t>Дейнеко Наталья Леонидовна</t>
  </si>
  <si>
    <t>Любимов Александр Сергеевич</t>
  </si>
  <si>
    <t>Салимгареева Полина Евгеньевна</t>
  </si>
  <si>
    <t>Аудитор</t>
  </si>
  <si>
    <t>Лапердина Елена Александровна</t>
  </si>
  <si>
    <t>Соколова Гузель Саттаровна</t>
  </si>
  <si>
    <t>Тидеман Сергей Викторович</t>
  </si>
  <si>
    <t>Лахова Татьяна Васильевна</t>
  </si>
  <si>
    <t>Мазалов Константин Валерьевич</t>
  </si>
  <si>
    <t>Петров Сергей Евгеньевич</t>
  </si>
  <si>
    <t>Першин Николай Петрович</t>
  </si>
  <si>
    <t>Алёшина Татьяна Евгеньевна</t>
  </si>
  <si>
    <t>Кононов Андрей Сергеевич</t>
  </si>
  <si>
    <t>Жукова Елизавета Евгеньевна</t>
  </si>
  <si>
    <t>Шпак Денис Викторович</t>
  </si>
  <si>
    <t>Полев Вадим Геннадьевич</t>
  </si>
  <si>
    <t>Халанская Татьяна Анатольевна</t>
  </si>
  <si>
    <t>Захарова Айыына Анатольевна</t>
  </si>
  <si>
    <t>Секачева Светлана Вячеславовна</t>
  </si>
  <si>
    <t>Иванова Алина Ануваровна</t>
  </si>
  <si>
    <t>Отдел координации и контроля учетных процессов переработки нефти и сбыта нефтепродуктов</t>
  </si>
  <si>
    <t>Габдуллина Анна Вадимовна</t>
  </si>
  <si>
    <t>Михайленко Александр Владимирович</t>
  </si>
  <si>
    <t>Белик Марат Васильевич</t>
  </si>
  <si>
    <t>Черепивский Андрей Александрович</t>
  </si>
  <si>
    <t>Ядрышников Николай Николаевич</t>
  </si>
  <si>
    <t>Филимонова Ирина Вячеславовна</t>
  </si>
  <si>
    <t>Советник (заместителя ген.дир.по кадрам)</t>
  </si>
  <si>
    <t>Тарасова Ольга Михайловна</t>
  </si>
  <si>
    <t>Белоусов Сергей Александрович</t>
  </si>
  <si>
    <t>Губань Александра Олеговна</t>
  </si>
  <si>
    <t>Бутузов Владимир Александрович</t>
  </si>
  <si>
    <t>Ахметшин Нил Раилевич</t>
  </si>
  <si>
    <t>Литвиненко Валерий Дмитриевич</t>
  </si>
  <si>
    <t>Мешкова Светлана Владимировна</t>
  </si>
  <si>
    <t>Теплова Инна Валерьевна</t>
  </si>
  <si>
    <t>Лаптева Елена Сергеевна</t>
  </si>
  <si>
    <t>Волкович Дмитрий Васильевич</t>
  </si>
  <si>
    <t>Трофимова Елена Сергеевна</t>
  </si>
  <si>
    <t>Повар Мария Александровна</t>
  </si>
  <si>
    <t>Танишева Виктория Сергеевна</t>
  </si>
  <si>
    <t>Васильчук Алексей Николаевич</t>
  </si>
  <si>
    <t>Чижиков Леонид Борисович</t>
  </si>
  <si>
    <t>Сластенин Сергей Александрович</t>
  </si>
  <si>
    <t>Хлебников Артем Сергеевич</t>
  </si>
  <si>
    <t>Литвиненко Анна Владимировна</t>
  </si>
  <si>
    <t>Демьяненко Андрей Николаевич</t>
  </si>
  <si>
    <t>Ларина Галина Сергеевна</t>
  </si>
  <si>
    <t>Колепп Александр Викторович</t>
  </si>
  <si>
    <t>Захарчук Ирина Валерьевна</t>
  </si>
  <si>
    <t>Кинева Елена Викторовна</t>
  </si>
  <si>
    <t>Ерчихина Оксана Валерьевна</t>
  </si>
  <si>
    <t>Хмара Татьяна Викторовна</t>
  </si>
  <si>
    <t>Лымарь Ольга Владимировна</t>
  </si>
  <si>
    <t>Иванов Дмитрий Владимирович</t>
  </si>
  <si>
    <t>Вебер Жанна Викторовна</t>
  </si>
  <si>
    <t>Гуляев Артем Александрович</t>
  </si>
  <si>
    <t>Терловой Виталий Васильевич</t>
  </si>
  <si>
    <t>Нехвядович Александр Вячеславович</t>
  </si>
  <si>
    <t>Дранкова Анастасия Владимировна</t>
  </si>
  <si>
    <t>Вахитов Артем Ильшатович</t>
  </si>
  <si>
    <t>Бесолов Руслан Мухарбекович</t>
  </si>
  <si>
    <t>Пискунова Ольга Николаевна</t>
  </si>
  <si>
    <t>Лимарева Юлия Владимировна</t>
  </si>
  <si>
    <t>Ярилина Дарья Дмитриевна</t>
  </si>
  <si>
    <t>Малаева Юлия Николаевна</t>
  </si>
  <si>
    <t>Гильманова Людмила Владимировна</t>
  </si>
  <si>
    <t>Пильков Дмитрий Сергеевич</t>
  </si>
  <si>
    <t>Варнавская Инга Ивановна</t>
  </si>
  <si>
    <t>Маркшейдер II категории</t>
  </si>
  <si>
    <t>Калинин Роман Николаевич</t>
  </si>
  <si>
    <t>Редикульцева Екатерина Александровна</t>
  </si>
  <si>
    <t>Кортунков Евгений Алексеевич</t>
  </si>
  <si>
    <t>Сытникова Людмила Николаевна</t>
  </si>
  <si>
    <t>Курманова Полина Петровна</t>
  </si>
  <si>
    <t>Степанова Ольга Николаевна</t>
  </si>
  <si>
    <t>Русский Сергей Александрович</t>
  </si>
  <si>
    <t>Ключко Елена Владимировна</t>
  </si>
  <si>
    <t>Кострюков Игорь Анатольевич</t>
  </si>
  <si>
    <t>Кос Иван Михайлович</t>
  </si>
  <si>
    <t>Заместитель главного геолога - начальник управления</t>
  </si>
  <si>
    <t>Управление по контролю за строительством объектов и ценообразованию в капитальном строительстве</t>
  </si>
  <si>
    <t>Заместитель начальника управления - начальник отдела</t>
  </si>
  <si>
    <t>Можанов Евгений Михайлович</t>
  </si>
  <si>
    <t>Лещинский Александр Львович</t>
  </si>
  <si>
    <t>Елисеев Игорь Вячеславович</t>
  </si>
  <si>
    <t>Главный метролог - начальник отдела</t>
  </si>
  <si>
    <t>Занкевич Андрей Юрьевич</t>
  </si>
  <si>
    <t>Жуков Эдуард Викторович</t>
  </si>
  <si>
    <t>Галочкин Сергей Витальевич</t>
  </si>
  <si>
    <t>Ясиницкий Дмитрий Александрович</t>
  </si>
  <si>
    <t>Полищук Александр Владимирович</t>
  </si>
  <si>
    <t>Смирнов Вячеслав Александрович</t>
  </si>
  <si>
    <t>Кокорин Олег Александрович</t>
  </si>
  <si>
    <t>Юрченко Алексей Юрьевич</t>
  </si>
  <si>
    <t>Чернышевский Виктор Анатольевич</t>
  </si>
  <si>
    <t>Свальбов Анатолий Иосифович</t>
  </si>
  <si>
    <t>Каминский Дмитрий Владимирович</t>
  </si>
  <si>
    <t>Доценко Анатолий Михайлович</t>
  </si>
  <si>
    <t>Сундуков Сергей Николаевич</t>
  </si>
  <si>
    <t>Татарченко Александр Викторович</t>
  </si>
  <si>
    <t>Амзаев Тимур Рамзанович</t>
  </si>
  <si>
    <t>Пакулов Сергей Анатольевич</t>
  </si>
  <si>
    <t>Макаров Владимир Васильевич</t>
  </si>
  <si>
    <t>Некраш Владимир Константинович</t>
  </si>
  <si>
    <t>Куракинский Василий Юрьевич</t>
  </si>
  <si>
    <t>Корнейчук Анатолий Павлович</t>
  </si>
  <si>
    <t>Карпов Алексей Владимирович</t>
  </si>
  <si>
    <t>Дейнега Сергей Иванович</t>
  </si>
  <si>
    <t>Фомин Александр Анатольевич</t>
  </si>
  <si>
    <t>Пискарев Виктор Алексеевич</t>
  </si>
  <si>
    <t>Заместитель начальника управления по работе с дочерними обществами</t>
  </si>
  <si>
    <t>Кравцов Алексей Юрьевич</t>
  </si>
  <si>
    <t>Банин Максим Александрович</t>
  </si>
  <si>
    <t>Хворостов Александр Николаевич</t>
  </si>
  <si>
    <t>Фетисов Олег Михайлович</t>
  </si>
  <si>
    <t>Заместитель начальника управления - главный инженер</t>
  </si>
  <si>
    <t>Ермаков Владимир Дмитриевич</t>
  </si>
  <si>
    <t>Качайлов Александр Владимирович</t>
  </si>
  <si>
    <t>Портнов Валерий Михайлович</t>
  </si>
  <si>
    <t>Бабак Сергей Витальевич</t>
  </si>
  <si>
    <t>Пирогов Андрей Владимирович</t>
  </si>
  <si>
    <t>Шевченко Виталий Викторович</t>
  </si>
  <si>
    <t>Гашев Игорь Леонидович</t>
  </si>
  <si>
    <t>Костюченко Сергей Иванович</t>
  </si>
  <si>
    <t>Тертышный Виктор Михайлович</t>
  </si>
  <si>
    <t>Заместитель начальника отдела - руководитель группы</t>
  </si>
  <si>
    <t>Пантелеев Николай Александрович</t>
  </si>
  <si>
    <t>Переводчик</t>
  </si>
  <si>
    <t>Солозобов Алексей Петрович</t>
  </si>
  <si>
    <t>Жимаринский Андрей Вячеславович</t>
  </si>
  <si>
    <t>Ерохин Сергей Владимирович</t>
  </si>
  <si>
    <t>Блюмкин Владимир Алексеевич</t>
  </si>
  <si>
    <t>Курочкин Виктор Васильевич</t>
  </si>
  <si>
    <t>Хапилов Анатолий Николаевич</t>
  </si>
  <si>
    <t>Мальков Александр Вячеславович</t>
  </si>
  <si>
    <t>Килин Андрей Викторович</t>
  </si>
  <si>
    <t>Краюшкин Владимир Борисович</t>
  </si>
  <si>
    <t>Соколов Дмитрий Евгеньевич</t>
  </si>
  <si>
    <t>Тырсин Денис Александрович</t>
  </si>
  <si>
    <t>Корпоративный секретарь</t>
  </si>
  <si>
    <t>Егоров Олег Юрьевич</t>
  </si>
  <si>
    <t>Сулейменов Арман Сейтжагпарович</t>
  </si>
  <si>
    <t>Управление по имущественным отношениям ОАО "СНГ" на территории РС(Я) и ВС</t>
  </si>
  <si>
    <t>Енин Алексей Николаевич</t>
  </si>
  <si>
    <t>Логиновский Владислав Сергеевич</t>
  </si>
  <si>
    <t>Анисимов Константин Геннадьевич</t>
  </si>
  <si>
    <t>Наташкин Андрей Геннадьевич</t>
  </si>
  <si>
    <t>Захаров Евгений Леонидович</t>
  </si>
  <si>
    <t>Черников Сергей Витальевич</t>
  </si>
  <si>
    <t>Шевчук Александр Михайлович</t>
  </si>
  <si>
    <t>Захарко Игорь Вадимович</t>
  </si>
  <si>
    <t>Фалько Владимир Васильевич</t>
  </si>
  <si>
    <t>Заместитель начальника управления по организации страховой защиты</t>
  </si>
  <si>
    <t>Новиков Сергей Павлович</t>
  </si>
  <si>
    <t>Поляков Юрий Викторович</t>
  </si>
  <si>
    <t>Григоров Анатолий Ефимович</t>
  </si>
  <si>
    <t>Бутаков Иван Николаевич</t>
  </si>
  <si>
    <t>Ткачев Вадим Викторович</t>
  </si>
  <si>
    <t>Чумичев Юрий Александрович</t>
  </si>
  <si>
    <t>Лебедев Алексей Анатольевич</t>
  </si>
  <si>
    <t>Пузанов Михаил Геннадьевич</t>
  </si>
  <si>
    <t>Антоненко Владимир Владимирович</t>
  </si>
  <si>
    <t>Петренко Алексей Васильевич</t>
  </si>
  <si>
    <t>Якимов Валерий Владимирович</t>
  </si>
  <si>
    <t>Орликовский Олег Александрович</t>
  </si>
  <si>
    <t>Самарханов Родион Раисович</t>
  </si>
  <si>
    <t>Производственный отдел по текущему и капитальному ремонту скважин</t>
  </si>
  <si>
    <t>Битков Дмитрий Анатольевич</t>
  </si>
  <si>
    <t>Дубровский Владимир Анатольевич</t>
  </si>
  <si>
    <t>Фетисов Дмитрий Анатольевич</t>
  </si>
  <si>
    <t>Голубов Максим Анатольевич</t>
  </si>
  <si>
    <t>Шашин Геннадий Геннадьевич</t>
  </si>
  <si>
    <t>Холодюк Руслан Владимирович</t>
  </si>
  <si>
    <t>Кучин Антон Викторович</t>
  </si>
  <si>
    <t>Логинов Евгений Николаевич</t>
  </si>
  <si>
    <t>Барахтенко Алексей Валентинович</t>
  </si>
  <si>
    <t>Салахов Олег Николаевич</t>
  </si>
  <si>
    <t>Мялковский Сергей Сергеевич</t>
  </si>
  <si>
    <t>Гладилин Алексей Борисович</t>
  </si>
  <si>
    <t>Седых Любовь Михайловна</t>
  </si>
  <si>
    <t>Мкртычева Лариса Александровна</t>
  </si>
  <si>
    <t>Дукина Любовь Александровна</t>
  </si>
  <si>
    <t>Члены ревизионной комиссии</t>
  </si>
  <si>
    <t>Еремченко Наталья Александровна</t>
  </si>
  <si>
    <t>Ильенко Галина Кузьминична</t>
  </si>
  <si>
    <t>Ляпина Лариса Узбековна</t>
  </si>
  <si>
    <t>Геолог II категории</t>
  </si>
  <si>
    <t>Божкова Нина Николаевна</t>
  </si>
  <si>
    <t>Нестерова Наталья Павловна</t>
  </si>
  <si>
    <t>Марченкова Антонина Григорьевна</t>
  </si>
  <si>
    <t>Копейкина Ирина Викторовна</t>
  </si>
  <si>
    <t>Фадеева Надежда Михайловна</t>
  </si>
  <si>
    <t>Шкуренко Вера Ивановна</t>
  </si>
  <si>
    <t>Брездун Елена Александровна</t>
  </si>
  <si>
    <t>Паукова Татьяна Алексеевна</t>
  </si>
  <si>
    <t>Жаворонкова Людмила Евгеньевна</t>
  </si>
  <si>
    <t>Грачева Елена Владимировна</t>
  </si>
  <si>
    <t>Генцелева Ирина Николаевна</t>
  </si>
  <si>
    <t>Орденко Елена Владимировна</t>
  </si>
  <si>
    <t>Чернышова Лариса Александровна</t>
  </si>
  <si>
    <t>Заместитель начальника отдела по экспортным операциям</t>
  </si>
  <si>
    <t>Пахмурина Марина Михайловна</t>
  </si>
  <si>
    <t>Млявая Светлана Геннадьевна</t>
  </si>
  <si>
    <t>Ботина Татьяна Анатольевна</t>
  </si>
  <si>
    <t>Марисова Ирина Владимировна</t>
  </si>
  <si>
    <t>Ткаченко Ирина Анатольевна</t>
  </si>
  <si>
    <t>Лисовская Елена Анатольевна</t>
  </si>
  <si>
    <t>Верещинская Светлана Петровна</t>
  </si>
  <si>
    <t>Бирюкова Людмила Викторовна</t>
  </si>
  <si>
    <t>Сметанникова Татьяна Викторовна</t>
  </si>
  <si>
    <t>Якубовская Оксана Владимировна</t>
  </si>
  <si>
    <t>Тарасова Елена Ивановна</t>
  </si>
  <si>
    <t>Снятовская Анжела Ивановна</t>
  </si>
  <si>
    <t>Черенкова Валерия Ивановна</t>
  </si>
  <si>
    <t>Шамарина Ольга Ивановна</t>
  </si>
  <si>
    <t>Заместитель главного бухгалтера</t>
  </si>
  <si>
    <t>Дорошенко Татьяна Федоровна</t>
  </si>
  <si>
    <t>Шевченко Людмила Николаевна</t>
  </si>
  <si>
    <t>Верпека Наталия Алексеевна</t>
  </si>
  <si>
    <t>Сорокина Любовь Николаевна</t>
  </si>
  <si>
    <t>Колобова Анна Валентиновна</t>
  </si>
  <si>
    <t>Заварзина Наталья Сергеевна</t>
  </si>
  <si>
    <t>Шубина Людмила Григорьевна</t>
  </si>
  <si>
    <t>Волынкина Александра Викторовна</t>
  </si>
  <si>
    <t>Рогожина Лариса Анатольевна</t>
  </si>
  <si>
    <t>Маркушева Татьяна Ивановна</t>
  </si>
  <si>
    <t>Мороз Елена Анатольевна</t>
  </si>
  <si>
    <t>Сапрыкина Надежда Павловна</t>
  </si>
  <si>
    <t>Войцеховская Вероника Александровна</t>
  </si>
  <si>
    <t>Тавренко Галина Алексеевна</t>
  </si>
  <si>
    <t>Артеева Александра Ивановна</t>
  </si>
  <si>
    <t>Чеснокова Зоя Владимировна</t>
  </si>
  <si>
    <t>Лукашина Тамара Геннадьевна</t>
  </si>
  <si>
    <t>Шляхта Виктория Алексеевна</t>
  </si>
  <si>
    <t>Гордиенко Марина Валерьевна</t>
  </si>
  <si>
    <t>Бондаренко Виктория Анатольевна</t>
  </si>
  <si>
    <t>Агарёва Лилия Валентиновна</t>
  </si>
  <si>
    <t>Верия Елена Николаевна</t>
  </si>
  <si>
    <t>Малькова Ирина Владимировна</t>
  </si>
  <si>
    <t>Смородина Галина Николаевна</t>
  </si>
  <si>
    <t>Мурзина Светлана Алексеевна</t>
  </si>
  <si>
    <t>Кантарбаева Айчан Укасовна</t>
  </si>
  <si>
    <t>Шуваева Светлана Сергеевна</t>
  </si>
  <si>
    <t>Калинина Надежда Александровна</t>
  </si>
  <si>
    <t>Бабынина Светлана Александровна</t>
  </si>
  <si>
    <t>Руссу Людмила Александровна</t>
  </si>
  <si>
    <t>Табатадзе Ирина Анатольевна</t>
  </si>
  <si>
    <t>Соболева Луиза Валентиновна</t>
  </si>
  <si>
    <t>Хохлова Ольга Борисовна</t>
  </si>
  <si>
    <t>Макушенко Ольга Николаевна</t>
  </si>
  <si>
    <t>Тимошенко Эльвира Вячеславовна</t>
  </si>
  <si>
    <t>Куринёва Вера Ивановна</t>
  </si>
  <si>
    <t>Белобородова Светлана Борисовна</t>
  </si>
  <si>
    <t>Пригарина Ольга Николаевна</t>
  </si>
  <si>
    <t>Ивонина Ольга Владимировна</t>
  </si>
  <si>
    <t>Якупова Светлана Игнатьевна</t>
  </si>
  <si>
    <t>Губарь Наталья Канибековна</t>
  </si>
  <si>
    <t>Пасунько Алла Владимировна</t>
  </si>
  <si>
    <t>Калинина Анна Александровна</t>
  </si>
  <si>
    <t>Искандерова Галина Владимировна</t>
  </si>
  <si>
    <t>Рыбьякова Ольга Викторовна</t>
  </si>
  <si>
    <t>Доронина Елена Геннадьевна</t>
  </si>
  <si>
    <t>Самсонова Наталья Александровна</t>
  </si>
  <si>
    <t>Нечай Лидия Филипповна</t>
  </si>
  <si>
    <t>Шестопал Наталья Валериевна</t>
  </si>
  <si>
    <t>Иносаридзе Светлана Евгеньевна</t>
  </si>
  <si>
    <t>Борисова Светлана Александровна</t>
  </si>
  <si>
    <t>Сапрыкина Алевтина Анатольевна</t>
  </si>
  <si>
    <t>Бадерина Наталья Андреевна</t>
  </si>
  <si>
    <t>Шляховая Эльвера Халиковна</t>
  </si>
  <si>
    <t>Лагутина Галина Анатольевна</t>
  </si>
  <si>
    <t>Хаенок Виктория Валериевна</t>
  </si>
  <si>
    <t>Жернакова Юлия Николаевна</t>
  </si>
  <si>
    <t>Орленко Юлия Александровна</t>
  </si>
  <si>
    <t>Проценко Светлана Ивановна</t>
  </si>
  <si>
    <t>Тарасова Наталья Алексеевна</t>
  </si>
  <si>
    <t>Медведева Тамара Михайловна</t>
  </si>
  <si>
    <t>Заместитель начальника управления-начальник секретариата</t>
  </si>
  <si>
    <t>Бидзиля Екатерина Антоновна</t>
  </si>
  <si>
    <t>Погосян Осанна Телемаковна</t>
  </si>
  <si>
    <t>Маркова Гузель Раисовна</t>
  </si>
  <si>
    <t>Афонченкова Валентина Владимировна</t>
  </si>
  <si>
    <t>Погосова Ольга Ивановна</t>
  </si>
  <si>
    <t>Барабанова Ольга Леонидовна</t>
  </si>
  <si>
    <t>Заведующий складом</t>
  </si>
  <si>
    <t>Волкова Людмила Алексеевна</t>
  </si>
  <si>
    <t>Бирюкова Татьяна Николаевна</t>
  </si>
  <si>
    <t>Закроева Ирина Валентиновна</t>
  </si>
  <si>
    <t>Барахтянская Елена Валерьевна</t>
  </si>
  <si>
    <t>Лукашева Татьяна Александровна</t>
  </si>
  <si>
    <t>Хорошина Лариса Аркадьевна</t>
  </si>
  <si>
    <t>Гордеева Анастасия Юрьевна</t>
  </si>
  <si>
    <t>Филатова Людмила Александровна</t>
  </si>
  <si>
    <t>Ванюшина Любовь Николаевна</t>
  </si>
  <si>
    <t>Альжанова Айгуль Габбасовна</t>
  </si>
  <si>
    <t>Карташова Валерия Владимировна</t>
  </si>
  <si>
    <t>Заведующий канцелярией</t>
  </si>
  <si>
    <t>Захарченко Наталья Владимировна</t>
  </si>
  <si>
    <t>Начальник экспедиции</t>
  </si>
  <si>
    <t>Шуваева Светлана Георгиевна</t>
  </si>
  <si>
    <t>Ивченко Инна Борисовна</t>
  </si>
  <si>
    <t>Ощепкова Надежда Алексеевна</t>
  </si>
  <si>
    <t>Жиборкина Светлана Анатольевна</t>
  </si>
  <si>
    <t>Страшкова Татьяна Ивановна</t>
  </si>
  <si>
    <t>Роганян Светлана Михайловна</t>
  </si>
  <si>
    <t>Долгалева Валерия Владимировна</t>
  </si>
  <si>
    <t>Краус Ольга Михайловна</t>
  </si>
  <si>
    <t>Газетова Татьяна Александровна</t>
  </si>
  <si>
    <t>Мартьянова Наталья Ивановна</t>
  </si>
  <si>
    <t>Ведущий инженер по проектно-сметной работе</t>
  </si>
  <si>
    <t>Васильева Алёна Алексеевна</t>
  </si>
  <si>
    <t>Воеводина Татьяна Салаватовна</t>
  </si>
  <si>
    <t>Перевозкина Наталья Геннадьевна</t>
  </si>
  <si>
    <t>Шулакова Ольга Юрьевна</t>
  </si>
  <si>
    <t>Никандров Петр Павлович</t>
  </si>
  <si>
    <t>Юношева Светлана Михайловна</t>
  </si>
  <si>
    <t>Барыленко Елена Евгеньевна</t>
  </si>
  <si>
    <t>Голова Александра Владимировна</t>
  </si>
  <si>
    <t>Чакветадзе Татьяна Алексеевна</t>
  </si>
  <si>
    <t>Латыпова Ольга Юрьевна</t>
  </si>
  <si>
    <t>Бубен Ольга Васильевна</t>
  </si>
  <si>
    <t>Хотынская Наталья Иосифовна</t>
  </si>
  <si>
    <t>Адмаева Юлия Эдуардовна</t>
  </si>
  <si>
    <t>Цыплакова Елена Михайловна</t>
  </si>
  <si>
    <t>Кринфельд Елена Викторовна</t>
  </si>
  <si>
    <t>Ведущий специалист по защите информации</t>
  </si>
  <si>
    <t>Завадская Наталья Петровна</t>
  </si>
  <si>
    <t>Блинова Елена Владимировна</t>
  </si>
  <si>
    <t>Капсамун Юлианна Леонидовна</t>
  </si>
  <si>
    <t>Татарченко Светлана Васильевна</t>
  </si>
  <si>
    <t>Бахарева Лариса Юрьевна</t>
  </si>
  <si>
    <t>Левчук Галина Владимировна</t>
  </si>
  <si>
    <t>Ильясова Надежда Михайловна</t>
  </si>
  <si>
    <t>Егорова Елена Александровна</t>
  </si>
  <si>
    <t>Свеженцева Елена Александровна</t>
  </si>
  <si>
    <t>Герасимова Марина Петровна</t>
  </si>
  <si>
    <t>Тущенко Светлана Васильевна</t>
  </si>
  <si>
    <t>Венгерец Альбина Ралифовна</t>
  </si>
  <si>
    <t>Огнивова Наталья Александровна</t>
  </si>
  <si>
    <t>Веселова Руслана Михайловна</t>
  </si>
  <si>
    <t>Подустова Елена Геннадиевна</t>
  </si>
  <si>
    <t>Гальцова Юлия Николаевна</t>
  </si>
  <si>
    <t>Юрина Нина Ивановна</t>
  </si>
  <si>
    <t>Слепенкова Надежда Геннадиевна</t>
  </si>
  <si>
    <t>Степаненко Наталья Валентиновна</t>
  </si>
  <si>
    <t>Киселева Надежда Васильевна</t>
  </si>
  <si>
    <t>Березуева Светлана Владимировна</t>
  </si>
  <si>
    <t>Акифьева Ольга Вячеславовна</t>
  </si>
  <si>
    <t>Бальзирова Наталья Викторовна</t>
  </si>
  <si>
    <t>Кузьмина Светлана Даниловна</t>
  </si>
  <si>
    <t>Новоселова Татьяна Петровна</t>
  </si>
  <si>
    <t>Старший кассир</t>
  </si>
  <si>
    <t>Бурячок Наталья Николаевна</t>
  </si>
  <si>
    <t>Макеева Инна Александровна</t>
  </si>
  <si>
    <t>Юркова Галина Сергеевна</t>
  </si>
  <si>
    <t>Смирнова Наталья Викторовна</t>
  </si>
  <si>
    <t>Торопчинова Кира Александровна</t>
  </si>
  <si>
    <t>Заместитель главного бухгалтера -начальник управления</t>
  </si>
  <si>
    <t>Чадай Жанна Ермухановна</t>
  </si>
  <si>
    <t>Граханова Людмила Александровна</t>
  </si>
  <si>
    <t>Уголькова Ирина Васильевна</t>
  </si>
  <si>
    <t>Шалягина Ирина Ивановна</t>
  </si>
  <si>
    <t>Кассир</t>
  </si>
  <si>
    <t>Осипова Ольга Владиславовна</t>
  </si>
  <si>
    <t>Сытник Наталья Анатольевна</t>
  </si>
  <si>
    <t>Чистова Лариса Юрьевна</t>
  </si>
  <si>
    <t>Куза Анжелика Ростиславовна</t>
  </si>
  <si>
    <t>Калашникова Оксана Геннадьевна</t>
  </si>
  <si>
    <t>Окуловская Татьяна Владимировна</t>
  </si>
  <si>
    <t>Котомкина Наталия Александровна</t>
  </si>
  <si>
    <t>Медицинская сестра</t>
  </si>
  <si>
    <t>Меркурьева Ольга Ильинична</t>
  </si>
  <si>
    <t>Контрабаева Карлгаш Умаргалеевна</t>
  </si>
  <si>
    <t>Огородникова Марина Юрьевна</t>
  </si>
  <si>
    <t>Ковалева Александра Георгиевна</t>
  </si>
  <si>
    <t>Ерган Мирослава Витальевна</t>
  </si>
  <si>
    <t>Попова Виктория Николаевна</t>
  </si>
  <si>
    <t>Петрова Светлана Георгиевна</t>
  </si>
  <si>
    <t>Тимченко Ольга Сергеевна</t>
  </si>
  <si>
    <t>Игнатов Константин Геннадьевич</t>
  </si>
  <si>
    <t>Ляш Юрий Михайлович</t>
  </si>
  <si>
    <t>Ким Виталий Евгеньевич</t>
  </si>
  <si>
    <t>Еремченко Ирина Викторовна</t>
  </si>
  <si>
    <t>Шевчишин Александр Павлович</t>
  </si>
  <si>
    <t>Мусин-Пушкин Евгений Андреевич</t>
  </si>
  <si>
    <t>Заместитель начальника управления по ценообразованию</t>
  </si>
  <si>
    <t>Колмаков Алексей Викторович</t>
  </si>
  <si>
    <t>Шестаков Алексей Николаевич</t>
  </si>
  <si>
    <t>Гукенгеймер Виталий Рудольфович</t>
  </si>
  <si>
    <t>Стачинская Оксана Владимировна</t>
  </si>
  <si>
    <t>Проскуренко Татьяна Михайловна</t>
  </si>
  <si>
    <t>Рутин Андрей Викторович</t>
  </si>
  <si>
    <t>Белый Андрей Сергеевич</t>
  </si>
  <si>
    <t>Жерновков Андрей Александрович</t>
  </si>
  <si>
    <t>Гаврилюк Татьяна Сергеевна</t>
  </si>
  <si>
    <t>Павленко Игорь Петрович</t>
  </si>
  <si>
    <t>Хакимова Александра Александровна</t>
  </si>
  <si>
    <t>Селезнева Олеся Юрьевна</t>
  </si>
  <si>
    <t>Артёменко Винера Рашитовна</t>
  </si>
  <si>
    <t>Баишева Наталья Геннадьевна</t>
  </si>
  <si>
    <t>Тущенко Дмитрий Викторович</t>
  </si>
  <si>
    <t>Управление по имущественным отношениям ОАО "СНГ"</t>
  </si>
  <si>
    <t>Галимова Альфия Суфияновна</t>
  </si>
  <si>
    <t>Вершинников Юрий Николаевич</t>
  </si>
  <si>
    <t>Максимова Надежда Владимировна</t>
  </si>
  <si>
    <t>Позднякова Наталья Владимировна</t>
  </si>
  <si>
    <t>Лисовская Елена Михайловна</t>
  </si>
  <si>
    <t>Мугу Фатима Байзетовна</t>
  </si>
  <si>
    <t>Красовский Александр Михайлович</t>
  </si>
  <si>
    <t>Зырянова Светлана Александровна</t>
  </si>
  <si>
    <t>Авдеев Сергей Иванович</t>
  </si>
  <si>
    <t>Варава Юлия Алексеевна</t>
  </si>
  <si>
    <t>Кузовов Владислав Сергеевич</t>
  </si>
  <si>
    <t>Помощник заместителя генерального директора</t>
  </si>
  <si>
    <t>Ситкин Владимир Николаевич</t>
  </si>
  <si>
    <t>Нуряев Максим Анатольевич</t>
  </si>
  <si>
    <t>Симахин Дмитрий Михайлович</t>
  </si>
  <si>
    <t>Марценюк Татьяна Александровна</t>
  </si>
  <si>
    <t>Литвин Виктория Викторовна</t>
  </si>
  <si>
    <t>Таюшева Елена Игоревна</t>
  </si>
  <si>
    <t>Чухлиб Анна Викторовна</t>
  </si>
  <si>
    <t>Денисова Оксана Дмитриевна</t>
  </si>
  <si>
    <t>Сиврюкова Светлана Петровна</t>
  </si>
  <si>
    <t>Стативка Олег Владимирович</t>
  </si>
  <si>
    <t>Петров Павел Александрович</t>
  </si>
  <si>
    <t>Управление геологии и разработки месторождений нефти и газа на территории РС(Я) и ВС</t>
  </si>
  <si>
    <t>Управление перспективного развития ОАО "СНГ" на территории РС(Я) и ВС</t>
  </si>
  <si>
    <t>Бандеров Вячеслав Владимирович</t>
  </si>
  <si>
    <t>Борисова Марина Михайловна</t>
  </si>
  <si>
    <t>Рукомойников Николай Германович</t>
  </si>
  <si>
    <t>Неустроева Татьяна Петровна</t>
  </si>
  <si>
    <t>Ус Ирина Сергеевна</t>
  </si>
  <si>
    <t>Холин Вадим Анатольевич</t>
  </si>
  <si>
    <t>Зайцева Юлия Александровна</t>
  </si>
  <si>
    <t>Ашихмин Сергей Владимирович</t>
  </si>
  <si>
    <t>Луговая Ирина Вячеславовна</t>
  </si>
  <si>
    <t>Корпоративный отдел</t>
  </si>
  <si>
    <t>Василькова Валентина Васильевна</t>
  </si>
  <si>
    <t>Бочаров Александр Владимирович</t>
  </si>
  <si>
    <t>Колесникова Анна Александровна</t>
  </si>
  <si>
    <t>Баловнева Татьяна Александровна</t>
  </si>
  <si>
    <t>Алексеев Вячеслав Владимирович</t>
  </si>
  <si>
    <t>Благодатских Артём Николаевич</t>
  </si>
  <si>
    <t>Коваль Николай Иванович</t>
  </si>
  <si>
    <t>Воложинская Татьяна Дмитриевна</t>
  </si>
  <si>
    <t>Логиновская Виктория Николаевна</t>
  </si>
  <si>
    <t>Елизарова Екатерина Викторовна</t>
  </si>
  <si>
    <t>Демина Виктория Анатольевна</t>
  </si>
  <si>
    <t>Филиппов Владимир Петрович</t>
  </si>
  <si>
    <t>Авдеева Людмила Алексеевна</t>
  </si>
  <si>
    <t>Рубан Лариса Альбертовна</t>
  </si>
  <si>
    <t>Ахвердиева Вероника Корнеевна</t>
  </si>
  <si>
    <t>Синицкая Юлия Сергеевна</t>
  </si>
  <si>
    <t>Герасимов Константин Александрович</t>
  </si>
  <si>
    <t>Воробьева Светлана Николаевна</t>
  </si>
  <si>
    <t>Карпухина Юлия Владимировна</t>
  </si>
  <si>
    <t>Карякина Юлия Владимировна</t>
  </si>
  <si>
    <t>Голиков Александр Сергеевич</t>
  </si>
  <si>
    <t>Букина Виктория Викторовна</t>
  </si>
  <si>
    <t>Степанов Артем Иванович</t>
  </si>
  <si>
    <t>Егорова Татьяна Васильевна</t>
  </si>
  <si>
    <t>Менеджер по ценным бумагам</t>
  </si>
  <si>
    <t>Некраш Алексей Владимирович</t>
  </si>
  <si>
    <t>Лавренчук Татьяна Сергеевна</t>
  </si>
  <si>
    <t>Творогова Юлия Владимировна</t>
  </si>
  <si>
    <t>Романков Андрей Николаевич</t>
  </si>
  <si>
    <t>Андриевская Инна Александровна</t>
  </si>
  <si>
    <t>Никонова Наталья Викторовна</t>
  </si>
  <si>
    <t>Сазанова Ксения Алексеевна</t>
  </si>
  <si>
    <t>Курашов Александр Владимирович</t>
  </si>
  <si>
    <t>Начарова Александра Георгиевна</t>
  </si>
  <si>
    <t>Главина Виктория Николаевна</t>
  </si>
  <si>
    <t>Колмогоров Лев Владимирович</t>
  </si>
  <si>
    <t>Быкова Виктория Викторовна</t>
  </si>
  <si>
    <t>Мазаева Светлана Витальевна</t>
  </si>
  <si>
    <t>Кисилева Татьяна Николаевна</t>
  </si>
  <si>
    <t>Высоцкая Юлия Ивановна</t>
  </si>
  <si>
    <t>Кулишкина Анна Вячеславовна</t>
  </si>
  <si>
    <t>Рябухина Юлия Александровна</t>
  </si>
  <si>
    <t>Ткачук Ольга Николаевна</t>
  </si>
  <si>
    <t>Евстифеева Галина Валентиновна</t>
  </si>
  <si>
    <t>Смирнова Ольга Петровна</t>
  </si>
  <si>
    <t>Чувашова Татьяна Алексеевна</t>
  </si>
  <si>
    <t>Бурцева Евгения Александровна</t>
  </si>
  <si>
    <t>Литовец Елена Федоровна</t>
  </si>
  <si>
    <t>Соломатина Анна Викторовна</t>
  </si>
  <si>
    <t>Коптяков Юрий Борисович</t>
  </si>
  <si>
    <t>Шевченко Евгений Васильевич</t>
  </si>
  <si>
    <t>Назин Сергей Георгиевич</t>
  </si>
  <si>
    <t>Лобарева Екатерина Владимировна</t>
  </si>
  <si>
    <t>Забиякина Екатерина Владимировна</t>
  </si>
  <si>
    <t>Игумнова Елена Ивановна</t>
  </si>
  <si>
    <t>Савельева Юлия Анатольевна</t>
  </si>
  <si>
    <t>Шкрет Александр Николаевич</t>
  </si>
  <si>
    <t>Элизбарян Армен</t>
  </si>
  <si>
    <t>Варвулев Борис Сергеевич</t>
  </si>
  <si>
    <t>Матьёзова Эльза Юрьевна</t>
  </si>
  <si>
    <t>Потапова Светлана Александровна</t>
  </si>
  <si>
    <t>Кроль Светлана Владимировна</t>
  </si>
  <si>
    <t>Карпова Маргарита Яковлевна</t>
  </si>
  <si>
    <t>Салаватов Рафаэль Зинатович</t>
  </si>
  <si>
    <t>Жульдина Ольга Александровна</t>
  </si>
  <si>
    <t>Воробьева Галина Алексеевна</t>
  </si>
  <si>
    <t>Яковлева Марина Васильевна</t>
  </si>
  <si>
    <t>Зайцев Сергей Владимирович</t>
  </si>
  <si>
    <t>Цыганков Николай Николаевич</t>
  </si>
  <si>
    <t>Павлова Ольга Сергеевна</t>
  </si>
  <si>
    <t>Нарейко Павел Александрович</t>
  </si>
  <si>
    <t>Правоторова Екатерина Юрьевна</t>
  </si>
  <si>
    <t>Штрахова Ольга Владимировна</t>
  </si>
  <si>
    <t>Попов Николай Александрович</t>
  </si>
  <si>
    <t>Шепелева Екатерина Петровна</t>
  </si>
  <si>
    <t>Лисняк Дмитрий Юрьевич</t>
  </si>
  <si>
    <t>Позднухова Наталья Александровна</t>
  </si>
  <si>
    <t>Фридкина Юлия Игоревна</t>
  </si>
  <si>
    <t>Шелудков Павел Александрович</t>
  </si>
  <si>
    <t>Бачигин Александр Владимирович</t>
  </si>
  <si>
    <t>Смоляков Леонид Юрьевич</t>
  </si>
  <si>
    <t>Самиленко Лилия Витальевна</t>
  </si>
  <si>
    <t>Макаров Дмитрий Евгеньевич</t>
  </si>
  <si>
    <t>Резчикова Евгения Ивановна</t>
  </si>
  <si>
    <t>Пыльский Олег Олегович</t>
  </si>
  <si>
    <t>Передельская Дарья Викторовна</t>
  </si>
  <si>
    <t>Чикурова Анастасия Ивановна</t>
  </si>
  <si>
    <t>Брянцева Диана Владимировна</t>
  </si>
  <si>
    <t>Согияйнен Ольга Анатольевна</t>
  </si>
  <si>
    <t>Хамин Андрей Борисович</t>
  </si>
  <si>
    <t>Ревошина Кира Александровна</t>
  </si>
  <si>
    <t>Борейко Екатерина Владимировна</t>
  </si>
  <si>
    <t>Ильин Александр Геннадьевич</t>
  </si>
  <si>
    <t>Колмогоров Алексей Владимирович</t>
  </si>
  <si>
    <t>Исакова Светлана Сергеевна</t>
  </si>
  <si>
    <t>Белов Олег Вячеславович</t>
  </si>
  <si>
    <t>Сторчилова Наталья Владимировна</t>
  </si>
  <si>
    <t>Гейль Юлия Владимировна</t>
  </si>
  <si>
    <t>Дмитриев Максим Юрьевич</t>
  </si>
  <si>
    <t>Гнатюк Юрий Васильевич</t>
  </si>
  <si>
    <t>Бомонина Анна Ивановна</t>
  </si>
  <si>
    <t>Полатовская Ольга Сергеевна</t>
  </si>
  <si>
    <t>Пучков Виталий Владимирович</t>
  </si>
  <si>
    <t>Иванов Владислав Александрович</t>
  </si>
  <si>
    <t>Липовцева Любовь Евгеньевна</t>
  </si>
  <si>
    <t>Панов Игорь Леонидович</t>
  </si>
  <si>
    <t>Елисеева Татьяна Михайловна</t>
  </si>
  <si>
    <t>Яковлев Евгений Геннадьевич</t>
  </si>
  <si>
    <t>Архипов Иван Алексеевич</t>
  </si>
  <si>
    <t>Нестеренко Татьяна Валерьевна</t>
  </si>
  <si>
    <t xml:space="preserve"> Экономист I категории</t>
  </si>
  <si>
    <t>Ивлев Николай Павлович</t>
  </si>
  <si>
    <t>Силин Валерий Владимирович</t>
  </si>
  <si>
    <t>Солнцева Ольга Владимировна</t>
  </si>
  <si>
    <t>Стефанова Марта Юрьевна</t>
  </si>
  <si>
    <t>Михайленко Алла Васильевна</t>
  </si>
  <si>
    <t>Худуев Заур Малик оглу</t>
  </si>
  <si>
    <t>Воронцова Таисия Валентиновна</t>
  </si>
  <si>
    <t>Руководитель группы - ведущий модельер</t>
  </si>
  <si>
    <t>Архивариус</t>
  </si>
  <si>
    <t>Цилюрик Наталия Павловна</t>
  </si>
  <si>
    <t>Тимофеева Екатерина Яковлевна</t>
  </si>
  <si>
    <t>Техник II категории</t>
  </si>
  <si>
    <t>Емельяненко Людмила Геннадьевна</t>
  </si>
  <si>
    <t>Ишкильдина Ирина Сергеевна</t>
  </si>
  <si>
    <t>Берёзкина Жанна Геннадьевна</t>
  </si>
  <si>
    <t>Савенкова Татьяна Михайловна</t>
  </si>
  <si>
    <t>Жимаринская Елена Валериевна</t>
  </si>
  <si>
    <t>Крутикова Александра Александровна</t>
  </si>
  <si>
    <t>Ильинская Ирина Алексеевна</t>
  </si>
  <si>
    <t>Иномов Акобир Джураевич</t>
  </si>
  <si>
    <t>Бурлуцкая Кристина Александровна</t>
  </si>
  <si>
    <t>Швец Анастасия Викторовна</t>
  </si>
  <si>
    <t>Календарёв Вячеслав Анатольевич</t>
  </si>
  <si>
    <t>Баласанян Елена Юрьевна</t>
  </si>
  <si>
    <t>Белик Оксана Васильевна</t>
  </si>
  <si>
    <t>Понкратова Елена Николаевна</t>
  </si>
  <si>
    <t>Беспалов Юрий Владимирович</t>
  </si>
  <si>
    <t>Баранов Юрий Александрович</t>
  </si>
  <si>
    <t>Главный специалист по строительству нефтепромысловых объектов</t>
  </si>
  <si>
    <t>Хохлов Алексей Вячеславович</t>
  </si>
  <si>
    <t>Трошков Юрий Васильевич</t>
  </si>
  <si>
    <t>Шубин Андрей Николаевич</t>
  </si>
  <si>
    <t>Побережный Александр Сергеевич</t>
  </si>
  <si>
    <t>Ушаков Виталий Анатольевич</t>
  </si>
  <si>
    <t>Емельянов Евгений Владимирович</t>
  </si>
  <si>
    <t>Гаврилюк Алексей Николаевич</t>
  </si>
  <si>
    <t>Аликперов Евгений Игорьевич</t>
  </si>
  <si>
    <t>Казанцев Сергей Константинович</t>
  </si>
  <si>
    <t>Пелых Алексей Александрович</t>
  </si>
  <si>
    <t>Сирота Александр Викторович</t>
  </si>
  <si>
    <t>Куриленко Александр Григорьевич</t>
  </si>
  <si>
    <t>Останин Вячеслав Николаевич</t>
  </si>
  <si>
    <t>Борисенко Игорь Михайлович</t>
  </si>
  <si>
    <t>Казаков Александр Владимирович</t>
  </si>
  <si>
    <t>Богданова Елена Витальевна</t>
  </si>
  <si>
    <t>Лещинская Людмила Ивановна</t>
  </si>
  <si>
    <t>Капитонова Наталья Ивановна</t>
  </si>
  <si>
    <t>Роде Алла Александровна</t>
  </si>
  <si>
    <t>Антонова Ольга Сергеевна</t>
  </si>
  <si>
    <t>Павловская Виктория Валерьевна</t>
  </si>
  <si>
    <t>Богушева Ирина Львовна</t>
  </si>
  <si>
    <t>Красильникова Наталия Владимировна</t>
  </si>
  <si>
    <t>Отдел по контролю за разбуриванием месторождений и планированию объемов буровых работ</t>
  </si>
  <si>
    <t>Заместитель начальника управления по вышкостроению</t>
  </si>
  <si>
    <t>Новоселов Алексей Сергеевич</t>
  </si>
  <si>
    <t>Цвелых Дмитрий Вячеславович</t>
  </si>
  <si>
    <t>Цуприк Алексей Григорьевич</t>
  </si>
  <si>
    <t>Львова Леся Ярославовна</t>
  </si>
  <si>
    <t>Кудашева Василя Газинуровна</t>
  </si>
  <si>
    <t>Потапова Екатерина Владимировна</t>
  </si>
  <si>
    <t>Азарова Светлана Леонидовна</t>
  </si>
  <si>
    <t>Тасимова Марал Канибековна</t>
  </si>
  <si>
    <t>Пучкина Виктория Леонидовна</t>
  </si>
  <si>
    <t>Плахотина Надежда Игоревна</t>
  </si>
  <si>
    <t>Любченко Наталья Юрьевна</t>
  </si>
  <si>
    <t>Навроцкая Светлана Анатольевна</t>
  </si>
  <si>
    <t>Плетёный Виктор Николаевич</t>
  </si>
  <si>
    <t>Завьялов Алексей Васильевич</t>
  </si>
  <si>
    <t>Краснощеков Евгений Алексеевич</t>
  </si>
  <si>
    <t>Романов Игорь Борисович</t>
  </si>
  <si>
    <t>Муковозчик Максим Александрович</t>
  </si>
  <si>
    <t>Суровцева Надежда Александровна</t>
  </si>
  <si>
    <t>Шевченко Евгений Викторович</t>
  </si>
  <si>
    <t>Ветряев Иван Николаевич</t>
  </si>
  <si>
    <t>Дудко Александр Юрьевич</t>
  </si>
  <si>
    <t>Еремеев Игорь Владимирович</t>
  </si>
  <si>
    <t>Кормин Александр Леонидович</t>
  </si>
  <si>
    <t>Кулаков Владимир Георгиевич</t>
  </si>
  <si>
    <t>Еремицкий Андрей Васильевич</t>
  </si>
  <si>
    <t>Веселов Дмитрий Николаевич</t>
  </si>
  <si>
    <t>Клюсов Артемий Олегович</t>
  </si>
  <si>
    <t>Козлова Альфия Ирековна</t>
  </si>
  <si>
    <t>Мухутдинова Юлия Фирнатовна</t>
  </si>
  <si>
    <t>Акинцева Людмила Николаевна</t>
  </si>
  <si>
    <t>Остапова Ирина Юрьевна</t>
  </si>
  <si>
    <t>Шаньгина Елена Юрьевна</t>
  </si>
  <si>
    <t>Талыгина Татьяна Владимировна</t>
  </si>
  <si>
    <t>Жирнова Виктория Александровна</t>
  </si>
  <si>
    <t>Заместитель начальника управления по информационным технологиям</t>
  </si>
  <si>
    <t>Токаренко Елена Евгеньевна</t>
  </si>
  <si>
    <t>Идрисов Раиль Инилович</t>
  </si>
  <si>
    <t>Солтысяк Сергей Тимофеевич</t>
  </si>
  <si>
    <t>Заместитель главного энергетика</t>
  </si>
  <si>
    <t>Сорокин Николай Николаевич</t>
  </si>
  <si>
    <t>Первый заместитель начальника управления по технологии</t>
  </si>
  <si>
    <t>Куприянов Сергей Валерьевич</t>
  </si>
  <si>
    <t>Колмагоров Алексей Геннадьевич</t>
  </si>
  <si>
    <t>Лысенко Антон Сергеевич</t>
  </si>
  <si>
    <t>Колегов Сергей Юрьевич</t>
  </si>
  <si>
    <t>Кувакин Сергей Геннадьевич</t>
  </si>
  <si>
    <t>Федотовский Дмитрий Николаевич</t>
  </si>
  <si>
    <t>Кузнецов Андрей Викторович</t>
  </si>
  <si>
    <t>Гребеньков Олег Николаевич</t>
  </si>
  <si>
    <t>Фомин Константин Васильевич</t>
  </si>
  <si>
    <t>Редько Жанна Яковлевна</t>
  </si>
  <si>
    <t>Похила Ирина Федоровна</t>
  </si>
  <si>
    <t>Булгаков Дмитрий Александрович</t>
  </si>
  <si>
    <t>Сидорук Николай Викторович</t>
  </si>
  <si>
    <t>Галимова Инна Владимировна</t>
  </si>
  <si>
    <t>Крейденков Андрей Владимирович</t>
  </si>
  <si>
    <t>Иванов Дмитрий Юрьевич</t>
  </si>
  <si>
    <t>Братцева Наталья Александровна</t>
  </si>
  <si>
    <t>Ровенская Ольга Анатольевна</t>
  </si>
  <si>
    <t>Бучнева Вера Александровна</t>
  </si>
  <si>
    <t>Акинцева Наталья Николаевна</t>
  </si>
  <si>
    <t>Жерновков Сергей Александрович</t>
  </si>
  <si>
    <t>Вакальчук Василий Владимирович</t>
  </si>
  <si>
    <t>Кудина Александра Владимировна</t>
  </si>
  <si>
    <t>Мурзин Сергей Борисович</t>
  </si>
  <si>
    <t>Травкина Виктория Игоревна</t>
  </si>
  <si>
    <t>Бахтинова Ирина Викторовна</t>
  </si>
  <si>
    <t>Гейц Евгений Николаевич</t>
  </si>
  <si>
    <t>Перчаткин Лев Владимирович</t>
  </si>
  <si>
    <t>Ардамин Алексей Анатольевич</t>
  </si>
  <si>
    <t>Заместитель начальника управления по нормативному обеспечению и автоматизации процессов управления документами</t>
  </si>
  <si>
    <t>Кузнецова Юлия Александровна</t>
  </si>
  <si>
    <t>Белошеев Денис Владимирович</t>
  </si>
  <si>
    <t>Алексеева Елена Анатольевна</t>
  </si>
  <si>
    <t>Фролов Алексей Владимирович</t>
  </si>
  <si>
    <t>Тетьков Александр Александрович</t>
  </si>
  <si>
    <t>Горожанкина Ольга Владимировна</t>
  </si>
  <si>
    <t>Фролова Ирина Александровна</t>
  </si>
  <si>
    <t>Шерстнов Виктор Алексеевич</t>
  </si>
  <si>
    <t>Куянец Владимир Алексеевич</t>
  </si>
  <si>
    <t>Заместитель главного бухгалтера - начальник управления</t>
  </si>
  <si>
    <t>Лобанок Михаил Юрьевич</t>
  </si>
  <si>
    <t>Первый заместитель начальника управления по эксплуатации и производству</t>
  </si>
  <si>
    <t>Лискович Жанна Наимджановна</t>
  </si>
  <si>
    <t>Брызгалова Наталия Владимировна</t>
  </si>
  <si>
    <t>Копилец Михаил Иванович</t>
  </si>
  <si>
    <t>Минханов Ринат Раисович</t>
  </si>
  <si>
    <t>Сидорейко Андрей Васильевич</t>
  </si>
  <si>
    <t>Станевой Евгений Леонидович</t>
  </si>
  <si>
    <t>Зелинская Анастасия Васильевна</t>
  </si>
  <si>
    <t>Любимова Ирина Олеговна</t>
  </si>
  <si>
    <t>Никитина Наталья Валериевна</t>
  </si>
  <si>
    <t>Микуляк Наталья Викторовна</t>
  </si>
  <si>
    <t>Данькина Ирина Анатольевна</t>
  </si>
  <si>
    <t>Стешина Евгения Викторовна</t>
  </si>
  <si>
    <t>Миллер Кристина Витальевна</t>
  </si>
  <si>
    <t>Савина Наталия Алексеевна</t>
  </si>
  <si>
    <t>Геофизик I категории</t>
  </si>
  <si>
    <t>Трифонова Оксана Викторовна</t>
  </si>
  <si>
    <t>Савина Елена Александровна</t>
  </si>
  <si>
    <t>Терлецкая Эльвира Рашитовна</t>
  </si>
  <si>
    <t>Суриков Константин Андреевич</t>
  </si>
  <si>
    <t>Худякова Анна Александровна</t>
  </si>
  <si>
    <t>Сафина Юлия Викторовна</t>
  </si>
  <si>
    <t>Морозова Анна Робертовна</t>
  </si>
  <si>
    <t>Данилов Андрей Анатольевич</t>
  </si>
  <si>
    <t>Осадчук Вадим Андреевич</t>
  </si>
  <si>
    <t>Ивина Ирина Михайловна</t>
  </si>
  <si>
    <t>Абубакиров Денис Фанисович</t>
  </si>
  <si>
    <t>Главный механик - начальник отдела</t>
  </si>
  <si>
    <t>Дунаев Сергей Сергеевич</t>
  </si>
  <si>
    <t>Жиборкин Иван Вячеславович</t>
  </si>
  <si>
    <t>Побережная Татьяна Владимировна</t>
  </si>
  <si>
    <t>Куюкин Александр Николаевич</t>
  </si>
  <si>
    <t>Подклетнов Евгений Юрьевич</t>
  </si>
  <si>
    <t>Заместитель начальника управления по геолого-разведочным работам</t>
  </si>
  <si>
    <t>Швецов Павел Владимирович</t>
  </si>
  <si>
    <t>Герасименко Елена Александровна</t>
  </si>
  <si>
    <t>Горобец Наталья Анатольевна</t>
  </si>
  <si>
    <t>Пруцков Сергей Владимирович</t>
  </si>
  <si>
    <t>Аксютина Татьяна Валерьевна</t>
  </si>
  <si>
    <t>Артемьева Лидия Геннадьевна</t>
  </si>
  <si>
    <t>Краснощекова Елена Алексеевна</t>
  </si>
  <si>
    <t>Опухлая Елена Петровна</t>
  </si>
  <si>
    <t>Федышина Любовь Игнатьевна</t>
  </si>
  <si>
    <t>Жигарева Светлана Ильинична</t>
  </si>
  <si>
    <t>Буйлова Ольга Владимировна</t>
  </si>
  <si>
    <t>Киселева Эльвира Айратовна</t>
  </si>
  <si>
    <t>Колесникова Наталья Геннадьевна</t>
  </si>
  <si>
    <t>Рыбакова Татьяна Сергеевна</t>
  </si>
  <si>
    <t>Грибанова Ирина Михайловна</t>
  </si>
  <si>
    <t>Ким Вячеслав Радионович</t>
  </si>
  <si>
    <t>Миронов Андрей Юрьевич</t>
  </si>
  <si>
    <t>Давыдов Лев Геннадьевич</t>
  </si>
  <si>
    <t>Егоров Эдуард Петрович</t>
  </si>
  <si>
    <t>Хайдаршин Игорь Васильевич</t>
  </si>
  <si>
    <t>Заместитель начальника управления по анализу хозяйственной деятельности структурных подразделений</t>
  </si>
  <si>
    <t>Плотников Геннадий Игоревич</t>
  </si>
  <si>
    <t>Рашевский Сергей Викторович</t>
  </si>
  <si>
    <t>Первый заместитель начальника управления - начальник отдела</t>
  </si>
  <si>
    <t>Лаптев Владимир Николаевич</t>
  </si>
  <si>
    <t>Плом Владилен Александрович</t>
  </si>
  <si>
    <t>Реховский Алексей Олегович</t>
  </si>
  <si>
    <t>Кривошеев Роман Викторович</t>
  </si>
  <si>
    <t>Егоров Юрий Вадимович</t>
  </si>
  <si>
    <t>Спивак Алла Фридриховна</t>
  </si>
  <si>
    <t>Барабаш Ольга Марковна</t>
  </si>
  <si>
    <t>Дровняшина Марина Федоровна</t>
  </si>
  <si>
    <t>Заживихина Людмила Николаевна</t>
  </si>
  <si>
    <t>Турицына Юлия Борисовна</t>
  </si>
  <si>
    <t>Бойнова Светлана Викторовна</t>
  </si>
  <si>
    <t>Долгалева Анастасия Валерьевна</t>
  </si>
  <si>
    <t>Запьянцева Светлана Николаевна</t>
  </si>
  <si>
    <t>Ильясова Марина Михайловна</t>
  </si>
  <si>
    <t>Лизан Ольга Николаевна</t>
  </si>
  <si>
    <t>Соколова Таиса Владимировна</t>
  </si>
  <si>
    <t>Хлопунова Ольга Николаевна</t>
  </si>
  <si>
    <t>Бойко Андрей Николаевич</t>
  </si>
  <si>
    <t>Давлетшин Альберт Мирзаевич</t>
  </si>
  <si>
    <t>Иванченков Игорь Александрович</t>
  </si>
  <si>
    <t>Кабрин Алексей Юрьевич</t>
  </si>
  <si>
    <t>Маслов Олег Геннадьевич</t>
  </si>
  <si>
    <t>Заместитель главного геолога (по контролю за разбуриванием месторождений и планированию объемов буровых работ)</t>
  </si>
  <si>
    <t>Мудряков Виктор Николаевич</t>
  </si>
  <si>
    <t>Плешань Владимир Александрович</t>
  </si>
  <si>
    <t>Трофименко Павел Александрович</t>
  </si>
  <si>
    <t>Шакиров Линар Дулкафилович</t>
  </si>
  <si>
    <t>Шамгунов Раис Наилевич</t>
  </si>
  <si>
    <t>Ямщиков Юрий Аркадьевич</t>
  </si>
  <si>
    <t>Письменный Олег Николаевич</t>
  </si>
  <si>
    <t>Аверьянов Алексей Владимирович</t>
  </si>
  <si>
    <t>Семенов Роман Владимирович</t>
  </si>
  <si>
    <t>Габдрафиков Рашид Тагирович</t>
  </si>
  <si>
    <t>Гареев Артур Маратович</t>
  </si>
  <si>
    <t>Булатов Алик Фанилевич</t>
  </si>
  <si>
    <t>Чугайнов Олег Владимирович</t>
  </si>
  <si>
    <t>Агейченко Владимир Юрьевич</t>
  </si>
  <si>
    <t>Кривцун Виктория Николаевна</t>
  </si>
  <si>
    <t>Пантелеева Елена Васильевна</t>
  </si>
  <si>
    <t>Буравкин Руслан Валерьевич</t>
  </si>
  <si>
    <t>Зябко Александр Валерьевич</t>
  </si>
  <si>
    <t>Котельников Владимир Викторович</t>
  </si>
  <si>
    <t>Лось Марина Алексеевна</t>
  </si>
  <si>
    <t>Туз Елена Андреевна</t>
  </si>
  <si>
    <t>Шамурина Елена Вячеславовна</t>
  </si>
  <si>
    <t>Капанина Анна Владимировна</t>
  </si>
  <si>
    <t>Краснова Оксана Дмитриевна</t>
  </si>
  <si>
    <t>Никулина Нина Антоновна</t>
  </si>
  <si>
    <t>Главный сварщик</t>
  </si>
  <si>
    <t>Мистюкевич Тамара Ивановна</t>
  </si>
  <si>
    <t>Гуменюк Елена Владимировна</t>
  </si>
  <si>
    <t>Ткаченко Елена Олеговна</t>
  </si>
  <si>
    <t>Болотова Ольга Владимировна</t>
  </si>
  <si>
    <t>Киселев Владимир Александрович</t>
  </si>
  <si>
    <t>Никонов Андрей Владимирович</t>
  </si>
  <si>
    <t>Ящишена Юлия Сергеевна</t>
  </si>
  <si>
    <t>Абзалов Дмитрий Дуфарович</t>
  </si>
  <si>
    <t>Красников Владимир Петрович</t>
  </si>
  <si>
    <t>Шевченко Константин Викторович</t>
  </si>
  <si>
    <t>Штанюк Антон Сергеевич</t>
  </si>
  <si>
    <t>Сафина Гюзель Рафиковна</t>
  </si>
  <si>
    <t>Мигунова Надежда Сергеевна</t>
  </si>
  <si>
    <t>Белоусова Светлана Раисовна</t>
  </si>
  <si>
    <t>Галлямов Айдар Рашитович</t>
  </si>
  <si>
    <t>Новоселова Наталия Мееровна</t>
  </si>
  <si>
    <t>Баранова Наталья Николаевна</t>
  </si>
  <si>
    <t>Жидкова Светлана Григорьевна</t>
  </si>
  <si>
    <t>Литвина Елена Александровна</t>
  </si>
  <si>
    <t>Занин Олег Львович</t>
  </si>
  <si>
    <t>Порошина Ирина Игоревна</t>
  </si>
  <si>
    <t>Горелов Дмитрий Викторович</t>
  </si>
  <si>
    <t>Шерстнова Ирина Алексеевна</t>
  </si>
  <si>
    <t>Буянова Лариса Валентиновна</t>
  </si>
  <si>
    <t>Зайцева Ольга Владимировна</t>
  </si>
  <si>
    <t>Савко Александр Дмитриевич</t>
  </si>
  <si>
    <t>Цыганок Андрей Олегович</t>
  </si>
  <si>
    <t>Никитина Евгения Демьяновна</t>
  </si>
  <si>
    <t>Хренова Марина Егоровна</t>
  </si>
  <si>
    <t>Мустафин Рашит Карыевич</t>
  </si>
  <si>
    <t>Заместитель начальника управления (по обеспечению материально-техническими ресурсами)</t>
  </si>
  <si>
    <t>Шилин Павел Михайлович</t>
  </si>
  <si>
    <t>Литвин Павел Владиславович</t>
  </si>
  <si>
    <t>Шеина Марина Васильевна</t>
  </si>
  <si>
    <t>Рачковская Татьяна Юрьевна</t>
  </si>
  <si>
    <t>Иванец Алексей Анатольевич</t>
  </si>
  <si>
    <t>Пшеничная Людмила Владимировна</t>
  </si>
  <si>
    <t>Зива Алексей Валерьевич</t>
  </si>
  <si>
    <t>Зузлов Александр Николаевич</t>
  </si>
  <si>
    <t>Мирошниченко Сергей Викторович</t>
  </si>
  <si>
    <t>Серин Анатолий Юрьевич</t>
  </si>
  <si>
    <t>Туриев Константин Петрович</t>
  </si>
  <si>
    <t>Фалалеев Юрий Владимирович</t>
  </si>
  <si>
    <t>Хайруллин Раян Фоатович</t>
  </si>
  <si>
    <t>Цымбал Андрей Александрович</t>
  </si>
  <si>
    <t>Богданова Татьяна Ивановна</t>
  </si>
  <si>
    <t>Гельмантинова Наиля Ханафиевна</t>
  </si>
  <si>
    <t>Проценко Людмила Николаевна</t>
  </si>
  <si>
    <t>Ручушкина Елена Анатольевна</t>
  </si>
  <si>
    <t>Синикова Лилия Халиулловна</t>
  </si>
  <si>
    <t>Колодко Ирина Александровна</t>
  </si>
  <si>
    <t>Лысова Елена Николаевна</t>
  </si>
  <si>
    <t>Ливинская Светлана Николаевна</t>
  </si>
  <si>
    <t>Смирнов Владимир Александрович</t>
  </si>
  <si>
    <t>Киньябаева Гульнара Рафаиловна</t>
  </si>
  <si>
    <t>Дьяченко Евгения Викторовна</t>
  </si>
  <si>
    <t>Дырнаев Алексей Витальевич</t>
  </si>
  <si>
    <t>Колотий Артем Сергеевич</t>
  </si>
  <si>
    <t>Кузнецов Александр Вячеславович</t>
  </si>
  <si>
    <t>Заднева Татьяна Алексеевна</t>
  </si>
  <si>
    <t>Бойкова Виктория Валерьевна</t>
  </si>
  <si>
    <t>Шевченко Дмитрий Александрович</t>
  </si>
  <si>
    <t>Рулева Елена Евгеньевна</t>
  </si>
  <si>
    <t>Заместитель начальника управления по методологии планирования</t>
  </si>
  <si>
    <t>Лаптева Марина Владимировна</t>
  </si>
  <si>
    <t>Наджафова Оксана Николаевна</t>
  </si>
  <si>
    <t>Главный специалист (по добыче и использованию общераспространенных полезных ископаемых)</t>
  </si>
  <si>
    <t>Муковозчик Ольга Евгеньевна</t>
  </si>
  <si>
    <t>Доровских Ольга Николаевна</t>
  </si>
  <si>
    <t>Торгово-производственное управление</t>
  </si>
  <si>
    <t>Ковальчук Юлия Владимировна</t>
  </si>
  <si>
    <t>Александрова Светлана Ивановна</t>
  </si>
  <si>
    <t>Демина Оксана Александровна</t>
  </si>
  <si>
    <t>Голованов Игорь Юрьевич</t>
  </si>
  <si>
    <t>Иванова Юлия Николаевна</t>
  </si>
  <si>
    <t>Ковалева Наталья Васильевна</t>
  </si>
  <si>
    <t>Михайлова Ольга Евгеньевна</t>
  </si>
  <si>
    <t>Султанова Альфия Бакировна</t>
  </si>
  <si>
    <t>Заместитель начальника управления по эксплуатации и безопасности движения - начальник отдела</t>
  </si>
  <si>
    <t>Литвинова Венера Алмазовна</t>
  </si>
  <si>
    <t>Распопин Егор Евгеньевич</t>
  </si>
  <si>
    <t>Мендришора Алексей Михайлович</t>
  </si>
  <si>
    <t>Заместитель начальника управления по производству</t>
  </si>
  <si>
    <t>Бариев Дамир Рафисович</t>
  </si>
  <si>
    <t>Корнева Снежана Анатольевна</t>
  </si>
  <si>
    <t>Самарин Спартак Юрьевич</t>
  </si>
  <si>
    <t>Ситдикова Эльза Фанзавиевна</t>
  </si>
  <si>
    <t>Духновская Елена Викторовна</t>
  </si>
  <si>
    <t>Некраш Дмитрий Владимирович</t>
  </si>
  <si>
    <t>Гурьянов Дмитрий Константинович</t>
  </si>
  <si>
    <t>Думчева Евгения Витальевна</t>
  </si>
  <si>
    <t>Кукотина Ирина Петровна</t>
  </si>
  <si>
    <t>Заблоцкая Лариса Михайловна</t>
  </si>
  <si>
    <t>Череванова Юлия Леонидовна</t>
  </si>
  <si>
    <t>Марченко Дмитрий Валерьевич</t>
  </si>
  <si>
    <t>Сафронова Юлия Владимировна</t>
  </si>
  <si>
    <t>Колтыков Геннадий Сергеевич</t>
  </si>
  <si>
    <t>Логинова Татьяна Борисовна</t>
  </si>
  <si>
    <t>Соколова Ольга Владимировна</t>
  </si>
  <si>
    <t>Фазылова Олеся Юрьевна</t>
  </si>
  <si>
    <t>Щергина Наталья Валерьевна</t>
  </si>
  <si>
    <t>Петухов Георгий Николаевич</t>
  </si>
  <si>
    <t>Михайлова Анастасия Дмитриевна</t>
  </si>
  <si>
    <t>Искандерова Ирина Валерьевна</t>
  </si>
  <si>
    <t>Усманова Евгения Илдусовна</t>
  </si>
  <si>
    <t>Федоренко Андрей Денисович</t>
  </si>
  <si>
    <t>Шубин Дмитрий Николаевич</t>
  </si>
  <si>
    <t>Воробьева Ольга Владимировна</t>
  </si>
  <si>
    <t>Женжаров Александр Павлович</t>
  </si>
  <si>
    <t>Кудашев Артем Владимирович</t>
  </si>
  <si>
    <t>Лозовая Ольга Владимировна</t>
  </si>
  <si>
    <t>Лось Василий Викторович</t>
  </si>
  <si>
    <t>Муниров Артур Маратович</t>
  </si>
  <si>
    <t>Столяров Борис Олегович</t>
  </si>
  <si>
    <t>Закроев Иван Сергеевич</t>
  </si>
  <si>
    <t>Бурданова Ирина Викторовна</t>
  </si>
  <si>
    <t>Белоусова Зульфия Тамимдаровна</t>
  </si>
  <si>
    <t>Романов Роман Александрович</t>
  </si>
  <si>
    <t>Шивцов Сергей Сергеевич</t>
  </si>
  <si>
    <t>Габдулхакова Виктория Викторовна</t>
  </si>
  <si>
    <t>Нефедов Антон Александрович</t>
  </si>
  <si>
    <t>Егоров Павел Сергеевич</t>
  </si>
  <si>
    <t>Ковалишин Павел Васильевич</t>
  </si>
  <si>
    <t>Гусев Денис Евгеньевич</t>
  </si>
  <si>
    <t>Шмачилина Марина Викторовна</t>
  </si>
  <si>
    <t>Будников Алексей Михайлович</t>
  </si>
  <si>
    <t>Шутова Юлия Валерьевна</t>
  </si>
  <si>
    <t>Юношев Александр Сергеевич</t>
  </si>
  <si>
    <t>Филатова Оксана Алексеевна</t>
  </si>
  <si>
    <t>Нигматуллина Дарья Игоревна</t>
  </si>
  <si>
    <t>Куликовская Марина Владимировна</t>
  </si>
  <si>
    <t>Качайлов Дмитрий Александрович</t>
  </si>
  <si>
    <t>Булатова Мария Геннадьевна</t>
  </si>
  <si>
    <t>Барсуков Артём Геннадьевич</t>
  </si>
  <si>
    <t>Нягулова Ольга Валентиновна</t>
  </si>
  <si>
    <t>Лазарчук Денис Сергеевич</t>
  </si>
  <si>
    <t>Учаева Екатерина Александровна</t>
  </si>
  <si>
    <t>Чашкова Наталья Викторовна</t>
  </si>
  <si>
    <t>Деменков Николай Валерьевич</t>
  </si>
  <si>
    <t>Ясиницкий Сергей Дмитриевич</t>
  </si>
  <si>
    <t>Абашева Анжелика Закировна</t>
  </si>
  <si>
    <t>Артемьева Ксения Игоревна</t>
  </si>
  <si>
    <t>Ниязова Надежда Григорьевна</t>
  </si>
  <si>
    <t>Сотников Григорий Владимирович</t>
  </si>
  <si>
    <t>Волокитин Андрей Александрович</t>
  </si>
  <si>
    <t>Байгушева Яна Владимировна</t>
  </si>
  <si>
    <t>Чуев Артем Владимирович</t>
  </si>
  <si>
    <t>Базилевский Евгений Викторович</t>
  </si>
  <si>
    <t>Седов Олег Владимирович</t>
  </si>
  <si>
    <t>Кузин Максим Сергеевич</t>
  </si>
  <si>
    <t>Самойлов Евгений Сергеевич</t>
  </si>
  <si>
    <t>Загляда Елена Олеговна</t>
  </si>
  <si>
    <t>Владимирова Ольга Александровна</t>
  </si>
  <si>
    <t>Пантелеева Дарья Владимировна</t>
  </si>
  <si>
    <t>Морохова Лилия Олеговна</t>
  </si>
  <si>
    <t>Панченко Юлия Владимировна</t>
  </si>
  <si>
    <t>Заместитель заведующего канцелярией</t>
  </si>
  <si>
    <t>Суглобов Яков Владимирович</t>
  </si>
  <si>
    <t>Пипко Пётр Петрович</t>
  </si>
  <si>
    <t>Железняк Ольга Рудольфовна</t>
  </si>
  <si>
    <t>Бадыков Денис Римович</t>
  </si>
  <si>
    <t>Едчик Виктор Викторович</t>
  </si>
  <si>
    <t>Антонов Артём Владимирович</t>
  </si>
  <si>
    <t>Малых Ольга Николаевна</t>
  </si>
  <si>
    <t>Юношева Елена Александровна</t>
  </si>
  <si>
    <t>Шабалин Антон Владимирович</t>
  </si>
  <si>
    <t>Абалакова Наталья Валерьевна</t>
  </si>
  <si>
    <t>Пшеничников Михаил Владимирович</t>
  </si>
  <si>
    <t>Сараева Анна Михайловна</t>
  </si>
  <si>
    <t>Кошкина Наталья Николаевна</t>
  </si>
  <si>
    <t>Джиган Ирина Степановна</t>
  </si>
  <si>
    <t>Гудкова Елена Владимировна</t>
  </si>
  <si>
    <t>Терентьева Юлия Николаевна</t>
  </si>
  <si>
    <t>Алексеева Татьяна Васильевна</t>
  </si>
  <si>
    <t>Герман Кирилл Александрович</t>
  </si>
  <si>
    <t>Астахов Яков Евгеньевич</t>
  </si>
  <si>
    <t>Урбах Виталий Александрович</t>
  </si>
  <si>
    <t>Карпенко Татьяна Константиновна</t>
  </si>
  <si>
    <t>Булдаков Антон Анатольевич</t>
  </si>
  <si>
    <t>Чувилина Наталья Дмитриевна</t>
  </si>
  <si>
    <t>Хвостиков Леонид Сергеевич</t>
  </si>
  <si>
    <t>Брянцева Ирина Владимировна</t>
  </si>
  <si>
    <t>Арсланов Альберт Расихович</t>
  </si>
  <si>
    <t>Медведев Александр Александрович</t>
  </si>
  <si>
    <t>Попова Светлана Сергеевна</t>
  </si>
  <si>
    <t>Киселева Екатерина Ивановна</t>
  </si>
  <si>
    <t>Салтыков Артем Юрьевич</t>
  </si>
  <si>
    <t>Канунникова Анастасия Михайловна</t>
  </si>
  <si>
    <t>Киньябаева Юлия Рамазановна</t>
  </si>
  <si>
    <t>Жалейко Ольга Юрьевна</t>
  </si>
  <si>
    <t>Олисаев Станислав Игоревич</t>
  </si>
  <si>
    <t>Таламанова Елена Александровна</t>
  </si>
  <si>
    <t>Гонтарь Владислав Васильевич</t>
  </si>
  <si>
    <t>Ковалева Татьяна Петровна</t>
  </si>
  <si>
    <t>Кулясов Андрей Викторович</t>
  </si>
  <si>
    <t>Ботвинова Эльза Рифкатовна</t>
  </si>
  <si>
    <t>Ларионова Анастасия Владимировна</t>
  </si>
  <si>
    <t>Арсланова Наталья Анатольевна</t>
  </si>
  <si>
    <t>Климковская Ирина Михайловна</t>
  </si>
  <si>
    <t>Экономист I  категории</t>
  </si>
  <si>
    <t>Бурцев Сергей Ильич</t>
  </si>
  <si>
    <t>Дрогин Вадим Леонидович</t>
  </si>
  <si>
    <t>Тарахова Лариса Михайловна</t>
  </si>
  <si>
    <t>Мокеев Евгений Вячеславович</t>
  </si>
  <si>
    <t>Горшечникова Ольга Васильевна</t>
  </si>
  <si>
    <t>Фролова Анжелика Игоревна</t>
  </si>
  <si>
    <t>Бронская Оксана Александровна</t>
  </si>
  <si>
    <t>Локоть Эльвира Владимировна</t>
  </si>
  <si>
    <t>Управление по оргинизации обслуживания производства</t>
  </si>
  <si>
    <t>Дадаев Рамис Султанович</t>
  </si>
  <si>
    <t>Богдан Татьяна Владимировна</t>
  </si>
  <si>
    <t>Шутов Андрей Михайлович</t>
  </si>
  <si>
    <t>Галимшина Анна Юрьевна</t>
  </si>
  <si>
    <t>Терлецкий Александр Сергеевич</t>
  </si>
  <si>
    <t>ЛокотьЭльвира Владимировна</t>
  </si>
  <si>
    <t>Жвакин Максим Викторович</t>
  </si>
  <si>
    <t>Астапенко Юлия Константиновна</t>
  </si>
  <si>
    <t>Маликова Гульнара Ильшатовна</t>
  </si>
  <si>
    <t>Сумкина Татьяна Андреевна</t>
  </si>
  <si>
    <t>Яровая Ирина Александровна</t>
  </si>
  <si>
    <t>Азаров Евгений Александрович</t>
  </si>
  <si>
    <t>Королев Александр Александрович</t>
  </si>
  <si>
    <t>Кулешов Анатолий Сергеевич</t>
  </si>
  <si>
    <t>Нестерова Ирина Федоровна</t>
  </si>
  <si>
    <t>Кожевников Антон Викторович</t>
  </si>
  <si>
    <t>Бережная Ольга Викторовна</t>
  </si>
  <si>
    <t>Рамаев Хафиз Абдулбариевич</t>
  </si>
  <si>
    <t>Рошкован Кирилл Станиславович</t>
  </si>
  <si>
    <t>Кузьмин Игорь Юрьевич</t>
  </si>
  <si>
    <t>Шарипов Артур Марселевич</t>
  </si>
  <si>
    <t>Синицкий Павел Николаевич</t>
  </si>
  <si>
    <t>Сафронова Екатерина Владимировна</t>
  </si>
  <si>
    <t>Татаринова Наталья Александровна</t>
  </si>
  <si>
    <t>Кондрашев Вадим Валерьевич</t>
  </si>
  <si>
    <t>Уголькова Анна Валерьевна</t>
  </si>
  <si>
    <t>Вольская Екатерина Викторовна</t>
  </si>
  <si>
    <t>Жуков Сергей Вячеславович</t>
  </si>
  <si>
    <t>Борзова Кристина Игоревна</t>
  </si>
  <si>
    <t>Широков Антон Валерьевич</t>
  </si>
  <si>
    <t>Доронина Ольга Викторовна</t>
  </si>
  <si>
    <t>Тедеев Сергей Владимирович</t>
  </si>
  <si>
    <t>Тараскин Максим Анатольевич</t>
  </si>
  <si>
    <t>Ефимов Антон Сергеевич</t>
  </si>
  <si>
    <t>Позднухов Павел Николаевич</t>
  </si>
  <si>
    <t>Носкова Евгения Владимировна</t>
  </si>
  <si>
    <t>Лабоцкая Виктория Валерьевна</t>
  </si>
  <si>
    <t>Левина Виктория Ивановна</t>
  </si>
  <si>
    <t>Семикашев Алексей Владимирович</t>
  </si>
  <si>
    <t>Швец Артем Андреевич</t>
  </si>
  <si>
    <t>Рыбакова Роза Владимировна</t>
  </si>
  <si>
    <t>Измайлова Ирина Станиславовна</t>
  </si>
  <si>
    <t>Волкорез Елена Васильевна</t>
  </si>
  <si>
    <t>Пынзарь Елена Юрьевна</t>
  </si>
  <si>
    <t>Рецензент</t>
  </si>
  <si>
    <t>Тимашева Ангелина Витальевна</t>
  </si>
  <si>
    <t>Стяпшин Анатолий Александрович</t>
  </si>
  <si>
    <t>Ушаков Евгений Александрович</t>
  </si>
  <si>
    <t>Чечвий Антон Валерьевич</t>
  </si>
  <si>
    <t>Краснов Александр Анатольевич</t>
  </si>
  <si>
    <t>Андрейчук Андрей Иванович</t>
  </si>
  <si>
    <t>Шпакова Яна Николаевна</t>
  </si>
  <si>
    <t>Туровский Игорь Николаевич</t>
  </si>
  <si>
    <t>Главный технолог-начальник отдела</t>
  </si>
  <si>
    <t>Марченко Раиса Семеновна</t>
  </si>
  <si>
    <t>Полуйкова Юлия Александровна</t>
  </si>
  <si>
    <t>Епифанова Алина Рафаилевна</t>
  </si>
  <si>
    <t>Бариев Руслан Рафисович</t>
  </si>
  <si>
    <t>Ткаченко Роман Александрович</t>
  </si>
  <si>
    <t>Управление материально-технического обеспечения производства</t>
  </si>
  <si>
    <t>Чудин Евгений Витальевич</t>
  </si>
  <si>
    <t>Федотова Алина Зуфаровна</t>
  </si>
  <si>
    <t>Соколова Ольга Валерьевна</t>
  </si>
  <si>
    <t>Попова Екатерина Владимировна</t>
  </si>
  <si>
    <t>Шкиряк Сергей Петрович</t>
  </si>
  <si>
    <t>Дерябина Маргарита Сергеевна</t>
  </si>
  <si>
    <t>Лисовой Анатолий Анатольевич</t>
  </si>
  <si>
    <t>Фриз Андрей Владимирович</t>
  </si>
  <si>
    <t>Сухинина Татьяна Юрьевна</t>
  </si>
  <si>
    <t>Мартышова Марина Леонидовна</t>
  </si>
  <si>
    <t>Пастухов Владимир Эдуардович</t>
  </si>
  <si>
    <t>Заугольникова Алена Александровна</t>
  </si>
  <si>
    <t>Болгарова Светлана Андреевна</t>
  </si>
  <si>
    <t>Управление конъюнктуры цен на внеш. и внут.рынках нефти и нефтепродуктов</t>
  </si>
  <si>
    <t>Троянуца Максим Андреевич</t>
  </si>
  <si>
    <t>Яровикова Галина Николаевна</t>
  </si>
  <si>
    <t>Зайка Сергей Андреевич</t>
  </si>
  <si>
    <t>Сушинцев Валерий Валентинович</t>
  </si>
  <si>
    <t>Суслов Роман Викторович</t>
  </si>
  <si>
    <t>Немудрый Виталий Александрович</t>
  </si>
  <si>
    <t>Черкашина Елена Геннадьевна</t>
  </si>
  <si>
    <t>Терещенко Ирина Юрьевна</t>
  </si>
  <si>
    <t>Трофимова Ксения Николаевна</t>
  </si>
  <si>
    <t>Егорова Марина Юрьевна</t>
  </si>
  <si>
    <t>Расковалов Дмитрий Викторович</t>
  </si>
  <si>
    <t>Карпов Владислав Геннадьевич</t>
  </si>
  <si>
    <t>Акопова Галина Александровна</t>
  </si>
  <si>
    <t>Ботнаренко Иван Викторович</t>
  </si>
  <si>
    <t>Асьянов Руслан Рвильевич</t>
  </si>
  <si>
    <t>Горин Алексей Васильевич</t>
  </si>
  <si>
    <t>Овчинников Андрей Викторович</t>
  </si>
  <si>
    <t>Зайнутдинов Руслан Раисович</t>
  </si>
  <si>
    <t>Исмагилов Марат Дамирович</t>
  </si>
  <si>
    <t>Борченкова Елизавета Евгеньевна</t>
  </si>
  <si>
    <t>Федорова Юлия Анатольевна</t>
  </si>
  <si>
    <t>Бочарова Людмила Евгеньевна</t>
  </si>
  <si>
    <t>Рубанов Сергей Андреевич</t>
  </si>
  <si>
    <t>Прохоров Евгений Михайлович</t>
  </si>
  <si>
    <t>Шиленко Мария Юрьевна</t>
  </si>
  <si>
    <t>Булыгина Алина Евгеньевна</t>
  </si>
  <si>
    <t>Дуванова Ирина Федоровна</t>
  </si>
  <si>
    <t>Ульныров Илья Сергеевич</t>
  </si>
  <si>
    <t>Саитова Алина Ильгизовна</t>
  </si>
  <si>
    <t>Авдеев Вячеслав Владимирович</t>
  </si>
  <si>
    <t>Яремчук Сергей Александрович</t>
  </si>
  <si>
    <t>Фаррахова Венера Мухаматяновна</t>
  </si>
  <si>
    <r>
      <rPr>
        <b/>
        <u/>
        <sz val="8"/>
        <rFont val="Arial Cyr"/>
        <charset val="204"/>
      </rPr>
      <t xml:space="preserve">9148120000 </t>
    </r>
    <r>
      <rPr>
        <b/>
        <u/>
        <sz val="7"/>
        <rFont val="Arial Cyr"/>
        <charset val="204"/>
      </rPr>
      <t>Члены Ревизионной комиссии</t>
    </r>
    <r>
      <rPr>
        <b/>
        <sz val="7"/>
        <rFont val="Arial Cyr"/>
        <charset val="204"/>
      </rPr>
      <t xml:space="preserve"> - по главной книге без НДС (+невозм.НДС по Членам Совета директоров)</t>
    </r>
  </si>
  <si>
    <r>
      <rPr>
        <b/>
        <u/>
        <sz val="8"/>
        <color rgb="FFFF0000"/>
        <rFont val="Arial Cyr"/>
        <charset val="204"/>
      </rPr>
      <t xml:space="preserve">600 В/О ЧЛЕНЫ РЕВИЗИОННОЙ КОМИССИИ </t>
    </r>
    <r>
      <rPr>
        <b/>
        <sz val="7"/>
        <rFont val="Arial Cyr"/>
        <charset val="204"/>
      </rPr>
      <t>(общая сумма билетов с учетом НДС для обложеня)</t>
    </r>
  </si>
  <si>
    <r>
      <rPr>
        <b/>
        <u/>
        <sz val="8"/>
        <color rgb="FFFF0000"/>
        <rFont val="Arial Cyr"/>
        <charset val="204"/>
      </rPr>
      <t>600 В/О ЧЛЕНЫ СОВЕТА ДИРЕКТОРОВ</t>
    </r>
    <r>
      <rPr>
        <b/>
        <sz val="7"/>
        <color rgb="FFFF0000"/>
        <rFont val="Arial Cyr"/>
        <charset val="204"/>
      </rPr>
      <t xml:space="preserve">  </t>
    </r>
    <r>
      <rPr>
        <b/>
        <sz val="7"/>
        <rFont val="Arial Cyr"/>
        <charset val="204"/>
      </rPr>
      <t>(общая сумма билетов с учетом НДС для обложеня)</t>
    </r>
  </si>
  <si>
    <r>
      <rPr>
        <b/>
        <u/>
        <sz val="8"/>
        <rFont val="Arial Cyr"/>
        <charset val="204"/>
      </rPr>
      <t xml:space="preserve">9142050000 </t>
    </r>
    <r>
      <rPr>
        <b/>
        <u/>
        <sz val="7"/>
        <rFont val="Arial Cyr"/>
        <charset val="204"/>
      </rPr>
      <t>Члены Совета директоров  - по главной книге без НДС</t>
    </r>
  </si>
  <si>
    <t>Игнатова Татьяна Ивановна</t>
  </si>
  <si>
    <t>Валитов Владислав Раисович</t>
  </si>
  <si>
    <t>Дарутин Олег Анатольевич</t>
  </si>
  <si>
    <t>Захарова Виктория Викторовна</t>
  </si>
  <si>
    <t>Щеглов Андрей Владимирович</t>
  </si>
  <si>
    <t>Юрасев Андрей Эдуардович</t>
  </si>
  <si>
    <t>Гадецкая Ирина Вячеславовна</t>
  </si>
  <si>
    <t>Шепелин Максим Александрович</t>
  </si>
  <si>
    <t>Кузнецов Олег Владимирович</t>
  </si>
  <si>
    <t>Мелкозерова Алла Валентиновна</t>
  </si>
  <si>
    <t>Вагин Егор Игоревич</t>
  </si>
  <si>
    <t>Кожевникова Екатерина Олеговна</t>
  </si>
  <si>
    <t>Малов Александр Андреевич</t>
  </si>
  <si>
    <t>Войцеховская Екатерина Вячеславовна</t>
  </si>
  <si>
    <t>Туркин Федор Васильевич</t>
  </si>
  <si>
    <t>Дядюшкина Алёна Геннадьевна</t>
  </si>
  <si>
    <t>Рагозинский Александр Сергеевич</t>
  </si>
  <si>
    <t>Ислямгирова Римма Венеровна</t>
  </si>
  <si>
    <t>Лихвар Оксана Валерьевна</t>
  </si>
  <si>
    <t>Болвачева Дарья Алексеевна</t>
  </si>
  <si>
    <t>Петраш Венера Шавкатовна</t>
  </si>
  <si>
    <t>Попова Валентина Юрьевна</t>
  </si>
  <si>
    <t>Рощина Ольга Викторовна</t>
  </si>
  <si>
    <t>Кузнецов Игорь Федорович</t>
  </si>
  <si>
    <t>Сапсалёв Евгений Васильевич</t>
  </si>
  <si>
    <t>Чужеков Юрий Васильевич</t>
  </si>
  <si>
    <t>Штойко Сергей Александрович</t>
  </si>
  <si>
    <t>Баселидзе Светлана Валерьевна</t>
  </si>
  <si>
    <t>Лукьянов Виктор Павлович</t>
  </si>
  <si>
    <t>Ерух Светлана Анатольева</t>
  </si>
  <si>
    <t>Грыценко Александр Николаевич</t>
  </si>
  <si>
    <t>Гатиятуллина Ассоль Рашидовна</t>
  </si>
  <si>
    <t>Репсон Александр Михайлович</t>
  </si>
  <si>
    <t>Малюшкин Владимир Анатольевич</t>
  </si>
  <si>
    <t>Переверзев Святослав Андреевич</t>
  </si>
  <si>
    <t>АППАРАТ УПРАВЛЕНИЯ ПАО "СУРГУТНЕФТЕГАЗ"</t>
  </si>
  <si>
    <t>Кулуева Римма Ахметовна</t>
  </si>
  <si>
    <t>Смирнов Алексей Васильевич</t>
  </si>
  <si>
    <t>Сабитова Диана Азатовна</t>
  </si>
  <si>
    <t>Тарасова Светлана Юрьевна</t>
  </si>
  <si>
    <t>Селянина Эльмира Наримановна</t>
  </si>
  <si>
    <t>Плавново-экономическое управление</t>
  </si>
  <si>
    <t>Проневская Татьяна Петрован</t>
  </si>
  <si>
    <t>Часовская Валерия Сергеевна</t>
  </si>
  <si>
    <t>Яковлев Максим Николаевич</t>
  </si>
  <si>
    <t>Мисбахова Ильмира Дильшатовна</t>
  </si>
  <si>
    <t>дети, пенсионеры, инвалиды до 18 лет</t>
  </si>
  <si>
    <t>дети, пенсионеры, инвалиды до и после 18 лет</t>
  </si>
  <si>
    <t>супруги не работающие и</t>
  </si>
  <si>
    <t>супруги  работающие или</t>
  </si>
  <si>
    <t>проживающие</t>
  </si>
  <si>
    <t>не проживающие</t>
  </si>
  <si>
    <t>вручную</t>
  </si>
  <si>
    <t>в/о629 (погрузка разгрузка) бывшего работника</t>
  </si>
  <si>
    <t>Кизириди Лариса Николаевна</t>
  </si>
  <si>
    <t>Лавриненкова Ирина Васильевна</t>
  </si>
  <si>
    <t>Ельчукова Елена Евгеньевна</t>
  </si>
  <si>
    <t>Алейнов Александр Александрович</t>
  </si>
  <si>
    <t>Потапова Елена Владимировна</t>
  </si>
  <si>
    <t>Дубин Павел Павлович</t>
  </si>
  <si>
    <t>Андреев Василий Анатольевич</t>
  </si>
  <si>
    <t>Махмутов Эмиль Энварович</t>
  </si>
  <si>
    <t>Кисеева Екатерина Борисовна</t>
  </si>
  <si>
    <t>Тузаева Екатерина Павловна</t>
  </si>
  <si>
    <t>Мураткина Ольга Олеговна</t>
  </si>
  <si>
    <t>Бердин Владислав Владимирович</t>
  </si>
  <si>
    <t>Козлов Эдуард Геннадьевич</t>
  </si>
  <si>
    <t>Шикина Юлия Мирославовна</t>
  </si>
  <si>
    <t>Цуприк Ирина Сергеевна</t>
  </si>
  <si>
    <t>Аганин Владислав Игоревич</t>
  </si>
  <si>
    <t>Савостеня Дарья Викторовна</t>
  </si>
  <si>
    <t>Филиппова Ирина Владимировна</t>
  </si>
  <si>
    <t>Шимин Василий Александрович</t>
  </si>
  <si>
    <t>Заместитель главного инженера</t>
  </si>
  <si>
    <t>Вильданов Денис Рауфович</t>
  </si>
  <si>
    <t>Марченко Максим Павлович</t>
  </si>
  <si>
    <t>Колесник Вячеслав Николаевич</t>
  </si>
  <si>
    <t>Цареградский Юрий Валентинович</t>
  </si>
  <si>
    <t>Денисова Марина Юрьевна</t>
  </si>
  <si>
    <t>Гутник Михаил Юрьевич</t>
  </si>
  <si>
    <t>ЗаровнаяАлександра Александровна</t>
  </si>
  <si>
    <t>Воронцова Марианна Дмитриевна</t>
  </si>
  <si>
    <t>Саитова Эмина Нурсаидовна</t>
  </si>
  <si>
    <t>Тихонов Константин Юрьевич</t>
  </si>
  <si>
    <t>Беда Анастасия Александровна</t>
  </si>
  <si>
    <t>Акмуллина Елена Витальевна</t>
  </si>
  <si>
    <t>Латышев Дмитрий Петрович</t>
  </si>
  <si>
    <t>Марченко Маргарита Владимировна</t>
  </si>
  <si>
    <t>Мокиич Елена Викторовна</t>
  </si>
  <si>
    <t>Егорова Ирина Игоревна</t>
  </si>
  <si>
    <t>Клеопина Евгения Александровна</t>
  </si>
  <si>
    <t>Балютина Евгения Николаевна</t>
  </si>
  <si>
    <t>Панов Сергей Сергеевич</t>
  </si>
  <si>
    <t>Планово-экономическое управления</t>
  </si>
  <si>
    <t>Медведев Игорь Петрович</t>
  </si>
  <si>
    <t>Колосовский Вадим Александрович</t>
  </si>
  <si>
    <t>Тощиков Владимир Викторович</t>
  </si>
  <si>
    <t>Голишева Елена Владимировна</t>
  </si>
  <si>
    <t>Маркович Анастасия Александровна</t>
  </si>
  <si>
    <t>Лобырев Алексей Александрович</t>
  </si>
  <si>
    <t>Белова Ольга Сергеевна</t>
  </si>
  <si>
    <t>Егоров Владимир Михайлович</t>
  </si>
  <si>
    <t>Богданов Василий Сергеевич</t>
  </si>
  <si>
    <t>Солодов Юрий Дмитриевич</t>
  </si>
  <si>
    <t>Пузанова Ольга Александровна</t>
  </si>
  <si>
    <t>Айтмухаметов Радион Миначевич</t>
  </si>
  <si>
    <t>Сухляев Сергей Юрьевич</t>
  </si>
  <si>
    <t>Шинкаренко Зухра Акрамовна</t>
  </si>
  <si>
    <t>Корниенко Вячеслав Владимирович</t>
  </si>
  <si>
    <t>Мурзагулов Александр Витальевич</t>
  </si>
  <si>
    <t>Балацкая Ольга Алексеевна</t>
  </si>
  <si>
    <t>Рябова Елена Григорьевна</t>
  </si>
  <si>
    <t>Привалов Александр Сергеевич</t>
  </si>
  <si>
    <t>Хисамова Гузель Табрисовна</t>
  </si>
  <si>
    <t>Князева Анжела Аркадьевна</t>
  </si>
  <si>
    <t>Щербаков Дмитрий Викторович</t>
  </si>
  <si>
    <t>Абдрахимов Олег Фанилович</t>
  </si>
  <si>
    <t>Смакула Юрий Михайлович</t>
  </si>
  <si>
    <t>Управление по разрабротке месторождений</t>
  </si>
  <si>
    <t>Казакова Татьяна Владимировна</t>
  </si>
  <si>
    <t>Сафин Рустем Фуатович</t>
  </si>
  <si>
    <t>Коновалов Юрий Николаевич</t>
  </si>
  <si>
    <t>Зорина Анна Анатольевна</t>
  </si>
  <si>
    <t>Серпутько Николай Анатольевич</t>
  </si>
  <si>
    <t>Родвальт Дмитрий Сергеевич</t>
  </si>
  <si>
    <t>Пономаренко Ирина Владимировна</t>
  </si>
  <si>
    <t>Пурнова Наталья Анатольевна</t>
  </si>
  <si>
    <t>Дунина Елена Владимировна</t>
  </si>
  <si>
    <t>Васечкина Светлана Павловна</t>
  </si>
  <si>
    <t>Добрынин Денис Андреевич</t>
  </si>
  <si>
    <t>Чинчевич Сергей Иванович</t>
  </si>
  <si>
    <t>Управление техлологического транспорта, спецтехники и автомобильных дорог</t>
  </si>
  <si>
    <t>Рукавишников Федор Анатольевич</t>
  </si>
  <si>
    <t>Новожилова Любовь Вильевна</t>
  </si>
  <si>
    <t>Христофорова Любовь Вячеславовна</t>
  </si>
  <si>
    <t>Панчишина Ольга Николаевна</t>
  </si>
  <si>
    <t>Обухова Ксения Олеговна</t>
  </si>
  <si>
    <t>Ярыгина Светлана Владимировна</t>
  </si>
  <si>
    <t>Макаров Борис Вячеславович</t>
  </si>
  <si>
    <t>Степанов Станислав Викторович</t>
  </si>
  <si>
    <t>Голубев Максим Александрович</t>
  </si>
  <si>
    <t>Палкина Наталия Сергеевна</t>
  </si>
  <si>
    <t>Шкапова Любовь Валерьевна</t>
  </si>
  <si>
    <t>Садыкова Татьяна Сергеевна</t>
  </si>
  <si>
    <t>Хоменко Денис Владимирович</t>
  </si>
  <si>
    <t>Козлова Инна Михайловна</t>
  </si>
  <si>
    <t>Клыкова Ольга Владимировна</t>
  </si>
  <si>
    <t>Филипченко Павел Анатольевич</t>
  </si>
  <si>
    <t>Илюшкин Игорь Анатольевич</t>
  </si>
  <si>
    <t>Березкин Кирилл Аркадьевич</t>
  </si>
  <si>
    <t>Иванов Александр Васильевич</t>
  </si>
  <si>
    <t>Зам.начальника управления - начальник отдела</t>
  </si>
  <si>
    <t>Бадикшанов Вадим Айратович</t>
  </si>
  <si>
    <t>Николаева Юлия Валерьевна</t>
  </si>
  <si>
    <t>Анпилогов Денис Геннадьевич</t>
  </si>
  <si>
    <t>Чирков Алексей Петрович</t>
  </si>
  <si>
    <t>Шарова Екатерина Владимировна</t>
  </si>
  <si>
    <t>Нестерова Ксения Анатольевна</t>
  </si>
  <si>
    <t>Шенфельд Анастасия Владимировна</t>
  </si>
  <si>
    <t>Затеев Дмитрий Михайлович</t>
  </si>
  <si>
    <t>Тихонов Николай Юрьевич</t>
  </si>
  <si>
    <t>Управление капитального стоительства объектов</t>
  </si>
  <si>
    <t>Кормишин Виктор Викторович</t>
  </si>
  <si>
    <t>Червякова Екатерина Сергеевна</t>
  </si>
  <si>
    <t>Умрихин Артем Александрович</t>
  </si>
  <si>
    <t>Управление по капитальному ремонту производстенных объектов</t>
  </si>
  <si>
    <t>Светогоров Сергей Сергеевич</t>
  </si>
  <si>
    <t>Отдел учета и реализации нефти</t>
  </si>
  <si>
    <t xml:space="preserve">Инженер </t>
  </si>
  <si>
    <t>Ангелов Кирилл Викторович</t>
  </si>
  <si>
    <t>Кулик Ольга Юрьевна</t>
  </si>
  <si>
    <t>Невзорова Александра Юрьевна</t>
  </si>
  <si>
    <t>Ивкина Евгения Ильинична</t>
  </si>
  <si>
    <t>Щербанюк Наталья Анатольевна</t>
  </si>
  <si>
    <t>Осипов Юрий Кимович</t>
  </si>
  <si>
    <t>Фрейдин Татьяна Игоревна</t>
  </si>
  <si>
    <t>Губарь Андрей Григорьевич</t>
  </si>
  <si>
    <t>Погребная Юлия Борисована</t>
  </si>
  <si>
    <t>Мунтяну Виктория Виктория</t>
  </si>
  <si>
    <t>Коновалов Антон Вячеславович</t>
  </si>
  <si>
    <t>Халиуллин Динар Фагимович</t>
  </si>
  <si>
    <t>Абишев Эдуард Сергеевич</t>
  </si>
  <si>
    <t>Денисенко Виталий Петрович</t>
  </si>
  <si>
    <t>Хижняк Андрей Андреевич</t>
  </si>
  <si>
    <t>Донских Владимир Алексеевич</t>
  </si>
  <si>
    <t>Сбитнева Дарья Сергеевна</t>
  </si>
  <si>
    <t xml:space="preserve">Управление внутреннего контроля </t>
  </si>
  <si>
    <t xml:space="preserve">Ведущий специалист </t>
  </si>
  <si>
    <t>Афанасьева Ольга Борисовна</t>
  </si>
  <si>
    <t>Михайлова Яна Вячеславовна</t>
  </si>
  <si>
    <t>Зубченко Наталья Владимировна</t>
  </si>
  <si>
    <t>Боровикова Татьяна Александровна</t>
  </si>
  <si>
    <t>Управление инвестиционного развития</t>
  </si>
  <si>
    <t>Джуринская Юлия Анатольевна</t>
  </si>
  <si>
    <t>Аликов Артур Юрьевич</t>
  </si>
  <si>
    <t>Отдел мониторинга и безопасности информационной системы</t>
  </si>
  <si>
    <t>Асачев Евгений Геннадьевич</t>
  </si>
  <si>
    <t>Отдел внедрения новых информационных технологий в МТС</t>
  </si>
  <si>
    <t>Гаврюшкин Роман Валерьевич</t>
  </si>
  <si>
    <t>Васильева Наталья Владимировна</t>
  </si>
  <si>
    <t>Мяников Юрий Алексеевич</t>
  </si>
  <si>
    <t>Шмаров Сергей Александрович</t>
  </si>
  <si>
    <t>Уваров Леонид Владимирович</t>
  </si>
  <si>
    <t>Калинина Алена Владимировна</t>
  </si>
  <si>
    <t>Федянина Елена Николаевна</t>
  </si>
  <si>
    <t>Отдел анализа хозяйственной деятельности вспомогательного производства</t>
  </si>
  <si>
    <t>Михеева Ольга Владимировна</t>
  </si>
  <si>
    <t>Сапожникова Александра Александровна</t>
  </si>
  <si>
    <t>Серикова Светлана Сергеевна</t>
  </si>
  <si>
    <t>Петелева Екатерина Евгеньевна</t>
  </si>
  <si>
    <t>Грипыч Елена Вячеславовна</t>
  </si>
  <si>
    <t>Султанова Айназ Рамилевна</t>
  </si>
  <si>
    <t>Литвякова Дарья Владимировна</t>
  </si>
  <si>
    <t>Тухарь Артем Владимирович</t>
  </si>
  <si>
    <t>Рудаков Сергей Валерьевич</t>
  </si>
  <si>
    <t>Асмолов Леонид Николаевич</t>
  </si>
  <si>
    <t>Карпухин Федор Геннадьевич</t>
  </si>
  <si>
    <t>Римша Валерия Валентиновна</t>
  </si>
  <si>
    <t>Строкатова Юлия Сергеевна</t>
  </si>
  <si>
    <t>ЦИТС</t>
  </si>
  <si>
    <t>Верещагин Алексей Андреевич</t>
  </si>
  <si>
    <t xml:space="preserve">Ведущий инженер </t>
  </si>
  <si>
    <t>Анисимов Кирилл Константинович</t>
  </si>
  <si>
    <t>Попов Андрей Николаевич</t>
  </si>
  <si>
    <t>3205031009 (ком.расходы для НДФЛ)  в/о 634</t>
  </si>
  <si>
    <t>КОМАНДИРОВОЧНЫЕ РАСХОДЫ</t>
  </si>
  <si>
    <t>Покровская Александра Васильевна</t>
  </si>
  <si>
    <t>КОМПЕНСАЦИЯ РАСХОДОВ ПО СПРАВКАМ</t>
  </si>
  <si>
    <t>(ПОДТВЕРЖДЕНИЕ ФАКТА ПЕРЕЛЕТА)</t>
  </si>
  <si>
    <t>Кузин Виталий Витальевич</t>
  </si>
  <si>
    <t xml:space="preserve">Техник </t>
  </si>
  <si>
    <t>Ветряева Анна Николаевна</t>
  </si>
  <si>
    <t>Михеев Константин Васильевич</t>
  </si>
  <si>
    <t>Галеев Ринат Равкатович</t>
  </si>
  <si>
    <t>Денисенк Виталий Петрович</t>
  </si>
  <si>
    <t>Белозор Роман Федорович</t>
  </si>
  <si>
    <t>Ладыгин Никита Иванович</t>
  </si>
  <si>
    <t>Рязанова Юлия Сергеевна</t>
  </si>
  <si>
    <t>Гроза Татьяна Михайловна</t>
  </si>
  <si>
    <t xml:space="preserve">Управление коммерческо-сбытовой деятельности </t>
  </si>
  <si>
    <t>Андреев Денис Евгеньевич</t>
  </si>
  <si>
    <t>Трушникова Юлия Сергеевна</t>
  </si>
  <si>
    <t>Фомин Николай Сергеевич</t>
  </si>
  <si>
    <t xml:space="preserve">Паньков Максим Евгеньевич </t>
  </si>
  <si>
    <t>Оленев Артем Сергеевич</t>
  </si>
  <si>
    <t>Упраление капитального строительства производственных объектов</t>
  </si>
  <si>
    <t>0626</t>
  </si>
  <si>
    <t>Горбатова Любовь Степановна</t>
  </si>
  <si>
    <t>Еремицкая Елена Николаевна</t>
  </si>
  <si>
    <t>Драндусов Александр Владимирович</t>
  </si>
  <si>
    <t>Евсиевич Михаил Олегович</t>
  </si>
  <si>
    <t>Калифатиди Афина Михайловна</t>
  </si>
  <si>
    <t>Казаков Дмитрий Сергеевич</t>
  </si>
  <si>
    <t>Куренных Андрей Юрьевич</t>
  </si>
  <si>
    <t>Мельникова Татьяна Леонидовна</t>
  </si>
  <si>
    <t>Никонов Василий Васильевич</t>
  </si>
  <si>
    <t>Сухинина Оксана Васильевна</t>
  </si>
  <si>
    <t>Зам.начальника отдела - руководитель группы</t>
  </si>
  <si>
    <t>Петрова Надежда Сергеевна</t>
  </si>
  <si>
    <t>Носова Наталья Олеговна</t>
  </si>
  <si>
    <t>Кузнецов Анатолий Николаевич</t>
  </si>
  <si>
    <t>Бурцева Анастасия Александровна</t>
  </si>
  <si>
    <t>Конопленко Сергей Анатольевич</t>
  </si>
  <si>
    <t>Мельников Денис Александрович</t>
  </si>
  <si>
    <r>
      <t xml:space="preserve">компенсация проезда по колдоговору льг.отп работника 3202011401           </t>
    </r>
    <r>
      <rPr>
        <b/>
        <sz val="8"/>
        <rFont val="Arial Cyr"/>
        <charset val="204"/>
      </rPr>
      <t>Х 401</t>
    </r>
  </si>
  <si>
    <r>
      <t xml:space="preserve">льг.отп чл.семьи -иждивенцев фактич.прожив.с работником - н/у 9146050000                            </t>
    </r>
    <r>
      <rPr>
        <b/>
        <sz val="8"/>
        <rFont val="Arial Cyr"/>
        <charset val="204"/>
      </rPr>
      <t>N 375</t>
    </r>
  </si>
  <si>
    <t>колл-во</t>
  </si>
  <si>
    <r>
      <t xml:space="preserve">льг.отп чл.семьи -иждивенцев  фактич. не прожив.с работником - н/у 9146050100                            </t>
    </r>
    <r>
      <rPr>
        <b/>
        <sz val="8"/>
        <rFont val="Arial Cyr"/>
        <charset val="204"/>
      </rPr>
      <t>604</t>
    </r>
  </si>
  <si>
    <t xml:space="preserve">багаж чл.семьи -иждивенцев фактич.прожив.с работником - 9146120000                       </t>
  </si>
  <si>
    <r>
      <t xml:space="preserve">багаж чл.семьи -иждивенцев фактич. не прожив.с работником -  9146120100   н/у            </t>
    </r>
    <r>
      <rPr>
        <b/>
        <sz val="8"/>
        <rFont val="Arial Cyr"/>
        <charset val="204"/>
      </rPr>
      <t xml:space="preserve">604 </t>
    </r>
    <r>
      <rPr>
        <sz val="8"/>
        <rFont val="Arial Cyr"/>
        <charset val="204"/>
      </rPr>
      <t xml:space="preserve">               </t>
    </r>
  </si>
  <si>
    <r>
      <t xml:space="preserve">льг.отп чл.семьи - не иждивенцев неработающих и фактич. прожив.с работником - 9146060000                            </t>
    </r>
    <r>
      <rPr>
        <b/>
        <sz val="8"/>
        <rFont val="Arial Cyr"/>
        <charset val="204"/>
      </rPr>
      <t>N 375</t>
    </r>
  </si>
  <si>
    <r>
      <t xml:space="preserve">льг.отп чл.семьи - не иждивенцев работающихили  фактич.не  прожив.с работником - 9146060100 н/у                           </t>
    </r>
    <r>
      <rPr>
        <b/>
        <sz val="8"/>
        <rFont val="Arial Cyr"/>
        <charset val="204"/>
      </rPr>
      <t>604</t>
    </r>
  </si>
  <si>
    <t xml:space="preserve">9148120000 в/о 634 </t>
  </si>
  <si>
    <r>
      <rPr>
        <b/>
        <sz val="8"/>
        <rFont val="Arial Cyr"/>
        <charset val="204"/>
      </rPr>
      <t>9148120000</t>
    </r>
    <r>
      <rPr>
        <sz val="8"/>
        <rFont val="Arial Cyr"/>
        <charset val="204"/>
      </rPr>
      <t xml:space="preserve"> в/о 626 (справки)</t>
    </r>
  </si>
  <si>
    <t>Архипов Георгий Сергеевич</t>
  </si>
  <si>
    <t>Широких Елена Геннадьевна</t>
  </si>
  <si>
    <t>Царьков Алексей  Сергееич</t>
  </si>
  <si>
    <t>Кошкарева Татьяна Леонидовна</t>
  </si>
  <si>
    <t>Царенко Анна Владимировна</t>
  </si>
  <si>
    <t>Варшавский Станистав Григорьевич</t>
  </si>
  <si>
    <t>Мыльникова Юлия Алексеевна</t>
  </si>
  <si>
    <t>Тышкевич Анаставия Алексеевна</t>
  </si>
  <si>
    <t>Музафарова Надежда Андреевна</t>
  </si>
  <si>
    <t>Гусева Ольга Андреевна</t>
  </si>
  <si>
    <t>Буневич Оксана Леонидовна</t>
  </si>
  <si>
    <t>Саварина Татьяна Сергеевна</t>
  </si>
  <si>
    <t>Сиковая Лариса Владимировна</t>
  </si>
  <si>
    <t>Кириченко Владлена Павловна</t>
  </si>
  <si>
    <t>Рыжик Роман Анатольевич</t>
  </si>
  <si>
    <t>Есаулкова Светлана Ринатовна</t>
  </si>
  <si>
    <t>Герасимов Денис Владимирович</t>
  </si>
  <si>
    <t>Селиверстова Ирина Сергеевна</t>
  </si>
  <si>
    <t>Управление по имущественным отношениям</t>
  </si>
  <si>
    <t>Шкляров Игорь Витальевич</t>
  </si>
  <si>
    <t>Давыдов Тимур Константиновч</t>
  </si>
  <si>
    <t>Фарфудинов Николай Юрьевич</t>
  </si>
  <si>
    <t>Онуфриева Елена Сергеевна</t>
  </si>
  <si>
    <t>Шкварун Светлана Валерьевна</t>
  </si>
  <si>
    <t>Григорив Николай Васильевич</t>
  </si>
  <si>
    <t>Соловьева Татьяна Викторовна</t>
  </si>
  <si>
    <t>Ларионова Екатерина Сергеевна</t>
  </si>
  <si>
    <t>Управление тех транспорта ,спец техники и автомобильных дорог</t>
  </si>
  <si>
    <t>Руденкова Ирина Александровеа</t>
  </si>
  <si>
    <t>Белошицкая Олеся Петровна</t>
  </si>
  <si>
    <t>Пискунова Анна Сергеевна</t>
  </si>
  <si>
    <t>Лесникова Наталья Васильевна</t>
  </si>
  <si>
    <t>Волкова Елена Маснавиевна</t>
  </si>
  <si>
    <t>Царевич Олеся Владимировна</t>
  </si>
  <si>
    <t>Репина Елена Сергеевна</t>
  </si>
  <si>
    <t>Матвеева Юлия Николаевна</t>
  </si>
  <si>
    <t>Васильева Ольга Сергеевна</t>
  </si>
  <si>
    <t>Калиев Алжан Кабдельашимович</t>
  </si>
  <si>
    <t>Комнацкая Елена Сергеевна</t>
  </si>
  <si>
    <t>Герасимов Евгений Вячеславович</t>
  </si>
  <si>
    <t>Володин Сергей Андреевич</t>
  </si>
  <si>
    <t>Верхоланцев Антон Евгеньевич</t>
  </si>
  <si>
    <t>Сафиулин Фарид Зуферович</t>
  </si>
  <si>
    <t>Кодатенко Надежда Николаевна</t>
  </si>
  <si>
    <t>Сан-Пет</t>
  </si>
  <si>
    <t>Макарова Ирина Викторовна</t>
  </si>
  <si>
    <t>Дроздов Сергей Иванович</t>
  </si>
  <si>
    <t>Тюрюханова Валерия Сергеевна</t>
  </si>
  <si>
    <t>Петриченко Максим Геонидович</t>
  </si>
  <si>
    <t>Ромашова Екатерина Александровна</t>
  </si>
  <si>
    <t>Никитина Татьяна Сергеевна</t>
  </si>
  <si>
    <t>в/о 604</t>
  </si>
  <si>
    <t>Хасбиев Арсений Фларисович</t>
  </si>
  <si>
    <t>Мартынов Евгений Леонидович</t>
  </si>
  <si>
    <t>Юристконсульт II категории</t>
  </si>
  <si>
    <t>Гравдина Виктория Викторовна</t>
  </si>
  <si>
    <t>Царьков Алексей Сергеевич</t>
  </si>
  <si>
    <t>Анисимова Екатерина Анатольевна</t>
  </si>
  <si>
    <t>Пантелеев Александр Николаевич</t>
  </si>
  <si>
    <t>Птица Андрей Юрьевич</t>
  </si>
  <si>
    <t>Лазарева Оксана Анатольевна</t>
  </si>
  <si>
    <t>Оплеснина Юлия Сергеевна</t>
  </si>
  <si>
    <t>Блиновских Юлия Валерьевна</t>
  </si>
  <si>
    <t>Пойменова Наталья Юрьевна</t>
  </si>
  <si>
    <t>Афонин Сергей Николаевич</t>
  </si>
  <si>
    <t>Инженер II котегории</t>
  </si>
  <si>
    <t>Марченко Анна Юрьевна</t>
  </si>
  <si>
    <t>Халимова Ася Александровна</t>
  </si>
  <si>
    <t>Клочков Александр Анатольевич</t>
  </si>
  <si>
    <t>Сандулеску Андрей Степанович</t>
  </si>
  <si>
    <t>Манина Наталья Викторовна</t>
  </si>
  <si>
    <t>Нестеров Сергей Александрович</t>
  </si>
  <si>
    <t>Габрусь Анастасия Юрьевна</t>
  </si>
  <si>
    <t>Рудакова Олеся Васильевна</t>
  </si>
  <si>
    <t>Дудченко Игорь Анатольевич</t>
  </si>
  <si>
    <t>Яковлев Петр Александрович</t>
  </si>
  <si>
    <t>Ларионов Иван Валерьевич</t>
  </si>
  <si>
    <t>Курило Денис Сергеевич</t>
  </si>
  <si>
    <t>Лесько Артем Иванович</t>
  </si>
  <si>
    <t>Коваль Андрей Сергеевич</t>
  </si>
  <si>
    <t>Анпилогов Дмитрий Геннадиевич</t>
  </si>
  <si>
    <t>Долгушина Ольга Петровна</t>
  </si>
  <si>
    <t>Игнатьев Федор Юрьевич</t>
  </si>
  <si>
    <t>в/о 935</t>
  </si>
  <si>
    <t>Шайда Денис Алексеевич</t>
  </si>
  <si>
    <t>Байков Сергей Владимирович</t>
  </si>
  <si>
    <t>Отдел промышленной безопасности</t>
  </si>
  <si>
    <t>Старков Иван Олегович</t>
  </si>
  <si>
    <t>Гончаренко Кирилл Игоревич</t>
  </si>
  <si>
    <t>Палухина Елена Александровна</t>
  </si>
  <si>
    <t>Васина Анастасия Богдановна</t>
  </si>
  <si>
    <t>Денисов Евгений Сергеевич</t>
  </si>
  <si>
    <t>Кузнецов Денис Викторович</t>
  </si>
  <si>
    <t>Нагорнова Ольга Олеговна</t>
  </si>
  <si>
    <t>Планово-производственный отдел</t>
  </si>
  <si>
    <t>Шаехов Андрей Раифович</t>
  </si>
  <si>
    <t xml:space="preserve">Производственный отдел </t>
  </si>
  <si>
    <t>Никитенко Дмитрий Михайлович</t>
  </si>
  <si>
    <t>Седущий специалист</t>
  </si>
  <si>
    <t>Гунько Алиса Дмитриевна</t>
  </si>
  <si>
    <t>Донских Владимир Александрович</t>
  </si>
  <si>
    <t>Никитина Татьяна Алексеевна</t>
  </si>
  <si>
    <t>Кожилкин Павел Константинович</t>
  </si>
  <si>
    <t>Загидуллина Ксения Сергеевна</t>
  </si>
  <si>
    <t>Захарчук Елена Сергеевна</t>
  </si>
  <si>
    <t>Трефилова Евгения Александровна</t>
  </si>
  <si>
    <t>Зам.начальника управления</t>
  </si>
  <si>
    <t>Смыков Михаил Александрович</t>
  </si>
  <si>
    <t>Колясникова Наталья Владимировна</t>
  </si>
  <si>
    <t>Захаров Алексей Сергеевич</t>
  </si>
  <si>
    <t>Минченко Илья Григорьевич</t>
  </si>
  <si>
    <t>Яковенко Алексей Александрович</t>
  </si>
  <si>
    <t>Васильчук Алена Геннадьевна</t>
  </si>
  <si>
    <t>Рахматуллина Екатерина Евгеньевна</t>
  </si>
  <si>
    <t>Якупов Айрат Шагитович</t>
  </si>
  <si>
    <t>Новоселова Альфия Газимзяновна</t>
  </si>
  <si>
    <t>Брославец Александр Вячеславович</t>
  </si>
  <si>
    <t>Упр.промышленной безоп.и охраны труда Отдел промышленной безопас</t>
  </si>
  <si>
    <t>Евлампьев Антон Игоревич</t>
  </si>
  <si>
    <t>Федотов Николай Александрович</t>
  </si>
  <si>
    <t>Никитин Сергей Алексеевич</t>
  </si>
  <si>
    <t>Ханты-Мансийск</t>
  </si>
  <si>
    <t>Макаренко Константин Сергеевич</t>
  </si>
  <si>
    <t>В течении месяца</t>
  </si>
  <si>
    <t>БС</t>
  </si>
  <si>
    <t>в/о 1000</t>
  </si>
  <si>
    <t>Набиваем при закрытии</t>
  </si>
  <si>
    <t>Захаров Александр Александрович</t>
  </si>
  <si>
    <t>Яковлева Наталья Владимировна</t>
  </si>
  <si>
    <t>Юнусов Равиль Шамильевич</t>
  </si>
  <si>
    <t>Коробейникова Наталья Викторовна</t>
  </si>
  <si>
    <t>Шелепов Сергей Юрьевич</t>
  </si>
  <si>
    <t>Маляр Виктория Владимировна</t>
  </si>
  <si>
    <t>Д</t>
  </si>
  <si>
    <t>К</t>
  </si>
  <si>
    <t>Бобиков Артем Алексеевич</t>
  </si>
  <si>
    <t>Клиппа Татьяна Владимировна</t>
  </si>
  <si>
    <t>НГДУ "ЛН"</t>
  </si>
  <si>
    <t>Гербер Вилора Вадимовна</t>
  </si>
  <si>
    <t>Карп Алексей Викторович</t>
  </si>
  <si>
    <t>Лобач Сергей Николаевич</t>
  </si>
  <si>
    <t>Феденков Владимир Владимирович</t>
  </si>
  <si>
    <t>Пантелус Дмитрий Валерьевич</t>
  </si>
  <si>
    <t>Упр.технол.транспорта,спецтехники и а/д Отдел учета и анализа ра</t>
  </si>
  <si>
    <t>Мигашкин Александр Викторович</t>
  </si>
  <si>
    <t>Управление по текущему и капитальному ремонту скважин</t>
  </si>
  <si>
    <t>Паршинцев Константин Анатольевич</t>
  </si>
  <si>
    <t>Негуляева Анастасия Валерьевна</t>
  </si>
  <si>
    <t>Марков Антон Николаевич</t>
  </si>
  <si>
    <t>Управление технологического транспорта, спецтехники и автоморбильных дорог</t>
  </si>
  <si>
    <t>Колбай Анастасия Александровна</t>
  </si>
  <si>
    <t>УМТОП</t>
  </si>
  <si>
    <t>НГДУ "СН"</t>
  </si>
  <si>
    <t>НГДУ "НСН"</t>
  </si>
  <si>
    <t>Зубченко Наталия Владимировна</t>
  </si>
  <si>
    <t>Караевская Елена Афанасьева</t>
  </si>
  <si>
    <t>Мясников Юрий Алексеевич</t>
  </si>
  <si>
    <t>Химочкин Дмитрий Анатольевич</t>
  </si>
  <si>
    <t>Гурина Ирина Анатольевна</t>
  </si>
  <si>
    <t>Редикульцев Денис Владимирович</t>
  </si>
  <si>
    <t>Дряхленков Максим Юрьевич</t>
  </si>
  <si>
    <t>Плотникова Марина Владимировна</t>
  </si>
  <si>
    <t>Соловьев Дмитрий Сергеевич</t>
  </si>
  <si>
    <t>Смолина Юлия Ивановна</t>
  </si>
  <si>
    <t>Харисова Галина Корнеевна</t>
  </si>
  <si>
    <t>Чучалина Альбина Ильдусовна</t>
  </si>
  <si>
    <t>Ананьева Зоя Витальевна</t>
  </si>
  <si>
    <t>Новоселов Станислав Викторович</t>
  </si>
  <si>
    <t>Илгашева Елена Алексеевна</t>
  </si>
  <si>
    <t>Хусяинов Алексей Борисович</t>
  </si>
  <si>
    <t>Аббасова Нелля Камаловна</t>
  </si>
  <si>
    <t>Худоногова Маргарита Андреевна</t>
  </si>
  <si>
    <t>Волощук Татьяна Александровна</t>
  </si>
  <si>
    <t>Первый зам.нач.управления по комплектац.</t>
  </si>
  <si>
    <t>Клапанюк Виктор Неонилович</t>
  </si>
  <si>
    <t>Соловьева Эльвира Дамировна</t>
  </si>
  <si>
    <t>Управление по организации страховой защиты</t>
  </si>
  <si>
    <t>Пунтусов Олег Владимирович</t>
  </si>
  <si>
    <t>Шагин Вячеслав Александрович</t>
  </si>
  <si>
    <t>Яхин Фоат Фаритович</t>
  </si>
  <si>
    <t>Рахманин Алексей Николаевич</t>
  </si>
  <si>
    <t>Цветкова Татьяна Викторовна</t>
  </si>
  <si>
    <t>Голочалов Евгений Николаевич</t>
  </si>
  <si>
    <t>Управлене внутреннего контроля</t>
  </si>
  <si>
    <t>Ведйщий специалист</t>
  </si>
  <si>
    <t>Задорожныйй Александр Владимирович</t>
  </si>
  <si>
    <t>Шаталов Сергей Юрьевич</t>
  </si>
  <si>
    <t>Кулинченко Алла Сергеевна</t>
  </si>
  <si>
    <t>Сысуева Наталья Геннадьевна</t>
  </si>
  <si>
    <t>Управление организации оплаты труда</t>
  </si>
  <si>
    <t xml:space="preserve">Ведущий инженер. </t>
  </si>
  <si>
    <t>Пустовит Екатерина Ивановна</t>
  </si>
  <si>
    <t>Бауэр Артем Викторович</t>
  </si>
  <si>
    <t>Галиева Элина Альбертовна</t>
  </si>
  <si>
    <t>Трофимов Павел Павлович</t>
  </si>
  <si>
    <t>Чирков Игорь Витальевич</t>
  </si>
  <si>
    <t>Юристконсульт I категории</t>
  </si>
  <si>
    <t>Харин Евгений Валерьевич</t>
  </si>
  <si>
    <t>Ведущий инженео</t>
  </si>
  <si>
    <t>Смертина Елена Викторовна</t>
  </si>
  <si>
    <t>Петрухин Игорь Витальевич</t>
  </si>
  <si>
    <t>Голубичная Светлана Витальевна</t>
  </si>
  <si>
    <t>Ковалев Евгений Александрович</t>
  </si>
  <si>
    <t>Назарова Ойниса Юлдашевна</t>
  </si>
  <si>
    <t>Марченкова Иллона Сергеевна</t>
  </si>
  <si>
    <t>Милодоров Александр Евгеньевич</t>
  </si>
  <si>
    <t>Прововое управление</t>
  </si>
  <si>
    <t>Захаров Дмитрий Игоревич</t>
  </si>
  <si>
    <t>Носова Кира Владиславовна</t>
  </si>
  <si>
    <t>Малюгина Инга Викторовна</t>
  </si>
  <si>
    <t>Тимчекно Денис Сергеевич</t>
  </si>
  <si>
    <t>Бессмертных Евгения Сергеевна</t>
  </si>
  <si>
    <t>Захарчук Андрей Сергеевич</t>
  </si>
  <si>
    <t>Соколов Александр Валериевич</t>
  </si>
  <si>
    <t>Ворошилина Татьяна Владимировна</t>
  </si>
  <si>
    <t>Мос</t>
  </si>
  <si>
    <t>Шалимов Алексей Анатольевич</t>
  </si>
  <si>
    <t>Акмаева Аида Аератовна</t>
  </si>
  <si>
    <t>Энгельман Юлия Александровна</t>
  </si>
  <si>
    <t>Старкова Диана Викторовна</t>
  </si>
  <si>
    <t>Чуркин Данил Васильевич</t>
  </si>
  <si>
    <t>Голев Анатолий Эдуардович</t>
  </si>
  <si>
    <t>Тункив Игорь Романович</t>
  </si>
  <si>
    <t>Седунова Ольга Васильевна</t>
  </si>
  <si>
    <t>Голубев Дмитрий Анатольевич</t>
  </si>
  <si>
    <t>Фархутдинова Оксана Анатольевна</t>
  </si>
  <si>
    <t>Некряч Евгений Алексеевич</t>
  </si>
  <si>
    <t>Лапин Михаил Олегович</t>
  </si>
  <si>
    <t>Малинин Валерий Александрович</t>
  </si>
  <si>
    <t>Безверхняя Ирина Юрьевна</t>
  </si>
  <si>
    <t>Нугаева Гульфира Миннибаевна</t>
  </si>
  <si>
    <t>Чирков Игорь Вильевич</t>
  </si>
  <si>
    <t>Пухленкин Роман Анатольевич</t>
  </si>
  <si>
    <t>Кириллов Олег Александрович</t>
  </si>
  <si>
    <t>Задорожный Алевсандр Владимирович</t>
  </si>
  <si>
    <t>Кисткин Александр Викторович</t>
  </si>
  <si>
    <t>Батырбаев Тимур Фаатович</t>
  </si>
  <si>
    <t>Валеев Ранис Айратович</t>
  </si>
  <si>
    <t>Голубева Екатерина Юрьевна</t>
  </si>
  <si>
    <t>Щинова Евгения Валерьевна</t>
  </si>
  <si>
    <t>Рахимов Ильсур Ринатович</t>
  </si>
  <si>
    <t>Ромашова Диана Петровна</t>
  </si>
  <si>
    <t>Бобер Ирина Петровна</t>
  </si>
  <si>
    <t>Фурзиков Илья Евгеньевич</t>
  </si>
  <si>
    <t>Асадчая Татьяна Владимировна</t>
  </si>
  <si>
    <t>Романив Энже Фанисовна</t>
  </si>
  <si>
    <t>Осыко Яна Шахиновна</t>
  </si>
  <si>
    <t>Стусь Мария Николаевна</t>
  </si>
  <si>
    <t>Сорочук Елена Сергеевна</t>
  </si>
  <si>
    <t>Зуев Александр Владимирович</t>
  </si>
  <si>
    <t>Шамгунова Регина Раисовна</t>
  </si>
  <si>
    <t>Балтабаева Юлия Валерьевна</t>
  </si>
  <si>
    <t>Бородаева Мария Николаевна</t>
  </si>
  <si>
    <t xml:space="preserve">Управление по  координации сбыта нефтепродуктов </t>
  </si>
  <si>
    <t>Фомин Александр Сергеевич</t>
  </si>
  <si>
    <t>Кретинина Мария Александровна</t>
  </si>
  <si>
    <t>Гайнуллина Айгуль Ильфатовна</t>
  </si>
  <si>
    <t>Захаров Андрей Андреевич</t>
  </si>
  <si>
    <t>Мельников Олег Петрович</t>
  </si>
  <si>
    <t>Белугин Дмитрий Анатольевич</t>
  </si>
  <si>
    <t>Платонова Оксана Владимировна</t>
  </si>
  <si>
    <t>Бабченков Сергей Александрович</t>
  </si>
  <si>
    <t>Масных Дмитрий Александрович</t>
  </si>
  <si>
    <t>Логинова Елизавета Владимировна</t>
  </si>
  <si>
    <t>Фархутдинова Оксана-Анатольевна</t>
  </si>
  <si>
    <t>Климин Денис Юрьевич</t>
  </si>
  <si>
    <t>Николаева Светлана Ивановна</t>
  </si>
  <si>
    <t>Васильева Ольга Валентиновна</t>
  </si>
  <si>
    <t>Управлление по работе с кадрами</t>
  </si>
  <si>
    <t>Тихомирова Анна Александровна</t>
  </si>
  <si>
    <t>Тамилина Наталья Валерьевна</t>
  </si>
  <si>
    <t>Могильный  Артем Владимирович</t>
  </si>
  <si>
    <t>Костиогло Илья Михайлович</t>
  </si>
  <si>
    <t>Моргунов Павел Павлович</t>
  </si>
  <si>
    <t>Костюченко Алексей Юрьевич</t>
  </si>
  <si>
    <t>Высоцкий Артем Вячеславович</t>
  </si>
  <si>
    <t>Бойко Александр Сергеевич</t>
  </si>
  <si>
    <t>Бандурова Виктория Александровна</t>
  </si>
  <si>
    <t>Басырова Ирина Евгеньевна</t>
  </si>
  <si>
    <t>Рашевский Вячеслав Сергеевич</t>
  </si>
  <si>
    <t>Макеева Равия Марксовна</t>
  </si>
  <si>
    <t>Ковалевский Владимир Владимирович</t>
  </si>
  <si>
    <t>Смирнова Лина Анатольевна</t>
  </si>
  <si>
    <t>Чураков Александр Борисович</t>
  </si>
  <si>
    <t>Панченко Кирилл Борисович</t>
  </si>
  <si>
    <t>МеденцеваТатьяна Александровна</t>
  </si>
  <si>
    <t>Шилова Елена Анатольевна</t>
  </si>
  <si>
    <t>Шунин Александр Сергеевич</t>
  </si>
  <si>
    <t>Бурнышева Елена Федорова</t>
  </si>
  <si>
    <t>Пушкарева Ирина Александровна</t>
  </si>
  <si>
    <t>Ермакова Екатерина Александровна</t>
  </si>
  <si>
    <t>Петрик Владимир Дмитриевич</t>
  </si>
  <si>
    <t>Деринг Юлия Сергеевна</t>
  </si>
  <si>
    <t>Вершинина Анастасия Александровна</t>
  </si>
  <si>
    <t>Журавлева Ирина Алексеевна</t>
  </si>
  <si>
    <t>Истомина Полина Леонидовна</t>
  </si>
  <si>
    <t>Мурахин Максим Геннадьевич</t>
  </si>
  <si>
    <t>Итого</t>
  </si>
  <si>
    <t>Начальника управления</t>
  </si>
  <si>
    <t>Зиновьева Ирина Николаевна</t>
  </si>
  <si>
    <t>Дымочка Алексей Николаевич</t>
  </si>
  <si>
    <t>Газетова Ирина Петровна</t>
  </si>
  <si>
    <t>Гусева Ольга Александровна</t>
  </si>
  <si>
    <t>Пахолков Виктор Александрович</t>
  </si>
  <si>
    <t>Хорев Константин Олегович</t>
  </si>
  <si>
    <t>Эльзессер Андрей Богданович</t>
  </si>
  <si>
    <t>Чех Виталий Федорович</t>
  </si>
  <si>
    <t>Мусин Вадим Рахимьянович</t>
  </si>
  <si>
    <t>Браташов Вадим Николаевич</t>
  </si>
  <si>
    <t>Подлевский Алексей Александрович</t>
  </si>
  <si>
    <t>Пахалков Андрей Витальевич</t>
  </si>
  <si>
    <t>Пронин Егор Анатольевич</t>
  </si>
  <si>
    <t>Инженер I  категории</t>
  </si>
  <si>
    <t>Латыпова Карина Ринатовна</t>
  </si>
  <si>
    <t>Шкарлет Виктория Юрьевна</t>
  </si>
  <si>
    <t>Управление комерческо-сбытовой деятельности</t>
  </si>
  <si>
    <t>Меженский Алексей Анатольевич</t>
  </si>
  <si>
    <t>Шаповалова Светлана Владимировна</t>
  </si>
  <si>
    <t>Семенова Ольга Ивановна</t>
  </si>
  <si>
    <t>Мосин Роман Алексеевич</t>
  </si>
  <si>
    <t>Управление по теущему и капитальному ремонту скважин</t>
  </si>
  <si>
    <t>Шарапов Руслан Борисович</t>
  </si>
  <si>
    <t>Халезов Виталий Александрович</t>
  </si>
  <si>
    <t>Управление капитального строительства</t>
  </si>
  <si>
    <t>Камалова Лилия Евгеньевна</t>
  </si>
  <si>
    <t xml:space="preserve">Управление по имущественным отношениям ПАО "СНГ" </t>
  </si>
  <si>
    <t>Михалёв Евгений Владимирович</t>
  </si>
  <si>
    <t>Гафуров Руслан аликович</t>
  </si>
  <si>
    <t>Шаранина Анна Михайловна</t>
  </si>
  <si>
    <t>Беляков Сергей Юрьевич</t>
  </si>
  <si>
    <t>Чувилова Ольга Александровна</t>
  </si>
  <si>
    <t>Бондаренко Владимир Владимирович</t>
  </si>
  <si>
    <t>Ведущий спрециалист по защите информации</t>
  </si>
  <si>
    <t xml:space="preserve">Заместитель главного инженера </t>
  </si>
  <si>
    <t>Расальскис Станислав Александрович</t>
  </si>
  <si>
    <t>Яворский Максим Алексеевич</t>
  </si>
  <si>
    <t>Бобыкин Максим Михайлович</t>
  </si>
  <si>
    <t>Шпакова Наталья Михайловна</t>
  </si>
  <si>
    <t>Перехрест Оксана Сергеевна</t>
  </si>
  <si>
    <t>Управление перспективного развития на территории Республики Саха (Якутия) и Восточной Сибири</t>
  </si>
  <si>
    <t>Новопашин Андрей Александрович</t>
  </si>
  <si>
    <t>Василенко Дарья Сергеевна</t>
  </si>
  <si>
    <t>Баранов Михаил Александрович</t>
  </si>
  <si>
    <t>Воложанинов Павел Владимирович</t>
  </si>
  <si>
    <t>Капралов Дмитрий Юрьевич</t>
  </si>
  <si>
    <t>Петрова Анна Вячеславовна</t>
  </si>
  <si>
    <t>Костенко Екатерина Александровна</t>
  </si>
  <si>
    <t>Чудина Анастасия Геннадьевна</t>
  </si>
  <si>
    <t>Инженер-программист II кат</t>
  </si>
  <si>
    <t>Санкт-Пет</t>
  </si>
  <si>
    <t>Московское представительство</t>
  </si>
  <si>
    <t>Крекер Лариса Валентиновна</t>
  </si>
  <si>
    <t>Вандин Дмитрий Александрович</t>
  </si>
  <si>
    <t>Самусенкова Екатерина Сергеевна</t>
  </si>
  <si>
    <t>Орденас Андрей Васильевич</t>
  </si>
  <si>
    <t>Рудаков Алексей Николаевич</t>
  </si>
  <si>
    <t>Урусов Дмитрий Борисович</t>
  </si>
  <si>
    <t>Шилкина Екатерина Юрьевна</t>
  </si>
  <si>
    <t>Елисеева Динара Салаватовна</t>
  </si>
  <si>
    <t>Богомолова Ксения Леонидовна</t>
  </si>
  <si>
    <t>Сабадаш Стелла Георгиевна</t>
  </si>
  <si>
    <t>Почухайлов Сергей Иванович</t>
  </si>
  <si>
    <t>Соболевская Татьяна Васильевна</t>
  </si>
  <si>
    <t>Даскалова Гергана Бисеровна</t>
  </si>
  <si>
    <t>Жебит Павел Михайлович</t>
  </si>
  <si>
    <t>Управление главного маркшейдера</t>
  </si>
  <si>
    <t>Пищальникова Ксения Сергеевна</t>
  </si>
  <si>
    <t>Ткаченко Светлана Андреевна</t>
  </si>
  <si>
    <t>Коршунов Виталий Александрович</t>
  </si>
  <si>
    <t>Управление экологической безопасности и природапользования</t>
  </si>
  <si>
    <t>Санкт-Петербург</t>
  </si>
  <si>
    <t>Букатин Юрий Владимирович</t>
  </si>
  <si>
    <t>Скворцов Иван Михайлович</t>
  </si>
  <si>
    <t>Чобану Теодор Георгиевич</t>
  </si>
  <si>
    <t>Мокеева Елена Витальевна</t>
  </si>
  <si>
    <t>Карпухина Екатерина Андреевна</t>
  </si>
  <si>
    <t>Бедек Наталья Сергеевна</t>
  </si>
  <si>
    <t>Рукодеев Евгений Сергеевич</t>
  </si>
  <si>
    <t>Олейник Илья Александрович</t>
  </si>
  <si>
    <t>Василева Людмила Емиловна</t>
  </si>
  <si>
    <t>Сысоев Кирилл Александрович</t>
  </si>
  <si>
    <t>Управление по текущему и капитальному ремонту скважик</t>
  </si>
  <si>
    <t>Тюмень</t>
  </si>
  <si>
    <t>Сиников Рауль Мансурович</t>
  </si>
  <si>
    <t>Романченко Светлана Николаевна</t>
  </si>
  <si>
    <t>Вагин Игорь Николаевич</t>
  </si>
  <si>
    <t>Скопченко Татьяна Ивановна</t>
  </si>
  <si>
    <t>Мызгин Артём Валерьевич</t>
  </si>
  <si>
    <t>Бухтиярова Ольга Ярославовна</t>
  </si>
  <si>
    <t>Ракчеев Дмитрий Васильевич</t>
  </si>
  <si>
    <t>Гаврилов Денис Сергеевич</t>
  </si>
  <si>
    <t>Ишков Сергей Анатольевич</t>
  </si>
  <si>
    <t xml:space="preserve">Скворцов Иван Михайлович </t>
  </si>
  <si>
    <t>Миннуллин Ренат Фанильевич</t>
  </si>
  <si>
    <t>Главный механик-начальник отдела</t>
  </si>
  <si>
    <t>Хрящёв Евгений Николаевич</t>
  </si>
  <si>
    <t>Рогачев Антон Сергеевич</t>
  </si>
  <si>
    <t>Зам. начальника управления по геолого-разведочным работам</t>
  </si>
  <si>
    <t>Окладов Максим Владимирович</t>
  </si>
  <si>
    <t>Бондаренко Ольга Юрьевна</t>
  </si>
  <si>
    <t>Автомонов Евгений Викторович</t>
  </si>
  <si>
    <t>Землякова Вероника Анатольевна</t>
  </si>
  <si>
    <t xml:space="preserve">Управление промышленной безопасности и охраны труда </t>
  </si>
  <si>
    <t>Хрящев Евгений Николаевич</t>
  </si>
  <si>
    <t>Негру Александр Вячеславович</t>
  </si>
  <si>
    <t>Муглетдинова Эльмира Ульфатовна</t>
  </si>
  <si>
    <t>Шамрай Юлия Сергеевна</t>
  </si>
  <si>
    <t>Холомеев Вячеслав Иванович</t>
  </si>
  <si>
    <t>Александров Олег Александрович</t>
  </si>
  <si>
    <t>Постыляков Павел Николаевич</t>
  </si>
  <si>
    <t>Заместитель нач управления</t>
  </si>
  <si>
    <t>Сыртланов Ильдар Искандерович</t>
  </si>
  <si>
    <t>Пахтусов Алексей Иванович</t>
  </si>
  <si>
    <t>Кудинов Федор Геннадьевич</t>
  </si>
  <si>
    <t>Башмаков Илья Васильевич</t>
  </si>
  <si>
    <t>Онегова Екатерина Олеговна</t>
  </si>
  <si>
    <t>Яхудина Римма Маратовна</t>
  </si>
  <si>
    <t>Недвижаев Роман Евгеньевич</t>
  </si>
  <si>
    <t>Медведев Артем Николаевич</t>
  </si>
  <si>
    <t>Никифоров Виталий Владимирович</t>
  </si>
  <si>
    <t>Захарченко Алексей Анатольевич</t>
  </si>
  <si>
    <t>Круглов Андрей Игоревич</t>
  </si>
  <si>
    <t>Береговой Данил Викторович</t>
  </si>
  <si>
    <t>Костюкович Ирина Николаевна</t>
  </si>
  <si>
    <t>Рябова Дарья Андреевна</t>
  </si>
  <si>
    <t>Кузьмин Алексей Викторович</t>
  </si>
  <si>
    <t>Желудович Татьяна Николаевна</t>
  </si>
  <si>
    <t>Теребилкина Елена Александровна</t>
  </si>
  <si>
    <t>Писарев Дмитрий Сергеевич</t>
  </si>
  <si>
    <t>Тимочка Алексей Вячеславович</t>
  </si>
  <si>
    <t xml:space="preserve">  </t>
  </si>
  <si>
    <t>Рябкова Мария Николаевна</t>
  </si>
  <si>
    <t>Кузнецова Ксения Валерьевна</t>
  </si>
  <si>
    <t>Секретариат</t>
  </si>
  <si>
    <t>Самохвалов Никита Сергеевич</t>
  </si>
  <si>
    <t>Инженер  I категории</t>
  </si>
  <si>
    <t>Захаров Андрей Петрович</t>
  </si>
  <si>
    <t>Москалец Оксана Александровна</t>
  </si>
  <si>
    <t>Митрофанов Алексейц Евгеньевич</t>
  </si>
  <si>
    <t>Давлетов Артем Азгатович</t>
  </si>
  <si>
    <t>Инженер  II категории</t>
  </si>
  <si>
    <t>Комарницкая Татьяна Леонидовна</t>
  </si>
  <si>
    <t>Ихсанов Денис Ирикович</t>
  </si>
  <si>
    <t>касса</t>
  </si>
  <si>
    <t>Мухоморкин Александр Владимирович</t>
  </si>
  <si>
    <t>Волкова Ольга Александровна</t>
  </si>
  <si>
    <t>Чернакова Дарья Андреевна</t>
  </si>
  <si>
    <t>Кправление делами</t>
  </si>
  <si>
    <t>Мирзоева Ольга Александровна</t>
  </si>
  <si>
    <t>Васильева Виктория Юрьевна</t>
  </si>
  <si>
    <t>Могильный Артем Владимирович</t>
  </si>
  <si>
    <t>Управлении по организации обслуживания производства</t>
  </si>
  <si>
    <t xml:space="preserve">Управление по работе с кадрами </t>
  </si>
  <si>
    <t>Шамратова Юлия Варфачитиновна</t>
  </si>
  <si>
    <t>Пищальников Артем Олегович</t>
  </si>
  <si>
    <t>Арбеева Елена Николаевна</t>
  </si>
  <si>
    <t>Персидская Елена Владимировна</t>
  </si>
  <si>
    <t>Болдырева Оксана Вячеславовна</t>
  </si>
  <si>
    <t>Ильичева Татьяна Сергеевна</t>
  </si>
  <si>
    <t>Управвление внешне-экономической деятельности</t>
  </si>
  <si>
    <t>Закиров Марат Ильмиролвич</t>
  </si>
  <si>
    <t>Бондаренко Антон Александрович</t>
  </si>
  <si>
    <t>Отдел информационных технологий</t>
  </si>
  <si>
    <t>Лукьянова Ольга Леонидовна</t>
  </si>
  <si>
    <t>Косолапова Ольга Константиновна</t>
  </si>
  <si>
    <t>Геолог  I категории</t>
  </si>
  <si>
    <t>Поташева Лилия Расуловна</t>
  </si>
  <si>
    <t>Фетисов Павел Сергеевич</t>
  </si>
  <si>
    <t>Зудихина Ольга Рузиловна</t>
  </si>
  <si>
    <t>Деренок Ирина Алексеевна</t>
  </si>
  <si>
    <t>Недвижаев Павел Евгеньевич</t>
  </si>
  <si>
    <t>Кушнерчук Оксана Владимировна</t>
  </si>
  <si>
    <t>Гилязов Эдуард Бадавиевич</t>
  </si>
  <si>
    <t>Полякова Елена Анатольевна</t>
  </si>
  <si>
    <t>Логанова Надежда Витальевна</t>
  </si>
  <si>
    <t>Толстова Дарья Сергеевна</t>
  </si>
  <si>
    <t>Шкарбан Анастасия Александровна</t>
  </si>
  <si>
    <t>Новаченко Светлана Ивановна</t>
  </si>
  <si>
    <t>Ротова Анастасия Вячеславовна</t>
  </si>
  <si>
    <t>Шершова Ольга Олеговна</t>
  </si>
  <si>
    <t>Пынзару Оксана Николаевна</t>
  </si>
  <si>
    <t>Лобова Анастасия Анатольевна</t>
  </si>
  <si>
    <t>Мешкова Елена Николаевна</t>
  </si>
  <si>
    <t>Зиганшина Лилия Шамилевна</t>
  </si>
  <si>
    <t>Якушева Анастасия Анатольевна</t>
  </si>
  <si>
    <t>Смирнов Антон Юрьевич</t>
  </si>
  <si>
    <t>Гасяк Светлана Васильевна</t>
  </si>
  <si>
    <t>Захваткина Светлана Игоревна</t>
  </si>
  <si>
    <t>Олейник Маргарита Олеговна</t>
  </si>
  <si>
    <t>Бобраков Андрей Андреевич</t>
  </si>
  <si>
    <t>Гончарова Анна Андреевна</t>
  </si>
  <si>
    <t>Панфилова Татьяна Владимировна</t>
  </si>
  <si>
    <t>Биньковская Наталья Вавильевна</t>
  </si>
  <si>
    <t>Орлова Юлия Николаевна</t>
  </si>
  <si>
    <t>Алексеева Александра Александровна</t>
  </si>
  <si>
    <t>Корепанов Андрей Александрович</t>
  </si>
  <si>
    <t>Спецмалист</t>
  </si>
  <si>
    <t>Якушева Анастасия Анатальевна</t>
  </si>
  <si>
    <t>Коренкова Елена Александровна</t>
  </si>
  <si>
    <t>Маркин Владислав Алексеевич</t>
  </si>
  <si>
    <t>Валиева Наталья Владимировна</t>
  </si>
  <si>
    <t>Душин Федор Сергеевич</t>
  </si>
  <si>
    <t>Ефимов Сергей Григорьевич</t>
  </si>
  <si>
    <t>Заика Алена Николаевна</t>
  </si>
  <si>
    <t>специалист</t>
  </si>
  <si>
    <t>Фиоктистова Ирина Юрьевна</t>
  </si>
  <si>
    <t>Филиппова Анастасия Федоровна</t>
  </si>
  <si>
    <t>Хвостов Николай Владимирович</t>
  </si>
  <si>
    <t>Лукьянова Ксения Романовна</t>
  </si>
  <si>
    <t>Шавель Галина Николаевна</t>
  </si>
  <si>
    <t>Сулейманов Рустем Ильясович</t>
  </si>
  <si>
    <t>Управление технологическоно транспорта, спецтехники и автомобильных дорог</t>
  </si>
  <si>
    <t>Чернов Александр Федорович</t>
  </si>
  <si>
    <t>Техтическое управление</t>
  </si>
  <si>
    <t>в/о</t>
  </si>
  <si>
    <t>сумма</t>
  </si>
  <si>
    <t>Митрофанов Алексей Евгеньевич</t>
  </si>
  <si>
    <t xml:space="preserve">Первый заместитель начальника управления </t>
  </si>
  <si>
    <t>Павлов Роман Васильевич</t>
  </si>
  <si>
    <t>Новожилова Оксана Викторовна</t>
  </si>
  <si>
    <t>Ермолаев Павел Вячеславович</t>
  </si>
  <si>
    <t>Абдукадирова Сарвиноз Хамракуловна</t>
  </si>
  <si>
    <t>Главан Анна Андреевна</t>
  </si>
  <si>
    <t>И.В.Бахтинова</t>
  </si>
  <si>
    <t>Левшинов Роман Викторович</t>
  </si>
  <si>
    <t>Управление технологического транспорта, спецтехники и автомобильных додог</t>
  </si>
  <si>
    <t xml:space="preserve">Жебит Павел Михайлович </t>
  </si>
  <si>
    <t>Стадник Виталий Николаевич</t>
  </si>
  <si>
    <t>Гордиенко Всеволод Анатольевич</t>
  </si>
  <si>
    <t>Ведерникова Мария Борисовна</t>
  </si>
  <si>
    <t>Дороболюк Сергей Владимирович</t>
  </si>
  <si>
    <t>Букина Анна Дмитриевна</t>
  </si>
  <si>
    <t>Петухов Николай Александрович</t>
  </si>
  <si>
    <t>Инженер-программист  I категории</t>
  </si>
  <si>
    <t>Горшков Алексей Николаевич</t>
  </si>
  <si>
    <t>Васильченко Дмитрий Николаевич</t>
  </si>
  <si>
    <t>Управление капитального строительства производственныъ объектов</t>
  </si>
  <si>
    <t>Канарчик Александра Андреевна</t>
  </si>
  <si>
    <t>Управление стратегических исследований и разработак</t>
  </si>
  <si>
    <t>Мызгин Артем Валерьевич</t>
  </si>
  <si>
    <t>Биньковская Наталья Васильевна</t>
  </si>
  <si>
    <t>Цветкова Мария Викторовна</t>
  </si>
  <si>
    <t>Василева Людмила Емилова</t>
  </si>
  <si>
    <t>Шумейко Анастасия Николаевна</t>
  </si>
  <si>
    <t>Потапов Андрей Юрьевич</t>
  </si>
  <si>
    <t>Юрченко Полина Сергеевна</t>
  </si>
  <si>
    <t>Журба Евгений Евгеньевич</t>
  </si>
  <si>
    <t>Миннулин Ренат Фанильевич</t>
  </si>
  <si>
    <t>Главны механик - начальник отдела</t>
  </si>
  <si>
    <t>Житкевич Регина Сергеевна</t>
  </si>
  <si>
    <t>Афанасьева Инна Алексеевна</t>
  </si>
  <si>
    <t>Карасова Кристина Игоревна</t>
  </si>
  <si>
    <t xml:space="preserve">КОМАНДИРОВОЧНЫХ РАСХОДОВ НЕПРОИЗВОДСТВЕННОГО </t>
  </si>
  <si>
    <t xml:space="preserve">ХАРАКТЕРА И ПЕРЕДАННЫХ В СТРУКТУРНЫЕ </t>
  </si>
  <si>
    <t>ПОДРАЗДЕЛЕНИЯ</t>
  </si>
  <si>
    <t>ВО</t>
  </si>
  <si>
    <t>Примеч</t>
  </si>
  <si>
    <t>x402</t>
  </si>
  <si>
    <t>БЕЗ PR</t>
  </si>
  <si>
    <t xml:space="preserve">НА УДЕРЖАНИЕ ИЗ ЗАРАБОТНОЙ ПЛАТЫ </t>
  </si>
  <si>
    <t>СУММА</t>
  </si>
  <si>
    <t>ПРИМЕЧАНИЕ</t>
  </si>
  <si>
    <t>0929</t>
  </si>
  <si>
    <t xml:space="preserve">СПИСОК НА УДЕРЖАНИЕ ИЗ ЗАРАБОТНОЙ ПЛАТЫ </t>
  </si>
  <si>
    <t>ИТОГО АУП</t>
  </si>
  <si>
    <t>ВСЕГО</t>
  </si>
  <si>
    <t>0935</t>
  </si>
  <si>
    <t xml:space="preserve">ИТОГО </t>
  </si>
  <si>
    <t>ОБЩИЙ СПИСОК 935 В/У ПРОШЕДШЕГО В ТЕЧЕНИИ МЕСЯЦА+НАЧИСЛЕННОГО В ЗАРПЛАТУ</t>
  </si>
  <si>
    <t>ДАТА</t>
  </si>
  <si>
    <t>ПО КОМАНДИРОВОЧНЫМ РАСХАДАМ СВЕРХ НОРМ</t>
  </si>
  <si>
    <t>0613</t>
  </si>
  <si>
    <t>(дн*2000=)</t>
  </si>
  <si>
    <t>ПО КОМАНДИРОВОЧНЫМ РАСХОДАМ СВЕРХ НОРМ</t>
  </si>
  <si>
    <t>ИТОГО ПО PR</t>
  </si>
  <si>
    <t xml:space="preserve">СВЕДЕНИЯ  по  НДФЛ </t>
  </si>
  <si>
    <t>НОБ ДЛЯ ИСЧИСЛЕНИЯ НДФЛ ЗА МЕСЯЦ</t>
  </si>
  <si>
    <t>НОБ удержанного НДФЛ в течении месяца</t>
  </si>
  <si>
    <t>0604</t>
  </si>
  <si>
    <t xml:space="preserve">НОБ для удержания  НДФЛ  из з/платы </t>
  </si>
  <si>
    <t>ПО ГЛАВНОЙ КНИГЕ</t>
  </si>
  <si>
    <t>СВЕДЕНИЯ  по  НДФЛ по ПЕРВЫМ РУКОВОДИТЕЛЯМ</t>
  </si>
  <si>
    <t xml:space="preserve">НОБ для ужержания НДФЛ </t>
  </si>
  <si>
    <t>Для Н.А.Перепелицы подавать 604 в/о одним списком без разделения НОБ</t>
  </si>
  <si>
    <t xml:space="preserve">ЗА АВГУСТ 2021 ГОД </t>
  </si>
  <si>
    <t>0930</t>
  </si>
  <si>
    <t>Косарев Максим Андреевич</t>
  </si>
  <si>
    <t>Стариков Никита Владимирович</t>
  </si>
  <si>
    <t>Захарова Наталья Александровна</t>
  </si>
  <si>
    <t>Нагорнова Евгения Игоревна</t>
  </si>
  <si>
    <t>уволен</t>
  </si>
  <si>
    <t>Шиляева Виктория Ивановна</t>
  </si>
  <si>
    <t>Багынанова Анна Анатольевна</t>
  </si>
  <si>
    <t>Управление информационных безопасности</t>
  </si>
  <si>
    <t>Попкова Валерия Николаевна</t>
  </si>
  <si>
    <t>Кулик Евгений Юрьевич</t>
  </si>
  <si>
    <t>Департамент недропользования и природных ресурсов ХМАО-Югры</t>
  </si>
  <si>
    <t>Афонин Евгений Геннадьевич</t>
  </si>
  <si>
    <t>Ковалевич Артем Вадимович</t>
  </si>
  <si>
    <t>Тужилкин Дмитрий Максимович</t>
  </si>
  <si>
    <t>Тугарин Евгений Михайлович</t>
  </si>
  <si>
    <t>Екатеринбург</t>
  </si>
  <si>
    <t>Самохина Ольга Владимировна</t>
  </si>
  <si>
    <t>Степаненко Василий Владимирович</t>
  </si>
  <si>
    <t>инженер I категории</t>
  </si>
  <si>
    <t>Черник Оксана Анатольевна</t>
  </si>
  <si>
    <t>Газизов Тимур Рамилевич</t>
  </si>
  <si>
    <t>Ерошков Борис Владимирович</t>
  </si>
  <si>
    <t>Гафаров Артур Айратович</t>
  </si>
  <si>
    <t>Филипова Ирина Валериевна</t>
  </si>
  <si>
    <t>Халилов Алик Раилевич</t>
  </si>
  <si>
    <t>Колесникова Марина Александровна</t>
  </si>
  <si>
    <t>Шемякина Мария Юрьевна</t>
  </si>
  <si>
    <t>Закирова Зиля Фазыловна</t>
  </si>
  <si>
    <t>Базилеская Мария Сергеевна</t>
  </si>
  <si>
    <t>Мохонь Светлана Владимировна</t>
  </si>
  <si>
    <t>Фалалеев Виктор Сергеевич</t>
  </si>
  <si>
    <t>Телищенко Михаил Андреевич</t>
  </si>
  <si>
    <t>3205031009 (ком.расходы сверх нормы)                     в/о 614</t>
  </si>
  <si>
    <t>Попова Евгения Игоревна</t>
  </si>
  <si>
    <t>Горшкова Валерия Андреевна</t>
  </si>
  <si>
    <t>Шамионова Айнура Рашитовна</t>
  </si>
  <si>
    <t>Бобровская Ксения Николаевна</t>
  </si>
  <si>
    <t>Смоленцев Константин Николаевич</t>
  </si>
  <si>
    <t>Панов Вадим Петрович</t>
  </si>
  <si>
    <t>Тарасова Вероника Андреевна</t>
  </si>
  <si>
    <t>Киселева Наталья Владимировна</t>
  </si>
  <si>
    <t>Яруллина Инна Анатольевна</t>
  </si>
  <si>
    <t>Петрова Луизи Константиновна</t>
  </si>
  <si>
    <t>Управление по имущественным отношениям ПАО"СНГ" на территории Республики (Саха) Якутия</t>
  </si>
  <si>
    <t>Краснов Виктор Николаевич</t>
  </si>
  <si>
    <t>Дранков Дмитрий Александрович</t>
  </si>
  <si>
    <t>Шишкина Ирина Михайловна</t>
  </si>
  <si>
    <t>Рыткина Юлия Валерьевна</t>
  </si>
  <si>
    <t>Суслов Сергей Сергеевич</t>
  </si>
  <si>
    <t>Воротников Вячеслав Леонидович</t>
  </si>
  <si>
    <t>Курилова Олеся Николаевна</t>
  </si>
  <si>
    <t>Основной</t>
  </si>
  <si>
    <t>Суды</t>
  </si>
  <si>
    <t>до 22 числа каждого месяца</t>
  </si>
  <si>
    <t>Панчишина Елена Викторовна</t>
  </si>
  <si>
    <t>Алексеева Галина Николаевна</t>
  </si>
  <si>
    <t>Гагарина Анна Александровна</t>
  </si>
  <si>
    <t>Сургут</t>
  </si>
  <si>
    <t>Сиднева Екатерина Игоревна</t>
  </si>
  <si>
    <t>Бучнева Диана Алиевна</t>
  </si>
  <si>
    <t>Алексенцева Анжелика Сергеевна</t>
  </si>
  <si>
    <t>Прохоренко Екатерина Владимировна</t>
  </si>
  <si>
    <t>Фаттахова Лиана Радифовна</t>
  </si>
  <si>
    <t>Березина Дарья Александровна</t>
  </si>
  <si>
    <t>Бурик Наталия Михайловна</t>
  </si>
  <si>
    <t>Мочалова Елена Евгеньевна</t>
  </si>
  <si>
    <t>Немченко Юлия Евгеньевна</t>
  </si>
  <si>
    <t>Гуляева Марина Геннадьевна</t>
  </si>
  <si>
    <t>Фарановская Юлия Борисовна</t>
  </si>
  <si>
    <t>Коняхин Тимур Анатольевич</t>
  </si>
  <si>
    <t>Козырев Павел Евгеньевич</t>
  </si>
  <si>
    <t>Попик Кирилл Юрьевич</t>
  </si>
  <si>
    <t>Землянова Оксана Сергеевна</t>
  </si>
  <si>
    <t>Пиркова Наталия Алексеевна</t>
  </si>
  <si>
    <t>Шекляев Евгений Владимирович</t>
  </si>
  <si>
    <t>Ферапонтова Ирина Александровна</t>
  </si>
  <si>
    <t>Управление по организации и обслуживания производства</t>
  </si>
  <si>
    <t>Луцко Елена Валерьевна</t>
  </si>
  <si>
    <t>Цепелева Марианна Петровна</t>
  </si>
  <si>
    <t>Республика Саха (Якутия)</t>
  </si>
  <si>
    <t>приобретение ТМЦ за наличный расчет</t>
  </si>
  <si>
    <t>букеты и композиции из живых цветов</t>
  </si>
  <si>
    <t>Талаканское НГКМ</t>
  </si>
  <si>
    <t>п.Нижнесортымский</t>
  </si>
  <si>
    <t>Звягинцев Евгений Андреевич</t>
  </si>
  <si>
    <t>Захаренков Иван Александрович</t>
  </si>
  <si>
    <t>Специалист по защите информации I категории</t>
  </si>
  <si>
    <t>Гайнуллина Айгуль Ильфировна</t>
  </si>
  <si>
    <t>Кильдиярова Мария Владимировна</t>
  </si>
  <si>
    <t>Ковалева Юлия Григорьевна</t>
  </si>
  <si>
    <t>Базилевсккая Мария Сергеевна</t>
  </si>
  <si>
    <t>Суржик Виктор Валерьевич</t>
  </si>
  <si>
    <t>Пинчук Евгений Владимирович</t>
  </si>
  <si>
    <t>Ловков Владимир Владимирович</t>
  </si>
  <si>
    <t>Леонтьев Денис Андреевич</t>
  </si>
  <si>
    <t>Салахова Диана Динаровна</t>
  </si>
  <si>
    <t>Чубарова Яна Александровна</t>
  </si>
  <si>
    <t>Белова Елена Игоревна</t>
  </si>
  <si>
    <t>Кукуткова Анастасия Павловна</t>
  </si>
  <si>
    <t>Войтович Кристина Николаевна</t>
  </si>
  <si>
    <t>Гусманова Диана Александровна</t>
  </si>
  <si>
    <t>Гуськова Дарья Николаевна</t>
  </si>
  <si>
    <t>Матюшов Евгений Викторович</t>
  </si>
  <si>
    <t>Панькова Татьяна Олеговна</t>
  </si>
  <si>
    <t>Сыгуров Алексей Александрович</t>
  </si>
  <si>
    <t>Талалаева Анна Петровна</t>
  </si>
  <si>
    <t>Кентеладзе Екатерина Валерьевна</t>
  </si>
  <si>
    <t>Техник  I категории</t>
  </si>
  <si>
    <t>Матияка Оксана Степановна</t>
  </si>
  <si>
    <t>Балушкина Татьяна Валерьевна</t>
  </si>
  <si>
    <t>Солодухина Ольга Евгеньевна</t>
  </si>
  <si>
    <t>Чесноков Алексей Борисович</t>
  </si>
  <si>
    <t>Пермякова Анжелика Вячеславовна</t>
  </si>
  <si>
    <t>Крюкова Ксения Константиновна</t>
  </si>
  <si>
    <t>Князева Наталья Михайловна</t>
  </si>
  <si>
    <t>Мудрак Алиса Александровна</t>
  </si>
  <si>
    <t>Талаканское нефтегазоконденсатное месторождение</t>
  </si>
  <si>
    <t>Панина Евгения Антано</t>
  </si>
  <si>
    <t>Портнягина Татьяна Сергеевна</t>
  </si>
  <si>
    <t>Специалист  I категории</t>
  </si>
  <si>
    <t>Каримов Булат Миритович</t>
  </si>
  <si>
    <t>Моисеева Полина Сергеевна</t>
  </si>
  <si>
    <t>Федоров Илья Игоревич</t>
  </si>
  <si>
    <t xml:space="preserve">Ведущий геолог </t>
  </si>
  <si>
    <t>Зинатуллин Артур Наилевич</t>
  </si>
  <si>
    <t>Кумов Владислав Юрьевич</t>
  </si>
  <si>
    <t>Арсланова Регина Фаритовна</t>
  </si>
  <si>
    <t>Юнович Евгений Юрьевич</t>
  </si>
  <si>
    <t>Волков Степан Васильевич</t>
  </si>
  <si>
    <t>Чебатаев Григорий Григорьевич</t>
  </si>
  <si>
    <t>Егорова Роксана Руслановна</t>
  </si>
  <si>
    <t>Геофизик  I категории</t>
  </si>
  <si>
    <t>Попков Вадим Игоревич</t>
  </si>
  <si>
    <t>Исаева Анна Викторовна</t>
  </si>
  <si>
    <t>Зайнуллина Евгения Евгеньевна</t>
  </si>
  <si>
    <t>Гурьева Виктория Юрьевна</t>
  </si>
  <si>
    <t>Нестеров Евгений Евгеньевич</t>
  </si>
  <si>
    <t>Исак Арсений Дмитриевич</t>
  </si>
  <si>
    <t>Коваленко Оксана Викторовна</t>
  </si>
  <si>
    <t>Чернышева Жанна Викторовна</t>
  </si>
  <si>
    <t>Управление экологической безопасности</t>
  </si>
  <si>
    <t>Ткаченко Константин Анатольевич</t>
  </si>
  <si>
    <t>Вайтуков Евгений Юрьевич</t>
  </si>
  <si>
    <t>Дейстер Екатерина Евгеньевна</t>
  </si>
  <si>
    <t>Горохова Наталья Андреевна</t>
  </si>
  <si>
    <t>Якутия</t>
  </si>
  <si>
    <t>Созонов Виталий Александрович</t>
  </si>
  <si>
    <t>Харченко Юлия Васильевна</t>
  </si>
  <si>
    <t>Важенина Лариса Петровна</t>
  </si>
  <si>
    <t>Лопатина Алена Валерьевна</t>
  </si>
  <si>
    <t>Шабаева Татьяна Михайловна</t>
  </si>
  <si>
    <t>Щинникова Елена Владимировна</t>
  </si>
  <si>
    <t>Корюкова Наталия Степановна</t>
  </si>
  <si>
    <t>Пашкевич Максим Васильевич</t>
  </si>
  <si>
    <t>Ларионова Екатерина Александровна</t>
  </si>
  <si>
    <t>Сенаторова Елена Владимировна</t>
  </si>
  <si>
    <t>Колесник Анастасия Сергеевна</t>
  </si>
  <si>
    <t>Управление перспективного развития ПАО "СНГ" на территории РС(Я) и ВС</t>
  </si>
  <si>
    <t>Кирюхин Владимир Александрович</t>
  </si>
  <si>
    <t>Яцух Ольга Николаевна</t>
  </si>
  <si>
    <t>Инженер-програмист I категории</t>
  </si>
  <si>
    <t>Суржиков Виктор Валерьевич</t>
  </si>
  <si>
    <t>Харь Дмитрий Сергеевич</t>
  </si>
  <si>
    <t xml:space="preserve">Юристконсульт </t>
  </si>
  <si>
    <t>Шагабутдинова Алия Загитовна</t>
  </si>
  <si>
    <t>Турсукова Мария Львовна</t>
  </si>
  <si>
    <t>Смородинова Мария Владимировна</t>
  </si>
  <si>
    <t>Коробейникова Марина Геннадьевна</t>
  </si>
  <si>
    <t>якут</t>
  </si>
  <si>
    <t>Карабаева Ирина Анатальевна</t>
  </si>
  <si>
    <t>3205030009 (ком.расходы для НДФЛ)  в/о 634</t>
  </si>
  <si>
    <t>Главный маркшейдер - начальник управления</t>
  </si>
  <si>
    <t>Саха (Якутия)</t>
  </si>
  <si>
    <t>Сычков Дмитрий Владимирович</t>
  </si>
  <si>
    <t>Емелина Ольга Геннадьвна</t>
  </si>
  <si>
    <t>Семинченко Илья Анатольевич</t>
  </si>
  <si>
    <t>Гурьянов Дмитрий Владимирович</t>
  </si>
  <si>
    <t xml:space="preserve">Производственный отдел по подготовке нефти </t>
  </si>
  <si>
    <t>Спринчак Оксана Викторовна</t>
  </si>
  <si>
    <t>Рыбакова Кристина Евгеньевна</t>
  </si>
  <si>
    <t>Дейстер Екатерина вгеньевна</t>
  </si>
  <si>
    <t>Костенюк Вита Александровна</t>
  </si>
  <si>
    <t>Герман Екатерина Александровна</t>
  </si>
  <si>
    <t>Гребенюк Артем Васильевич</t>
  </si>
  <si>
    <t>Беспалов Дмитрий  Юрьевич</t>
  </si>
  <si>
    <t>Асмолова Анна Алексеевна</t>
  </si>
  <si>
    <t>ОЧУ ДПО "Бауманский компьютерный учебный центр "Специалист"</t>
  </si>
  <si>
    <t>Ковальчук Татьяна Александровна</t>
  </si>
  <si>
    <t>Исакова Анастасия Николаевна</t>
  </si>
  <si>
    <t>Ракитина Татьяна Владимировна</t>
  </si>
  <si>
    <t>приобретение ТМЦ (по корпоративной карте)</t>
  </si>
  <si>
    <t>нотариальные расходы</t>
  </si>
  <si>
    <t>Иркутск</t>
  </si>
  <si>
    <t>мероприятие по смете расходов УПРК</t>
  </si>
  <si>
    <t>Сташкин Илья Рудольфович</t>
  </si>
  <si>
    <t>Нижнесортымский</t>
  </si>
  <si>
    <t>НГДУ"Нижнесортымскнефть"</t>
  </si>
  <si>
    <t>Дубов Яков Сергеевич</t>
  </si>
  <si>
    <t>Кустова Татьяна Андреевна</t>
  </si>
  <si>
    <t>Черных Екатерина Юрьевна</t>
  </si>
  <si>
    <t>Калюжный Артем Дмитриевич</t>
  </si>
  <si>
    <t>Султанбеков Сергей Рабионович</t>
  </si>
  <si>
    <t>Уфа</t>
  </si>
  <si>
    <t>Аппарат управления ПАО "Сургутнефтегаз"</t>
  </si>
  <si>
    <t>Талаканское отделение Лянторского ВМУ</t>
  </si>
  <si>
    <t>Чернышев Иван Сергеевич</t>
  </si>
  <si>
    <t>представительские расходы</t>
  </si>
  <si>
    <t>экспресс-доставка документов</t>
  </si>
  <si>
    <t>Федоровский</t>
  </si>
  <si>
    <t>НГДУ"Комсомольскнефть"</t>
  </si>
  <si>
    <t>Лянтор</t>
  </si>
  <si>
    <t>Западно-Туканское м/р</t>
  </si>
  <si>
    <t>НГДУ"Сургутнефть"</t>
  </si>
  <si>
    <t>ПАО"Сургутнефтегаз"</t>
  </si>
  <si>
    <t>Красноярск</t>
  </si>
  <si>
    <t>Третий арбитражный апелляционный суд</t>
  </si>
  <si>
    <t>ПАО "СНГ" Московское представительство</t>
  </si>
  <si>
    <t>пос.Нижнесортымский</t>
  </si>
  <si>
    <t>ПАО "СНГ" Санкт-Петербургское представительство</t>
  </si>
  <si>
    <t>Новосибирск</t>
  </si>
  <si>
    <t>ООО НППГА "ЛУЧ"</t>
  </si>
  <si>
    <t>Ахметшина Валерия Маратовна</t>
  </si>
  <si>
    <t>Ефремов Евгений Владимирович</t>
  </si>
  <si>
    <t>Урубкова Ангелина Александровна</t>
  </si>
  <si>
    <t>Хасанова Ольга Михайловна</t>
  </si>
  <si>
    <t>РЕГИСТРАЦИЯ АВАНСОВЫХ ОТЧЕТОВ ЗА  ЯНВАРЬ  2024 ГОД</t>
  </si>
  <si>
    <t>Управление Федеральной службы по надзору в сфере природопользования по ХМАО-Югре</t>
  </si>
  <si>
    <t>ООО "Институт по проектированию предприятий нефтегазодобывающей и нефтехимической промышленности"</t>
  </si>
  <si>
    <t>Московская школа управления "Сколково"</t>
  </si>
  <si>
    <t>Главное управление МЧС России по ХМАО-Югре</t>
  </si>
  <si>
    <t>Северо-Уральское межрегиональное Управление Росприроднадзора; Главное управление Министерства РФ по делам ГО, чрезвычайным ситуациям и ликвидации последствий стихийных бедствий по Тюменской обл.</t>
  </si>
  <si>
    <t>ВДНХ</t>
  </si>
  <si>
    <t>ЗП</t>
  </si>
  <si>
    <t>Первоуральск, п.Вересовка</t>
  </si>
  <si>
    <t>ООО "СТС - Авто"</t>
  </si>
  <si>
    <t>Надым, ЯНАО</t>
  </si>
  <si>
    <t>Цуканов Кирилл Владимирович</t>
  </si>
  <si>
    <t>"Национальное объединение изыскателей и проектировщиков", "НОПРИЗ"</t>
  </si>
  <si>
    <t>Южно-Нюрымское м/р</t>
  </si>
  <si>
    <t>Санкт-Петербург, Москва</t>
  </si>
  <si>
    <t>Санкт-Петербупгское представительство,ПАО "СНГ" Московское представительство</t>
  </si>
  <si>
    <t>Тверь</t>
  </si>
  <si>
    <t>ООО "Статус гарант"</t>
  </si>
  <si>
    <t>ООО "Ресурс"</t>
  </si>
  <si>
    <t>ФГБОУ ВО "Сибирский государственный университет геосистем и технологий</t>
  </si>
  <si>
    <t>ЧОУ ДПО"Институт повышения квалификации "Интеграл"</t>
  </si>
  <si>
    <t>Курск</t>
  </si>
  <si>
    <t>АО"Курский электроаппаратный завод"</t>
  </si>
  <si>
    <t>Центральный Банк РФ</t>
  </si>
  <si>
    <t>ЧОУ ДПО "Ревизионная школа"</t>
  </si>
  <si>
    <t>Красноярск, Хабаровск</t>
  </si>
  <si>
    <t>ООО "Экопланета", ООО"Растим лес"</t>
  </si>
  <si>
    <t>ООО"Научно-производственное предприятие "СибБурМа"</t>
  </si>
  <si>
    <t>АО"Информационное агенство "Интерфакс"</t>
  </si>
  <si>
    <t>ФГБОУ ВО "Сибирский государственный университет геосистем и технологий"</t>
  </si>
  <si>
    <t>ООО"СпецПроектСервис",ООО"Сервиста";ООО"Перспектива";ООО"Кадастр", Прибайкальский филиал ФГУП "Рослесифорг"</t>
  </si>
  <si>
    <t>Минск</t>
  </si>
  <si>
    <t>ООО"АЭРОДОРСТРОЙ";НАО"ИРМАСТ-ХОЛДИНГ"</t>
  </si>
  <si>
    <t>Южно-Нюрымское месторождение</t>
  </si>
  <si>
    <t>Министерство природных ресурсов и экологии Иркутской области;Межрегиональное управление ФС по надзору в сфере природользования по Иркутской области</t>
  </si>
  <si>
    <t>ФБУ "Территориальный фонд геологической информации по Уральскому федеральному округу" Ханты-Мансийский филиал</t>
  </si>
  <si>
    <t>Надым, Новый-Уренгой</t>
  </si>
  <si>
    <t>Верхненадымский участок недр</t>
  </si>
  <si>
    <t>ООО "КИРИШИАВТОСЕРВИС"</t>
  </si>
  <si>
    <t>АО "Информационное агенство "Интерфакс"</t>
  </si>
  <si>
    <t>Соимлорское, Северо-Лабатьюганское, Верхненадымское, Ватлорское месторождение</t>
  </si>
  <si>
    <t>Туканский, Западно-Туканский лицензионные участки</t>
  </si>
  <si>
    <t>ООО "Уралмаш НГО Холдинг" завод УРБО; ООО "Энергоресурс-инжиниринг"</t>
  </si>
  <si>
    <t>Шахова Юлия Владимировна</t>
  </si>
  <si>
    <t>Семенов Дмитрий Александрович</t>
  </si>
  <si>
    <t>Усмонов Абдумалик Гафорович</t>
  </si>
  <si>
    <t>Батраченко Дмитрий Сергеевич</t>
  </si>
  <si>
    <t>в з/п</t>
  </si>
  <si>
    <t>уволена</t>
  </si>
  <si>
    <t>Москва (19-20 января  91*)</t>
  </si>
  <si>
    <t>ЗА ЯНВАРЬ 2024 ГОД</t>
  </si>
  <si>
    <t xml:space="preserve">ЗА ЯНВАРЬ 2024 ГОД                             </t>
  </si>
  <si>
    <t xml:space="preserve">ЗА ЯНВАРЬ 2024 ГОД </t>
  </si>
  <si>
    <r>
      <t>Штрафы за возврат авиабилета</t>
    </r>
    <r>
      <rPr>
        <b/>
        <sz val="7"/>
        <rFont val="Arial Cyr"/>
        <charset val="204"/>
      </rPr>
      <t xml:space="preserve">  по счету </t>
    </r>
    <r>
      <rPr>
        <b/>
        <u/>
        <sz val="7"/>
        <rFont val="Arial Cyr"/>
        <charset val="204"/>
      </rPr>
      <t>9145010100 - н/у</t>
    </r>
  </si>
  <si>
    <r>
      <t>Штрафы возврат авиабилета</t>
    </r>
    <r>
      <rPr>
        <b/>
        <sz val="7"/>
        <rFont val="Arial Cyr"/>
        <charset val="204"/>
      </rPr>
      <t xml:space="preserve">  по счету </t>
    </r>
    <r>
      <rPr>
        <b/>
        <u/>
        <sz val="7"/>
        <rFont val="Arial Cyr"/>
        <charset val="204"/>
      </rPr>
      <t>9145000000- не н/у</t>
    </r>
  </si>
  <si>
    <r>
      <t>Штрафы за возврат авиабилета</t>
    </r>
    <r>
      <rPr>
        <b/>
        <sz val="7"/>
        <rFont val="Arial Cyr"/>
        <charset val="204"/>
      </rPr>
      <t xml:space="preserve">  по счету </t>
    </r>
    <r>
      <rPr>
        <b/>
        <u/>
        <sz val="7"/>
        <rFont val="Arial Cyr"/>
        <charset val="204"/>
      </rPr>
      <t>9145000000- не н/у</t>
    </r>
  </si>
  <si>
    <t>РЕГИСТРАЦИЯ АВАНСОВЫХ ОТЧЕТОВ ПО КОМАНДИРОВОЧНЫМ РАСХОДАМ ЗА ЯНВАРЬ 2024 ГОД</t>
  </si>
  <si>
    <t>РЕГИСТРАЦИЯ АВАНСОВЫХ ОТЧЕТОВ ПО КОМАНДИРОВОЧНЫМ РАСХОДАМ (СУДЫ) ЗА ЯНВАРЬ 2024 ГОД</t>
  </si>
  <si>
    <t>затраты по якутии</t>
  </si>
  <si>
    <t xml:space="preserve">Льготный проезд    </t>
  </si>
  <si>
    <t>РЕГИСТРАЦИЯ АВАНСОВЫХ ОТЧЕТОВ по ТМЦ ЗА ЯНВАРЬ 2024 ГОД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</si>
</sst>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&quot;р.&quot;_-;\-* #,##0.00&quot;р.&quot;_-;_-* &quot;-&quot;??&quot;р.&quot;_-;_-@_-"/>
    <numFmt numFmtId="165" formatCode="dd/mm/yy;@"/>
  </numFmts>
  <fonts count="7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sz val="10"/>
      <color indexed="10"/>
      <name val="Arial Cyr"/>
      <charset val="204"/>
    </font>
    <font>
      <b/>
      <u/>
      <sz val="7"/>
      <name val="Arial Cyr"/>
      <charset val="204"/>
    </font>
    <font>
      <b/>
      <u/>
      <sz val="10"/>
      <name val="Arial Cyr"/>
      <charset val="204"/>
    </font>
    <font>
      <b/>
      <u/>
      <sz val="8"/>
      <name val="Arial Cyr"/>
      <charset val="204"/>
    </font>
    <font>
      <sz val="11"/>
      <name val="Arial Cyr"/>
      <charset val="204"/>
    </font>
    <font>
      <b/>
      <sz val="7"/>
      <name val="Arial Cyr"/>
      <charset val="204"/>
    </font>
    <font>
      <sz val="13"/>
      <name val="Arial"/>
      <family val="2"/>
      <charset val="204"/>
    </font>
    <font>
      <b/>
      <sz val="13"/>
      <name val="Arial"/>
      <family val="2"/>
      <charset val="204"/>
    </font>
    <font>
      <sz val="13"/>
      <name val="Arial Cyr"/>
      <charset val="204"/>
    </font>
    <font>
      <sz val="9"/>
      <name val="Arial Cyr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5"/>
      <name val="Arial Cyr"/>
      <charset val="204"/>
    </font>
    <font>
      <b/>
      <sz val="9"/>
      <name val="Arial Cyr"/>
      <charset val="204"/>
    </font>
    <font>
      <sz val="9"/>
      <name val="Arial"/>
      <family val="2"/>
      <charset val="204"/>
    </font>
    <font>
      <b/>
      <sz val="12"/>
      <name val="Arial"/>
      <family val="2"/>
      <charset val="204"/>
    </font>
    <font>
      <sz val="11"/>
      <color theme="1"/>
      <name val="Calibri"/>
      <family val="2"/>
      <scheme val="minor"/>
    </font>
    <font>
      <sz val="13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1"/>
      <name val="Arial"/>
      <family val="2"/>
      <charset val="204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theme="1"/>
      <name val="Arial Cyr"/>
      <charset val="204"/>
    </font>
    <font>
      <b/>
      <u/>
      <sz val="8"/>
      <color rgb="FFFF0000"/>
      <name val="Arial Cyr"/>
      <charset val="204"/>
    </font>
    <font>
      <b/>
      <sz val="7"/>
      <color rgb="FFFF0000"/>
      <name val="Arial Cyr"/>
      <charset val="204"/>
    </font>
    <font>
      <b/>
      <sz val="8"/>
      <color rgb="FFFF0000"/>
      <name val="Arial Cyr"/>
      <charset val="204"/>
    </font>
    <font>
      <sz val="18"/>
      <color theme="3"/>
      <name val="Cambria"/>
      <family val="2"/>
      <charset val="204"/>
      <scheme val="major"/>
    </font>
    <font>
      <sz val="8"/>
      <color theme="1"/>
      <name val="Arial Cyr"/>
      <charset val="204"/>
    </font>
    <font>
      <b/>
      <u/>
      <sz val="8"/>
      <color theme="1"/>
      <name val="Arial Cyr"/>
      <charset val="204"/>
    </font>
    <font>
      <sz val="11"/>
      <color rgb="FFC00000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1"/>
      <color indexed="10"/>
      <name val="Arial"/>
      <family val="2"/>
      <charset val="204"/>
    </font>
    <font>
      <b/>
      <sz val="11"/>
      <name val="Calibri"/>
      <family val="2"/>
      <charset val="204"/>
      <scheme val="minor"/>
    </font>
    <font>
      <sz val="13"/>
      <color indexed="10"/>
      <name val="Arial"/>
      <family val="2"/>
      <charset val="204"/>
    </font>
    <font>
      <b/>
      <sz val="11"/>
      <name val="Arial Cyr"/>
      <charset val="204"/>
    </font>
    <font>
      <sz val="10"/>
      <name val="Calibri"/>
      <family val="2"/>
      <charset val="204"/>
      <scheme val="minor"/>
    </font>
    <font>
      <sz val="11"/>
      <color rgb="FFFF0000"/>
      <name val="Arial Cyr"/>
      <charset val="204"/>
    </font>
    <font>
      <sz val="11"/>
      <color rgb="FFFF0000"/>
      <name val="Arial"/>
      <family val="2"/>
      <charset val="204"/>
    </font>
    <font>
      <sz val="11"/>
      <color theme="1"/>
      <name val="Arial"/>
      <family val="2"/>
      <charset val="204"/>
    </font>
    <font>
      <b/>
      <sz val="11"/>
      <color rgb="FF0070C0"/>
      <name val="Calibri"/>
      <family val="2"/>
      <charset val="204"/>
      <scheme val="minor"/>
    </font>
    <font>
      <b/>
      <sz val="11"/>
      <color rgb="FF0070C0"/>
      <name val="Arial Cyr"/>
      <charset val="204"/>
    </font>
    <font>
      <b/>
      <sz val="11"/>
      <color rgb="FFFF0000"/>
      <name val="Arial"/>
      <family val="2"/>
      <charset val="204"/>
    </font>
    <font>
      <sz val="9"/>
      <color theme="1"/>
      <name val="Arial"/>
      <family val="2"/>
      <charset val="204"/>
    </font>
    <font>
      <b/>
      <sz val="13"/>
      <color rgb="FFFF0000"/>
      <name val="Calibri"/>
      <family val="2"/>
      <charset val="204"/>
      <scheme val="minor"/>
    </font>
    <font>
      <sz val="9"/>
      <color rgb="FFFF0000"/>
      <name val="Arial Cyr"/>
      <charset val="204"/>
    </font>
    <font>
      <sz val="9"/>
      <color rgb="FFFF0000"/>
      <name val="Arial"/>
      <family val="2"/>
      <charset val="204"/>
    </font>
    <font>
      <b/>
      <sz val="14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164" fontId="18" fillId="0" borderId="0" applyFont="0" applyFill="0" applyBorder="0" applyAlignment="0" applyProtection="0"/>
    <xf numFmtId="0" fontId="1" fillId="0" borderId="0"/>
    <xf numFmtId="0" fontId="38" fillId="0" borderId="0"/>
    <xf numFmtId="0" fontId="33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3" fillId="0" borderId="0"/>
    <xf numFmtId="0" fontId="33" fillId="0" borderId="0"/>
    <xf numFmtId="0" fontId="18" fillId="0" borderId="0"/>
    <xf numFmtId="0" fontId="51" fillId="0" borderId="0" applyNumberFormat="0" applyFill="0" applyBorder="0" applyAlignment="0" applyProtection="0"/>
    <xf numFmtId="0" fontId="33" fillId="0" borderId="0"/>
  </cellStyleXfs>
  <cellXfs count="711">
    <xf numFmtId="0" fontId="0" fillId="0" borderId="0" xfId="0"/>
    <xf numFmtId="0" fontId="18" fillId="0" borderId="0" xfId="41"/>
    <xf numFmtId="0" fontId="21" fillId="0" borderId="0" xfId="41" applyFont="1"/>
    <xf numFmtId="0" fontId="19" fillId="0" borderId="0" xfId="41" applyFont="1" applyFill="1"/>
    <xf numFmtId="0" fontId="18" fillId="0" borderId="0" xfId="41" applyFont="1" applyBorder="1"/>
    <xf numFmtId="0" fontId="19" fillId="0" borderId="0" xfId="41" applyFont="1" applyFill="1" applyBorder="1"/>
    <xf numFmtId="0" fontId="21" fillId="0" borderId="0" xfId="41" applyFont="1" applyBorder="1"/>
    <xf numFmtId="0" fontId="34" fillId="0" borderId="0" xfId="41" applyFont="1" applyBorder="1"/>
    <xf numFmtId="0" fontId="20" fillId="0" borderId="11" xfId="41" applyFont="1" applyFill="1" applyBorder="1" applyAlignment="1"/>
    <xf numFmtId="0" fontId="20" fillId="0" borderId="11" xfId="41" applyFont="1" applyFill="1" applyBorder="1" applyAlignment="1">
      <alignment horizontal="right"/>
    </xf>
    <xf numFmtId="49" fontId="21" fillId="0" borderId="0" xfId="41" applyNumberFormat="1" applyFont="1"/>
    <xf numFmtId="0" fontId="20" fillId="0" borderId="0" xfId="41" applyFont="1" applyAlignment="1"/>
    <xf numFmtId="0" fontId="20" fillId="0" borderId="0" xfId="41" applyFont="1" applyAlignment="1">
      <alignment horizontal="right"/>
    </xf>
    <xf numFmtId="0" fontId="20" fillId="0" borderId="0" xfId="41" applyFont="1"/>
    <xf numFmtId="2" fontId="21" fillId="0" borderId="0" xfId="41" applyNumberFormat="1" applyFont="1"/>
    <xf numFmtId="2" fontId="21" fillId="0" borderId="0" xfId="41" applyNumberFormat="1" applyFont="1" applyBorder="1"/>
    <xf numFmtId="0" fontId="21" fillId="0" borderId="0" xfId="41" applyFont="1" applyBorder="1" applyAlignment="1">
      <alignment horizontal="justify" vertical="center"/>
    </xf>
    <xf numFmtId="0" fontId="20" fillId="0" borderId="0" xfId="41" applyFont="1" applyFill="1" applyBorder="1"/>
    <xf numFmtId="0" fontId="34" fillId="0" borderId="0" xfId="41" applyFont="1"/>
    <xf numFmtId="2" fontId="34" fillId="0" borderId="0" xfId="41" applyNumberFormat="1" applyFont="1"/>
    <xf numFmtId="0" fontId="34" fillId="0" borderId="0" xfId="41" applyFont="1" applyFill="1" applyAlignment="1">
      <alignment horizontal="left" vertical="center" wrapText="1"/>
    </xf>
    <xf numFmtId="2" fontId="34" fillId="0" borderId="0" xfId="41" applyNumberFormat="1" applyFont="1" applyBorder="1"/>
    <xf numFmtId="0" fontId="34" fillId="0" borderId="0" xfId="41" applyFont="1" applyBorder="1" applyAlignment="1">
      <alignment horizontal="justify" vertical="center"/>
    </xf>
    <xf numFmtId="4" fontId="35" fillId="0" borderId="0" xfId="41" applyNumberFormat="1" applyFont="1" applyFill="1" applyBorder="1" applyAlignment="1">
      <alignment horizontal="center"/>
    </xf>
    <xf numFmtId="1" fontId="20" fillId="0" borderId="0" xfId="41" applyNumberFormat="1" applyFont="1"/>
    <xf numFmtId="1" fontId="20" fillId="0" borderId="0" xfId="41" applyNumberFormat="1" applyFont="1" applyBorder="1"/>
    <xf numFmtId="1" fontId="21" fillId="0" borderId="0" xfId="41" applyNumberFormat="1" applyFont="1"/>
    <xf numFmtId="1" fontId="20" fillId="0" borderId="0" xfId="41" applyNumberFormat="1" applyFont="1" applyFill="1" applyBorder="1"/>
    <xf numFmtId="1" fontId="34" fillId="0" borderId="0" xfId="41" applyNumberFormat="1" applyFont="1"/>
    <xf numFmtId="0" fontId="21" fillId="0" borderId="0" xfId="41" applyFont="1" applyBorder="1"/>
    <xf numFmtId="0" fontId="20" fillId="0" borderId="0" xfId="41" applyFont="1" applyFill="1" applyBorder="1" applyAlignment="1">
      <alignment horizontal="left" vertical="center" wrapText="1"/>
    </xf>
    <xf numFmtId="2" fontId="21" fillId="0" borderId="0" xfId="41" applyNumberFormat="1" applyFont="1" applyBorder="1"/>
    <xf numFmtId="1" fontId="20" fillId="0" borderId="0" xfId="41" applyNumberFormat="1" applyFont="1"/>
    <xf numFmtId="0" fontId="18" fillId="0" borderId="0" xfId="41"/>
    <xf numFmtId="0" fontId="21" fillId="0" borderId="0" xfId="41" applyFont="1"/>
    <xf numFmtId="0" fontId="18" fillId="0" borderId="0" xfId="41" applyFont="1"/>
    <xf numFmtId="1" fontId="18" fillId="0" borderId="0" xfId="41" applyNumberFormat="1" applyFont="1"/>
    <xf numFmtId="49" fontId="18" fillId="0" borderId="0" xfId="41" applyNumberFormat="1" applyFont="1"/>
    <xf numFmtId="0" fontId="18" fillId="0" borderId="0" xfId="41" applyFont="1" applyFill="1"/>
    <xf numFmtId="0" fontId="18" fillId="0" borderId="0" xfId="41" applyFont="1" applyFill="1" applyBorder="1"/>
    <xf numFmtId="0" fontId="26" fillId="0" borderId="0" xfId="41" applyFont="1"/>
    <xf numFmtId="0" fontId="22" fillId="0" borderId="0" xfId="41" applyFont="1" applyFill="1"/>
    <xf numFmtId="2" fontId="18" fillId="0" borderId="0" xfId="41" applyNumberFormat="1" applyFont="1" applyFill="1" applyBorder="1"/>
    <xf numFmtId="0" fontId="21" fillId="0" borderId="0" xfId="41" applyFont="1" applyBorder="1" applyAlignment="1">
      <alignment horizontal="center"/>
    </xf>
    <xf numFmtId="2" fontId="28" fillId="0" borderId="0" xfId="41" applyNumberFormat="1" applyFont="1" applyBorder="1"/>
    <xf numFmtId="2" fontId="28" fillId="0" borderId="11" xfId="41" applyNumberFormat="1" applyFont="1" applyFill="1" applyBorder="1"/>
    <xf numFmtId="0" fontId="28" fillId="0" borderId="11" xfId="41" applyFont="1" applyFill="1" applyBorder="1"/>
    <xf numFmtId="0" fontId="28" fillId="0" borderId="11" xfId="41" applyFont="1" applyFill="1" applyBorder="1" applyAlignment="1">
      <alignment horizontal="center"/>
    </xf>
    <xf numFmtId="2" fontId="28" fillId="0" borderId="0" xfId="41" applyNumberFormat="1" applyFont="1" applyFill="1" applyBorder="1" applyAlignment="1">
      <alignment horizontal="right"/>
    </xf>
    <xf numFmtId="0" fontId="30" fillId="0" borderId="0" xfId="41" applyFont="1"/>
    <xf numFmtId="2" fontId="28" fillId="0" borderId="11" xfId="41" applyNumberFormat="1" applyFont="1" applyBorder="1" applyAlignment="1">
      <alignment horizontal="center"/>
    </xf>
    <xf numFmtId="49" fontId="28" fillId="0" borderId="0" xfId="41" applyNumberFormat="1" applyFont="1" applyBorder="1" applyAlignment="1">
      <alignment horizontal="center"/>
    </xf>
    <xf numFmtId="49" fontId="28" fillId="0" borderId="11" xfId="41" applyNumberFormat="1" applyFont="1" applyFill="1" applyBorder="1" applyAlignment="1">
      <alignment horizontal="center"/>
    </xf>
    <xf numFmtId="0" fontId="18" fillId="0" borderId="0" xfId="41"/>
    <xf numFmtId="0" fontId="28" fillId="0" borderId="11" xfId="41" applyFont="1" applyBorder="1"/>
    <xf numFmtId="2" fontId="28" fillId="0" borderId="11" xfId="41" applyNumberFormat="1" applyFont="1" applyBorder="1"/>
    <xf numFmtId="0" fontId="28" fillId="0" borderId="11" xfId="41" applyFont="1" applyBorder="1" applyAlignment="1"/>
    <xf numFmtId="0" fontId="28" fillId="0" borderId="11" xfId="41" applyFont="1" applyBorder="1" applyAlignment="1">
      <alignment horizontal="center"/>
    </xf>
    <xf numFmtId="49" fontId="28" fillId="0" borderId="11" xfId="41" applyNumberFormat="1" applyFont="1" applyBorder="1" applyAlignment="1">
      <alignment horizontal="center"/>
    </xf>
    <xf numFmtId="4" fontId="30" fillId="0" borderId="0" xfId="41" applyNumberFormat="1" applyFont="1" applyBorder="1"/>
    <xf numFmtId="0" fontId="18" fillId="0" borderId="0" xfId="41" applyAlignment="1">
      <alignment vertical="center" wrapText="1"/>
    </xf>
    <xf numFmtId="0" fontId="18" fillId="0" borderId="0" xfId="41" applyFont="1" applyAlignment="1">
      <alignment horizontal="right" vertical="center" wrapText="1"/>
    </xf>
    <xf numFmtId="0" fontId="22" fillId="0" borderId="0" xfId="41" applyFont="1" applyAlignment="1">
      <alignment vertical="center" wrapText="1"/>
    </xf>
    <xf numFmtId="0" fontId="0" fillId="0" borderId="0" xfId="0" applyAlignment="1">
      <alignment vertical="center" wrapText="1"/>
    </xf>
    <xf numFmtId="0" fontId="20" fillId="0" borderId="0" xfId="41" applyFont="1" applyFill="1" applyBorder="1"/>
    <xf numFmtId="0" fontId="32" fillId="0" borderId="0" xfId="41" applyFont="1" applyFill="1" applyBorder="1" applyAlignment="1">
      <alignment horizontal="left"/>
    </xf>
    <xf numFmtId="2" fontId="41" fillId="0" borderId="0" xfId="41" applyNumberFormat="1" applyFont="1" applyFill="1" applyBorder="1" applyAlignment="1">
      <alignment horizontal="justify" wrapText="1" shrinkToFit="1"/>
    </xf>
    <xf numFmtId="4" fontId="0" fillId="0" borderId="0" xfId="0" applyNumberFormat="1"/>
    <xf numFmtId="0" fontId="0" fillId="0" borderId="0" xfId="0" applyAlignment="1">
      <alignment horizontal="left" vertical="center" wrapText="1"/>
    </xf>
    <xf numFmtId="0" fontId="21" fillId="0" borderId="0" xfId="41" applyFont="1" applyBorder="1" applyAlignment="1">
      <alignment wrapText="1"/>
    </xf>
    <xf numFmtId="0" fontId="20" fillId="0" borderId="0" xfId="41" applyFont="1" applyFill="1" applyBorder="1" applyAlignment="1">
      <alignment wrapText="1"/>
    </xf>
    <xf numFmtId="0" fontId="0" fillId="0" borderId="0" xfId="0" applyAlignment="1">
      <alignment wrapText="1"/>
    </xf>
    <xf numFmtId="0" fontId="34" fillId="0" borderId="0" xfId="41" applyFont="1" applyFill="1" applyAlignment="1">
      <alignment wrapText="1"/>
    </xf>
    <xf numFmtId="0" fontId="18" fillId="0" borderId="0" xfId="41"/>
    <xf numFmtId="0" fontId="21" fillId="0" borderId="11" xfId="41" applyFont="1" applyFill="1" applyBorder="1" applyAlignment="1">
      <alignment wrapText="1"/>
    </xf>
    <xf numFmtId="1" fontId="21" fillId="0" borderId="11" xfId="41" applyNumberFormat="1" applyFont="1" applyFill="1" applyBorder="1"/>
    <xf numFmtId="0" fontId="30" fillId="0" borderId="0" xfId="41" applyFont="1" applyBorder="1"/>
    <xf numFmtId="0" fontId="33" fillId="0" borderId="11" xfId="41" applyFont="1" applyFill="1" applyBorder="1" applyAlignment="1">
      <alignment wrapText="1"/>
    </xf>
    <xf numFmtId="0" fontId="21" fillId="0" borderId="11" xfId="41" applyFont="1" applyFill="1" applyBorder="1" applyAlignment="1"/>
    <xf numFmtId="2" fontId="21" fillId="0" borderId="11" xfId="41" applyNumberFormat="1" applyFont="1" applyFill="1" applyBorder="1"/>
    <xf numFmtId="2" fontId="21" fillId="0" borderId="15" xfId="41" applyNumberFormat="1" applyFont="1" applyFill="1" applyBorder="1" applyAlignment="1">
      <alignment horizontal="center"/>
    </xf>
    <xf numFmtId="0" fontId="21" fillId="0" borderId="11" xfId="41" applyFont="1" applyFill="1" applyBorder="1" applyAlignment="1">
      <alignment horizontal="left" vertical="center" wrapText="1"/>
    </xf>
    <xf numFmtId="4" fontId="21" fillId="0" borderId="11" xfId="41" applyNumberFormat="1" applyFont="1" applyFill="1" applyBorder="1" applyAlignment="1">
      <alignment horizontal="center"/>
    </xf>
    <xf numFmtId="2" fontId="41" fillId="0" borderId="0" xfId="41" applyNumberFormat="1" applyFont="1" applyFill="1" applyBorder="1"/>
    <xf numFmtId="49" fontId="41" fillId="0" borderId="0" xfId="41" applyNumberFormat="1" applyFont="1" applyFill="1" applyBorder="1"/>
    <xf numFmtId="2" fontId="41" fillId="0" borderId="0" xfId="41" applyNumberFormat="1" applyFont="1" applyBorder="1"/>
    <xf numFmtId="2" fontId="21" fillId="0" borderId="11" xfId="41" applyNumberFormat="1" applyFont="1" applyBorder="1"/>
    <xf numFmtId="0" fontId="21" fillId="0" borderId="11" xfId="41" applyFont="1" applyBorder="1" applyAlignment="1">
      <alignment horizontal="center"/>
    </xf>
    <xf numFmtId="49" fontId="21" fillId="0" borderId="11" xfId="41" applyNumberFormat="1" applyFont="1" applyFill="1" applyBorder="1" applyAlignment="1">
      <alignment horizontal="left" vertical="center" wrapText="1"/>
    </xf>
    <xf numFmtId="4" fontId="21" fillId="0" borderId="11" xfId="41" applyNumberFormat="1" applyFont="1" applyFill="1" applyBorder="1" applyAlignment="1">
      <alignment wrapText="1"/>
    </xf>
    <xf numFmtId="0" fontId="28" fillId="0" borderId="11" xfId="41" applyFont="1" applyFill="1" applyBorder="1" applyAlignment="1">
      <alignment wrapText="1"/>
    </xf>
    <xf numFmtId="0" fontId="39" fillId="0" borderId="0" xfId="0" applyFont="1"/>
    <xf numFmtId="0" fontId="43" fillId="0" borderId="0" xfId="0" applyFont="1"/>
    <xf numFmtId="0" fontId="0" fillId="0" borderId="0" xfId="0"/>
    <xf numFmtId="0" fontId="20" fillId="0" borderId="0" xfId="41" applyFont="1" applyFill="1" applyBorder="1" applyAlignment="1"/>
    <xf numFmtId="0" fontId="20" fillId="0" borderId="0" xfId="41" applyFont="1" applyFill="1" applyBorder="1" applyAlignment="1">
      <alignment horizontal="right"/>
    </xf>
    <xf numFmtId="1" fontId="21" fillId="36" borderId="11" xfId="41" applyNumberFormat="1" applyFont="1" applyFill="1" applyBorder="1" applyAlignment="1">
      <alignment wrapText="1"/>
    </xf>
    <xf numFmtId="1" fontId="20" fillId="36" borderId="11" xfId="41" applyNumberFormat="1" applyFont="1" applyFill="1" applyBorder="1"/>
    <xf numFmtId="0" fontId="21" fillId="36" borderId="15" xfId="41" applyFont="1" applyFill="1" applyBorder="1"/>
    <xf numFmtId="0" fontId="20" fillId="36" borderId="11" xfId="41" applyFont="1" applyFill="1" applyBorder="1" applyAlignment="1">
      <alignment wrapText="1"/>
    </xf>
    <xf numFmtId="0" fontId="20" fillId="36" borderId="11" xfId="41" applyFont="1" applyFill="1" applyBorder="1"/>
    <xf numFmtId="2" fontId="21" fillId="36" borderId="15" xfId="41" applyNumberFormat="1" applyFont="1" applyFill="1" applyBorder="1" applyAlignment="1">
      <alignment wrapText="1"/>
    </xf>
    <xf numFmtId="0" fontId="21" fillId="36" borderId="19" xfId="41" applyFont="1" applyFill="1" applyBorder="1" applyAlignment="1">
      <alignment horizontal="left" vertical="center" wrapText="1"/>
    </xf>
    <xf numFmtId="0" fontId="21" fillId="36" borderId="19" xfId="41" applyFont="1" applyFill="1" applyBorder="1" applyAlignment="1">
      <alignment wrapText="1"/>
    </xf>
    <xf numFmtId="0" fontId="27" fillId="38" borderId="13" xfId="41" applyFont="1" applyFill="1" applyBorder="1" applyAlignment="1">
      <alignment wrapText="1"/>
    </xf>
    <xf numFmtId="0" fontId="27" fillId="38" borderId="12" xfId="41" applyFont="1" applyFill="1" applyBorder="1" applyAlignment="1">
      <alignment wrapText="1"/>
    </xf>
    <xf numFmtId="0" fontId="23" fillId="38" borderId="12" xfId="41" applyFont="1" applyFill="1" applyBorder="1" applyAlignment="1">
      <alignment wrapText="1"/>
    </xf>
    <xf numFmtId="4" fontId="23" fillId="38" borderId="12" xfId="41" applyNumberFormat="1" applyFont="1" applyFill="1" applyBorder="1" applyAlignment="1">
      <alignment wrapText="1"/>
    </xf>
    <xf numFmtId="2" fontId="27" fillId="38" borderId="13" xfId="41" applyNumberFormat="1" applyFont="1" applyFill="1" applyBorder="1" applyAlignment="1">
      <alignment wrapText="1"/>
    </xf>
    <xf numFmtId="0" fontId="27" fillId="38" borderId="16" xfId="41" applyNumberFormat="1" applyFont="1" applyFill="1" applyBorder="1" applyAlignment="1">
      <alignment wrapText="1"/>
    </xf>
    <xf numFmtId="0" fontId="27" fillId="38" borderId="11" xfId="41" applyFont="1" applyFill="1" applyBorder="1" applyAlignment="1">
      <alignment wrapText="1"/>
    </xf>
    <xf numFmtId="4" fontId="33" fillId="0" borderId="11" xfId="41" applyNumberFormat="1" applyFont="1" applyFill="1" applyBorder="1" applyAlignment="1">
      <alignment vertical="center"/>
    </xf>
    <xf numFmtId="0" fontId="0" fillId="0" borderId="0" xfId="0"/>
    <xf numFmtId="0" fontId="42" fillId="0" borderId="0" xfId="0" applyFont="1"/>
    <xf numFmtId="2" fontId="35" fillId="0" borderId="11" xfId="41" applyNumberFormat="1" applyFont="1" applyFill="1" applyBorder="1"/>
    <xf numFmtId="2" fontId="35" fillId="0" borderId="11" xfId="41" applyNumberFormat="1" applyFont="1" applyBorder="1"/>
    <xf numFmtId="0" fontId="0" fillId="0" borderId="0" xfId="0"/>
    <xf numFmtId="49" fontId="44" fillId="0" borderId="11" xfId="41" applyNumberFormat="1" applyFont="1" applyFill="1" applyBorder="1" applyAlignment="1">
      <alignment horizontal="left" vertical="center" wrapText="1"/>
    </xf>
    <xf numFmtId="0" fontId="0" fillId="0" borderId="0" xfId="0"/>
    <xf numFmtId="0" fontId="29" fillId="0" borderId="0" xfId="49" applyFont="1" applyFill="1" applyBorder="1"/>
    <xf numFmtId="4" fontId="20" fillId="0" borderId="0" xfId="41" applyNumberFormat="1" applyFont="1" applyFill="1" applyBorder="1"/>
    <xf numFmtId="0" fontId="0" fillId="0" borderId="0" xfId="0"/>
    <xf numFmtId="0" fontId="33" fillId="0" borderId="11" xfId="41" applyFont="1" applyFill="1" applyBorder="1"/>
    <xf numFmtId="0" fontId="0" fillId="0" borderId="0" xfId="0" applyBorder="1"/>
    <xf numFmtId="4" fontId="29" fillId="0" borderId="11" xfId="41" applyNumberFormat="1" applyFont="1" applyFill="1" applyBorder="1" applyAlignment="1">
      <alignment wrapText="1"/>
    </xf>
    <xf numFmtId="49" fontId="29" fillId="0" borderId="11" xfId="41" applyNumberFormat="1" applyFont="1" applyFill="1" applyBorder="1" applyAlignment="1">
      <alignment horizontal="left" vertical="center" wrapText="1"/>
    </xf>
    <xf numFmtId="0" fontId="33" fillId="0" borderId="11" xfId="41" applyFont="1" applyBorder="1" applyAlignment="1">
      <alignment shrinkToFit="1"/>
    </xf>
    <xf numFmtId="0" fontId="19" fillId="39" borderId="11" xfId="41" applyFont="1" applyFill="1" applyBorder="1"/>
    <xf numFmtId="0" fontId="0" fillId="0" borderId="0" xfId="0"/>
    <xf numFmtId="0" fontId="33" fillId="0" borderId="11" xfId="49" applyFont="1" applyBorder="1"/>
    <xf numFmtId="4" fontId="33" fillId="0" borderId="11" xfId="49" applyNumberFormat="1" applyFont="1" applyBorder="1"/>
    <xf numFmtId="0" fontId="0" fillId="0" borderId="0" xfId="0"/>
    <xf numFmtId="0" fontId="0" fillId="0" borderId="0" xfId="0"/>
    <xf numFmtId="0" fontId="18" fillId="35" borderId="11" xfId="49" applyFont="1" applyFill="1" applyBorder="1"/>
    <xf numFmtId="0" fontId="0" fillId="0" borderId="11" xfId="0" applyBorder="1"/>
    <xf numFmtId="2" fontId="30" fillId="0" borderId="0" xfId="41" applyNumberFormat="1" applyFont="1"/>
    <xf numFmtId="2" fontId="0" fillId="0" borderId="0" xfId="0" applyNumberFormat="1"/>
    <xf numFmtId="2" fontId="20" fillId="0" borderId="0" xfId="41" applyNumberFormat="1" applyFont="1" applyFill="1" applyBorder="1"/>
    <xf numFmtId="0" fontId="0" fillId="0" borderId="0" xfId="0"/>
    <xf numFmtId="0" fontId="33" fillId="0" borderId="11" xfId="41" applyFont="1" applyFill="1" applyBorder="1" applyAlignment="1">
      <alignment shrinkToFit="1"/>
    </xf>
    <xf numFmtId="0" fontId="0" fillId="0" borderId="0" xfId="0" applyFill="1"/>
    <xf numFmtId="1" fontId="33" fillId="35" borderId="11" xfId="41" applyNumberFormat="1" applyFont="1" applyFill="1" applyBorder="1" applyAlignment="1">
      <alignment horizontal="right" shrinkToFit="1"/>
    </xf>
    <xf numFmtId="49" fontId="33" fillId="0" borderId="11" xfId="41" applyNumberFormat="1" applyFont="1" applyBorder="1" applyAlignment="1">
      <alignment shrinkToFit="1"/>
    </xf>
    <xf numFmtId="49" fontId="33" fillId="0" borderId="11" xfId="41" applyNumberFormat="1" applyFont="1" applyBorder="1" applyAlignment="1">
      <alignment horizontal="justify" shrinkToFit="1"/>
    </xf>
    <xf numFmtId="49" fontId="33" fillId="0" borderId="11" xfId="41" applyNumberFormat="1" applyFont="1" applyFill="1" applyBorder="1" applyAlignment="1">
      <alignment shrinkToFit="1"/>
    </xf>
    <xf numFmtId="49" fontId="33" fillId="0" borderId="11" xfId="41" applyNumberFormat="1" applyFont="1" applyBorder="1" applyAlignment="1">
      <alignment horizontal="justify"/>
    </xf>
    <xf numFmtId="49" fontId="33" fillId="0" borderId="11" xfId="41" applyNumberFormat="1" applyFont="1" applyFill="1" applyBorder="1" applyAlignment="1">
      <alignment horizontal="justify" shrinkToFit="1"/>
    </xf>
    <xf numFmtId="49" fontId="33" fillId="35" borderId="11" xfId="41" applyNumberFormat="1" applyFont="1" applyFill="1" applyBorder="1" applyAlignment="1">
      <alignment shrinkToFit="1"/>
    </xf>
    <xf numFmtId="49" fontId="33" fillId="35" borderId="11" xfId="41" applyNumberFormat="1" applyFont="1" applyFill="1" applyBorder="1" applyAlignment="1">
      <alignment horizontal="justify" shrinkToFit="1"/>
    </xf>
    <xf numFmtId="0" fontId="33" fillId="0" borderId="11" xfId="41" applyNumberFormat="1" applyFont="1" applyBorder="1" applyAlignment="1">
      <alignment horizontal="justify" shrinkToFit="1"/>
    </xf>
    <xf numFmtId="1" fontId="33" fillId="35" borderId="11" xfId="41" applyNumberFormat="1" applyFont="1" applyFill="1" applyBorder="1" applyAlignment="1">
      <alignment shrinkToFit="1"/>
    </xf>
    <xf numFmtId="0" fontId="33" fillId="0" borderId="11" xfId="41" applyFont="1" applyBorder="1" applyAlignment="1">
      <alignment horizontal="justify" shrinkToFit="1"/>
    </xf>
    <xf numFmtId="0" fontId="33" fillId="40" borderId="11" xfId="41" applyFont="1" applyFill="1" applyBorder="1" applyAlignment="1">
      <alignment horizontal="justify" shrinkToFit="1"/>
    </xf>
    <xf numFmtId="1" fontId="33" fillId="35" borderId="11" xfId="41" applyNumberFormat="1" applyFont="1" applyFill="1" applyBorder="1" applyAlignment="1">
      <alignment horizontal="right" vertical="top" shrinkToFit="1"/>
    </xf>
    <xf numFmtId="49" fontId="33" fillId="0" borderId="11" xfId="41" applyNumberFormat="1" applyFont="1" applyBorder="1" applyAlignment="1">
      <alignment vertical="top" shrinkToFit="1"/>
    </xf>
    <xf numFmtId="49" fontId="33" fillId="34" borderId="11" xfId="41" applyNumberFormat="1" applyFont="1" applyFill="1" applyBorder="1" applyAlignment="1">
      <alignment horizontal="justify" shrinkToFit="1"/>
    </xf>
    <xf numFmtId="1" fontId="33" fillId="35" borderId="11" xfId="44" applyNumberFormat="1" applyFont="1" applyFill="1" applyBorder="1" applyAlignment="1">
      <alignment horizontal="right" shrinkToFit="1"/>
    </xf>
    <xf numFmtId="49" fontId="33" fillId="0" borderId="11" xfId="44" applyNumberFormat="1" applyFont="1" applyBorder="1" applyAlignment="1">
      <alignment shrinkToFit="1"/>
    </xf>
    <xf numFmtId="49" fontId="33" fillId="0" borderId="11" xfId="44" applyNumberFormat="1" applyFont="1" applyBorder="1" applyAlignment="1">
      <alignment horizontal="justify" shrinkToFit="1"/>
    </xf>
    <xf numFmtId="1" fontId="33" fillId="35" borderId="11" xfId="49" applyNumberFormat="1" applyFont="1" applyFill="1" applyBorder="1" applyAlignment="1">
      <alignment horizontal="right"/>
    </xf>
    <xf numFmtId="49" fontId="33" fillId="35" borderId="11" xfId="49" applyNumberFormat="1" applyFont="1" applyFill="1" applyBorder="1"/>
    <xf numFmtId="1" fontId="33" fillId="35" borderId="11" xfId="45" applyNumberFormat="1" applyFont="1" applyFill="1" applyBorder="1" applyAlignment="1">
      <alignment horizontal="right" shrinkToFit="1"/>
    </xf>
    <xf numFmtId="1" fontId="33" fillId="35" borderId="11" xfId="45" applyNumberFormat="1" applyFont="1" applyFill="1" applyBorder="1" applyAlignment="1">
      <alignment horizontal="right"/>
    </xf>
    <xf numFmtId="0" fontId="0" fillId="35" borderId="0" xfId="0" applyFill="1"/>
    <xf numFmtId="2" fontId="23" fillId="38" borderId="12" xfId="41" applyNumberFormat="1" applyFont="1" applyFill="1" applyBorder="1" applyAlignment="1">
      <alignment wrapText="1"/>
    </xf>
    <xf numFmtId="4" fontId="28" fillId="0" borderId="11" xfId="41" applyNumberFormat="1" applyFont="1" applyFill="1" applyBorder="1"/>
    <xf numFmtId="2" fontId="0" fillId="0" borderId="0" xfId="0" applyNumberFormat="1"/>
    <xf numFmtId="2" fontId="27" fillId="38" borderId="16" xfId="41" applyNumberFormat="1" applyFont="1" applyFill="1" applyBorder="1" applyAlignment="1">
      <alignment wrapText="1"/>
    </xf>
    <xf numFmtId="0" fontId="18" fillId="0" borderId="11" xfId="41" applyFont="1" applyBorder="1"/>
    <xf numFmtId="0" fontId="26" fillId="0" borderId="0" xfId="41" applyFont="1" applyAlignment="1"/>
    <xf numFmtId="0" fontId="1" fillId="0" borderId="0" xfId="0" applyFont="1"/>
    <xf numFmtId="0" fontId="33" fillId="0" borderId="11" xfId="49" applyFont="1" applyFill="1" applyBorder="1"/>
    <xf numFmtId="0" fontId="33" fillId="0" borderId="0" xfId="41" applyFont="1" applyFill="1" applyBorder="1" applyAlignment="1">
      <alignment shrinkToFit="1"/>
    </xf>
    <xf numFmtId="1" fontId="33" fillId="0" borderId="11" xfId="41" applyNumberFormat="1" applyFont="1" applyFill="1" applyBorder="1" applyAlignment="1">
      <alignment horizontal="right" shrinkToFit="1"/>
    </xf>
    <xf numFmtId="0" fontId="33" fillId="0" borderId="0" xfId="41" applyFont="1" applyBorder="1" applyAlignment="1">
      <alignment shrinkToFit="1"/>
    </xf>
    <xf numFmtId="4" fontId="19" fillId="0" borderId="13" xfId="41" applyNumberFormat="1" applyFont="1" applyBorder="1"/>
    <xf numFmtId="4" fontId="19" fillId="0" borderId="16" xfId="41" applyNumberFormat="1" applyFont="1" applyBorder="1"/>
    <xf numFmtId="4" fontId="19" fillId="0" borderId="28" xfId="41" applyNumberFormat="1" applyFont="1" applyBorder="1"/>
    <xf numFmtId="4" fontId="19" fillId="0" borderId="29" xfId="41" applyNumberFormat="1" applyFont="1" applyBorder="1"/>
    <xf numFmtId="0" fontId="30" fillId="0" borderId="0" xfId="41" applyFont="1" applyAlignment="1">
      <alignment horizontal="center"/>
    </xf>
    <xf numFmtId="0" fontId="18" fillId="0" borderId="11" xfId="41" applyFont="1" applyFill="1" applyBorder="1"/>
    <xf numFmtId="0" fontId="28" fillId="0" borderId="11" xfId="41" applyFont="1" applyBorder="1" applyAlignment="1">
      <alignment wrapText="1"/>
    </xf>
    <xf numFmtId="0" fontId="28" fillId="0" borderId="15" xfId="41" applyFont="1" applyBorder="1" applyAlignment="1">
      <alignment wrapText="1"/>
    </xf>
    <xf numFmtId="0" fontId="28" fillId="0" borderId="15" xfId="41" applyFont="1" applyFill="1" applyBorder="1"/>
    <xf numFmtId="0" fontId="28" fillId="0" borderId="22" xfId="41" applyFont="1" applyFill="1" applyBorder="1"/>
    <xf numFmtId="0" fontId="28" fillId="0" borderId="22" xfId="41" applyFont="1" applyFill="1" applyBorder="1" applyAlignment="1">
      <alignment vertical="center" wrapText="1"/>
    </xf>
    <xf numFmtId="0" fontId="28" fillId="0" borderId="17" xfId="41" applyFont="1" applyFill="1" applyBorder="1" applyAlignment="1">
      <alignment horizontal="center"/>
    </xf>
    <xf numFmtId="0" fontId="42" fillId="0" borderId="11" xfId="0" applyFont="1" applyFill="1" applyBorder="1"/>
    <xf numFmtId="49" fontId="33" fillId="0" borderId="11" xfId="0" applyNumberFormat="1" applyFont="1" applyFill="1" applyBorder="1" applyAlignment="1">
      <alignment shrinkToFit="1"/>
    </xf>
    <xf numFmtId="0" fontId="42" fillId="0" borderId="11" xfId="0" applyFont="1" applyBorder="1"/>
    <xf numFmtId="0" fontId="42" fillId="35" borderId="11" xfId="0" applyFont="1" applyFill="1" applyBorder="1"/>
    <xf numFmtId="0" fontId="0" fillId="0" borderId="0" xfId="0"/>
    <xf numFmtId="0" fontId="33" fillId="0" borderId="11" xfId="0" applyFont="1" applyBorder="1"/>
    <xf numFmtId="0" fontId="31" fillId="0" borderId="11" xfId="41" applyFont="1" applyBorder="1"/>
    <xf numFmtId="0" fontId="14" fillId="0" borderId="0" xfId="0" applyFont="1"/>
    <xf numFmtId="0" fontId="33" fillId="0" borderId="11" xfId="48" applyFont="1" applyFill="1" applyBorder="1"/>
    <xf numFmtId="0" fontId="26" fillId="0" borderId="0" xfId="41" applyFont="1" applyFill="1" applyBorder="1"/>
    <xf numFmtId="0" fontId="21" fillId="0" borderId="23" xfId="41" applyFont="1" applyFill="1" applyBorder="1" applyAlignment="1">
      <alignment horizontal="left" vertical="center" wrapText="1"/>
    </xf>
    <xf numFmtId="0" fontId="20" fillId="0" borderId="11" xfId="41" applyFont="1" applyFill="1" applyBorder="1"/>
    <xf numFmtId="4" fontId="37" fillId="0" borderId="11" xfId="41" applyNumberFormat="1" applyFont="1" applyFill="1" applyBorder="1"/>
    <xf numFmtId="1" fontId="33" fillId="35" borderId="11" xfId="41" applyNumberFormat="1" applyFont="1" applyFill="1" applyBorder="1"/>
    <xf numFmtId="0" fontId="18" fillId="35" borderId="0" xfId="41" applyFont="1" applyFill="1" applyBorder="1"/>
    <xf numFmtId="1" fontId="42" fillId="0" borderId="11" xfId="0" applyNumberFormat="1" applyFont="1" applyBorder="1"/>
    <xf numFmtId="1" fontId="42" fillId="0" borderId="11" xfId="0" applyNumberFormat="1" applyFont="1" applyFill="1" applyBorder="1"/>
    <xf numFmtId="4" fontId="18" fillId="0" borderId="0" xfId="41" applyNumberFormat="1" applyFont="1" applyAlignment="1">
      <alignment horizontal="center"/>
    </xf>
    <xf numFmtId="4" fontId="18" fillId="0" borderId="0" xfId="41" applyNumberFormat="1" applyFont="1"/>
    <xf numFmtId="4" fontId="19" fillId="0" borderId="13" xfId="41" applyNumberFormat="1" applyFont="1" applyBorder="1" applyAlignment="1">
      <alignment wrapText="1"/>
    </xf>
    <xf numFmtId="4" fontId="19" fillId="0" borderId="28" xfId="41" applyNumberFormat="1" applyFont="1" applyBorder="1" applyAlignment="1">
      <alignment horizontal="center"/>
    </xf>
    <xf numFmtId="4" fontId="42" fillId="0" borderId="0" xfId="0" applyNumberFormat="1" applyFont="1"/>
    <xf numFmtId="4" fontId="42" fillId="0" borderId="0" xfId="0" applyNumberFormat="1" applyFont="1" applyBorder="1" applyAlignment="1">
      <alignment horizontal="center"/>
    </xf>
    <xf numFmtId="0" fontId="42" fillId="0" borderId="11" xfId="0" applyFont="1" applyBorder="1" applyAlignment="1">
      <alignment wrapText="1"/>
    </xf>
    <xf numFmtId="0" fontId="0" fillId="0" borderId="0" xfId="0"/>
    <xf numFmtId="0" fontId="30" fillId="0" borderId="0" xfId="41" applyFont="1" applyFill="1"/>
    <xf numFmtId="0" fontId="18" fillId="0" borderId="0" xfId="41" applyFont="1" applyFill="1" applyAlignment="1">
      <alignment horizontal="right"/>
    </xf>
    <xf numFmtId="0" fontId="42" fillId="0" borderId="0" xfId="0" applyFont="1" applyFill="1"/>
    <xf numFmtId="2" fontId="42" fillId="0" borderId="0" xfId="0" applyNumberFormat="1" applyFont="1" applyFill="1"/>
    <xf numFmtId="0" fontId="26" fillId="0" borderId="0" xfId="41" applyFont="1" applyFill="1" applyAlignment="1">
      <alignment horizontal="justify" wrapText="1"/>
    </xf>
    <xf numFmtId="0" fontId="0" fillId="0" borderId="0" xfId="0"/>
    <xf numFmtId="0" fontId="31" fillId="0" borderId="11" xfId="41" applyFont="1" applyFill="1" applyBorder="1"/>
    <xf numFmtId="0" fontId="0" fillId="0" borderId="0" xfId="0"/>
    <xf numFmtId="0" fontId="18" fillId="36" borderId="31" xfId="41" applyFont="1" applyFill="1" applyBorder="1" applyAlignment="1">
      <alignment horizontal="center"/>
    </xf>
    <xf numFmtId="0" fontId="18" fillId="36" borderId="20" xfId="41" applyFont="1" applyFill="1" applyBorder="1" applyAlignment="1">
      <alignment horizontal="center"/>
    </xf>
    <xf numFmtId="0" fontId="26" fillId="36" borderId="20" xfId="41" applyFont="1" applyFill="1" applyBorder="1" applyAlignment="1">
      <alignment horizontal="center"/>
    </xf>
    <xf numFmtId="0" fontId="18" fillId="36" borderId="20" xfId="41" applyFont="1" applyFill="1" applyBorder="1" applyAlignment="1">
      <alignment vertical="center" wrapText="1"/>
    </xf>
    <xf numFmtId="0" fontId="18" fillId="37" borderId="13" xfId="41" applyFont="1" applyFill="1" applyBorder="1"/>
    <xf numFmtId="0" fontId="18" fillId="36" borderId="12" xfId="41" applyFont="1" applyFill="1" applyBorder="1" applyAlignment="1">
      <alignment horizontal="center"/>
    </xf>
    <xf numFmtId="0" fontId="42" fillId="0" borderId="0" xfId="0" applyFont="1" applyBorder="1"/>
    <xf numFmtId="4" fontId="1" fillId="0" borderId="0" xfId="0" applyNumberFormat="1" applyFont="1" applyFill="1"/>
    <xf numFmtId="2" fontId="33" fillId="0" borderId="11" xfId="41" applyNumberFormat="1" applyFont="1" applyFill="1" applyBorder="1" applyAlignment="1">
      <alignment vertical="center"/>
    </xf>
    <xf numFmtId="0" fontId="0" fillId="0" borderId="0" xfId="0"/>
    <xf numFmtId="2" fontId="0" fillId="0" borderId="0" xfId="0" applyNumberFormat="1"/>
    <xf numFmtId="0" fontId="33" fillId="41" borderId="11" xfId="0" applyFont="1" applyFill="1" applyBorder="1"/>
    <xf numFmtId="0" fontId="42" fillId="0" borderId="0" xfId="0" applyFont="1" applyFill="1" applyBorder="1"/>
    <xf numFmtId="1" fontId="33" fillId="35" borderId="19" xfId="41" applyNumberFormat="1" applyFont="1" applyFill="1" applyBorder="1" applyAlignment="1">
      <alignment horizontal="right" shrinkToFit="1"/>
    </xf>
    <xf numFmtId="1" fontId="33" fillId="35" borderId="10" xfId="41" applyNumberFormat="1" applyFont="1" applyFill="1" applyBorder="1" applyAlignment="1">
      <alignment horizontal="right" shrinkToFit="1"/>
    </xf>
    <xf numFmtId="1" fontId="33" fillId="35" borderId="26" xfId="41" applyNumberFormat="1" applyFont="1" applyFill="1" applyBorder="1" applyAlignment="1">
      <alignment horizontal="right" shrinkToFit="1"/>
    </xf>
    <xf numFmtId="1" fontId="33" fillId="35" borderId="25" xfId="41" applyNumberFormat="1" applyFont="1" applyFill="1" applyBorder="1" applyAlignment="1">
      <alignment horizontal="right" shrinkToFit="1"/>
    </xf>
    <xf numFmtId="49" fontId="33" fillId="0" borderId="10" xfId="41" applyNumberFormat="1" applyFont="1" applyBorder="1" applyAlignment="1">
      <alignment shrinkToFit="1"/>
    </xf>
    <xf numFmtId="49" fontId="33" fillId="0" borderId="32" xfId="41" applyNumberFormat="1" applyFont="1" applyBorder="1" applyAlignment="1">
      <alignment shrinkToFit="1"/>
    </xf>
    <xf numFmtId="49" fontId="33" fillId="0" borderId="33" xfId="41" applyNumberFormat="1" applyFont="1" applyBorder="1" applyAlignment="1">
      <alignment shrinkToFit="1"/>
    </xf>
    <xf numFmtId="49" fontId="33" fillId="0" borderId="10" xfId="41" applyNumberFormat="1" applyFont="1" applyBorder="1" applyAlignment="1">
      <alignment horizontal="justify" shrinkToFit="1"/>
    </xf>
    <xf numFmtId="49" fontId="33" fillId="0" borderId="32" xfId="41" applyNumberFormat="1" applyFont="1" applyBorder="1" applyAlignment="1">
      <alignment horizontal="justify" shrinkToFit="1"/>
    </xf>
    <xf numFmtId="49" fontId="33" fillId="0" borderId="33" xfId="41" applyNumberFormat="1" applyFont="1" applyBorder="1" applyAlignment="1">
      <alignment horizontal="justify" shrinkToFit="1"/>
    </xf>
    <xf numFmtId="4" fontId="47" fillId="0" borderId="0" xfId="41" applyNumberFormat="1" applyFont="1" applyFill="1"/>
    <xf numFmtId="49" fontId="33" fillId="35" borderId="11" xfId="0" applyNumberFormat="1" applyFont="1" applyFill="1" applyBorder="1" applyAlignment="1">
      <alignment horizontal="justify" shrinkToFit="1"/>
    </xf>
    <xf numFmtId="0" fontId="18" fillId="35" borderId="11" xfId="0" applyFont="1" applyFill="1" applyBorder="1" applyAlignment="1">
      <alignment shrinkToFit="1"/>
    </xf>
    <xf numFmtId="0" fontId="18" fillId="0" borderId="11" xfId="0" applyFont="1" applyBorder="1" applyAlignment="1">
      <alignment shrinkToFit="1"/>
    </xf>
    <xf numFmtId="1" fontId="33" fillId="35" borderId="11" xfId="0" applyNumberFormat="1" applyFont="1" applyFill="1" applyBorder="1" applyAlignment="1">
      <alignment horizontal="right" shrinkToFit="1"/>
    </xf>
    <xf numFmtId="49" fontId="33" fillId="35" borderId="11" xfId="0" applyNumberFormat="1" applyFont="1" applyFill="1" applyBorder="1" applyAlignment="1">
      <alignment shrinkToFit="1"/>
    </xf>
    <xf numFmtId="0" fontId="42" fillId="0" borderId="24" xfId="0" applyFont="1" applyBorder="1"/>
    <xf numFmtId="49" fontId="33" fillId="0" borderId="11" xfId="0" applyNumberFormat="1" applyFont="1" applyBorder="1" applyAlignment="1">
      <alignment shrinkToFit="1"/>
    </xf>
    <xf numFmtId="49" fontId="33" fillId="0" borderId="11" xfId="0" applyNumberFormat="1" applyFont="1" applyBorder="1" applyAlignment="1">
      <alignment horizontal="justify"/>
    </xf>
    <xf numFmtId="0" fontId="42" fillId="0" borderId="34" xfId="0" applyFont="1" applyBorder="1"/>
    <xf numFmtId="0" fontId="42" fillId="0" borderId="35" xfId="0" applyFont="1" applyBorder="1"/>
    <xf numFmtId="49" fontId="33" fillId="0" borderId="11" xfId="0" applyNumberFormat="1" applyFont="1" applyBorder="1" applyAlignment="1">
      <alignment horizontal="justify" wrapText="1"/>
    </xf>
    <xf numFmtId="1" fontId="33" fillId="35" borderId="11" xfId="0" applyNumberFormat="1" applyFont="1" applyFill="1" applyBorder="1" applyAlignment="1">
      <alignment horizontal="right"/>
    </xf>
    <xf numFmtId="49" fontId="33" fillId="35" borderId="11" xfId="0" applyNumberFormat="1" applyFont="1" applyFill="1" applyBorder="1"/>
    <xf numFmtId="49" fontId="33" fillId="35" borderId="11" xfId="0" applyNumberFormat="1" applyFont="1" applyFill="1" applyBorder="1" applyAlignment="1">
      <alignment horizontal="justify"/>
    </xf>
    <xf numFmtId="49" fontId="33" fillId="0" borderId="11" xfId="0" applyNumberFormat="1" applyFont="1" applyFill="1" applyBorder="1" applyAlignment="1">
      <alignment horizontal="justify"/>
    </xf>
    <xf numFmtId="49" fontId="33" fillId="0" borderId="11" xfId="0" applyNumberFormat="1" applyFont="1" applyBorder="1"/>
    <xf numFmtId="49" fontId="33" fillId="0" borderId="11" xfId="0" applyNumberFormat="1" applyFont="1" applyBorder="1" applyAlignment="1">
      <alignment horizontal="justify" shrinkToFit="1"/>
    </xf>
    <xf numFmtId="1" fontId="33" fillId="0" borderId="11" xfId="0" applyNumberFormat="1" applyFont="1" applyFill="1" applyBorder="1" applyAlignment="1">
      <alignment horizontal="right" shrinkToFit="1"/>
    </xf>
    <xf numFmtId="0" fontId="33" fillId="0" borderId="11" xfId="0" applyFont="1" applyFill="1" applyBorder="1" applyAlignment="1">
      <alignment horizontal="justify" shrinkToFit="1"/>
    </xf>
    <xf numFmtId="0" fontId="18" fillId="0" borderId="11" xfId="0" applyFont="1" applyFill="1" applyBorder="1" applyAlignment="1">
      <alignment shrinkToFit="1"/>
    </xf>
    <xf numFmtId="0" fontId="33" fillId="35" borderId="11" xfId="0" applyFont="1" applyFill="1" applyBorder="1" applyAlignment="1">
      <alignment shrinkToFit="1"/>
    </xf>
    <xf numFmtId="0" fontId="33" fillId="0" borderId="11" xfId="0" applyFont="1" applyBorder="1" applyAlignment="1">
      <alignment shrinkToFit="1"/>
    </xf>
    <xf numFmtId="0" fontId="33" fillId="35" borderId="11" xfId="0" applyNumberFormat="1" applyFont="1" applyFill="1" applyBorder="1" applyAlignment="1">
      <alignment horizontal="right" shrinkToFit="1"/>
    </xf>
    <xf numFmtId="0" fontId="47" fillId="0" borderId="0" xfId="41" applyFont="1" applyFill="1"/>
    <xf numFmtId="4" fontId="52" fillId="0" borderId="27" xfId="41" applyNumberFormat="1" applyFont="1" applyFill="1" applyBorder="1"/>
    <xf numFmtId="4" fontId="52" fillId="0" borderId="30" xfId="41" applyNumberFormat="1" applyFont="1" applyFill="1" applyBorder="1"/>
    <xf numFmtId="0" fontId="52" fillId="0" borderId="11" xfId="41" applyFont="1" applyFill="1" applyBorder="1" applyAlignment="1">
      <alignment horizontal="center"/>
    </xf>
    <xf numFmtId="0" fontId="1" fillId="0" borderId="0" xfId="0" applyFont="1" applyFill="1"/>
    <xf numFmtId="4" fontId="42" fillId="0" borderId="0" xfId="0" applyNumberFormat="1" applyFont="1" applyFill="1"/>
    <xf numFmtId="4" fontId="42" fillId="0" borderId="11" xfId="0" applyNumberFormat="1" applyFont="1" applyBorder="1"/>
    <xf numFmtId="4" fontId="42" fillId="0" borderId="0" xfId="0" applyNumberFormat="1" applyFont="1" applyBorder="1"/>
    <xf numFmtId="0" fontId="0" fillId="0" borderId="11" xfId="0" applyFill="1" applyBorder="1"/>
    <xf numFmtId="49" fontId="33" fillId="0" borderId="0" xfId="41" applyNumberFormat="1" applyFont="1" applyBorder="1" applyAlignment="1">
      <alignment horizontal="justify" shrinkToFit="1"/>
    </xf>
    <xf numFmtId="0" fontId="42" fillId="0" borderId="33" xfId="0" applyFont="1" applyBorder="1"/>
    <xf numFmtId="49" fontId="33" fillId="0" borderId="0" xfId="41" applyNumberFormat="1" applyFont="1" applyFill="1" applyBorder="1" applyAlignment="1">
      <alignment shrinkToFit="1"/>
    </xf>
    <xf numFmtId="4" fontId="33" fillId="0" borderId="0" xfId="41" applyNumberFormat="1" applyFont="1" applyFill="1" applyBorder="1" applyAlignment="1">
      <alignment vertical="center"/>
    </xf>
    <xf numFmtId="2" fontId="42" fillId="0" borderId="0" xfId="0" applyNumberFormat="1" applyFont="1" applyFill="1" applyBorder="1"/>
    <xf numFmtId="0" fontId="54" fillId="0" borderId="11" xfId="0" applyFont="1" applyBorder="1"/>
    <xf numFmtId="4" fontId="33" fillId="0" borderId="11" xfId="0" applyNumberFormat="1" applyFont="1" applyFill="1" applyBorder="1"/>
    <xf numFmtId="0" fontId="33" fillId="0" borderId="0" xfId="0" applyFont="1" applyFill="1" applyBorder="1"/>
    <xf numFmtId="0" fontId="33" fillId="0" borderId="0" xfId="0" applyFont="1" applyFill="1"/>
    <xf numFmtId="4" fontId="33" fillId="0" borderId="0" xfId="0" applyNumberFormat="1" applyFont="1" applyFill="1"/>
    <xf numFmtId="2" fontId="33" fillId="0" borderId="0" xfId="0" applyNumberFormat="1" applyFont="1" applyFill="1"/>
    <xf numFmtId="0" fontId="33" fillId="0" borderId="11" xfId="49" applyFont="1" applyFill="1" applyBorder="1" applyAlignment="1">
      <alignment horizontal="center" vertical="center"/>
    </xf>
    <xf numFmtId="0" fontId="54" fillId="0" borderId="0" xfId="0" applyFont="1"/>
    <xf numFmtId="0" fontId="33" fillId="0" borderId="11" xfId="0" applyFont="1" applyBorder="1" applyAlignment="1">
      <alignment horizontal="justify" shrinkToFit="1"/>
    </xf>
    <xf numFmtId="0" fontId="33" fillId="40" borderId="11" xfId="0" applyFont="1" applyFill="1" applyBorder="1" applyAlignment="1">
      <alignment horizontal="justify" shrinkToFit="1"/>
    </xf>
    <xf numFmtId="49" fontId="33" fillId="0" borderId="23" xfId="41" applyNumberFormat="1" applyFont="1" applyBorder="1" applyAlignment="1">
      <alignment shrinkToFit="1"/>
    </xf>
    <xf numFmtId="49" fontId="33" fillId="0" borderId="23" xfId="41" applyNumberFormat="1" applyFont="1" applyBorder="1" applyAlignment="1">
      <alignment horizontal="justify" shrinkToFit="1"/>
    </xf>
    <xf numFmtId="4" fontId="50" fillId="0" borderId="0" xfId="41" applyNumberFormat="1" applyFont="1" applyFill="1" applyBorder="1" applyAlignment="1">
      <alignment wrapText="1"/>
    </xf>
    <xf numFmtId="0" fontId="33" fillId="0" borderId="0" xfId="48" applyFont="1" applyFill="1" applyBorder="1"/>
    <xf numFmtId="1" fontId="33" fillId="35" borderId="23" xfId="41" applyNumberFormat="1" applyFont="1" applyFill="1" applyBorder="1" applyAlignment="1">
      <alignment horizontal="right" shrinkToFit="1"/>
    </xf>
    <xf numFmtId="0" fontId="18" fillId="0" borderId="19" xfId="41" applyFont="1" applyFill="1" applyBorder="1"/>
    <xf numFmtId="0" fontId="42" fillId="0" borderId="32" xfId="0" applyFont="1" applyBorder="1"/>
    <xf numFmtId="0" fontId="55" fillId="0" borderId="0" xfId="0" applyFont="1"/>
    <xf numFmtId="4" fontId="31" fillId="0" borderId="11" xfId="41" applyNumberFormat="1" applyFont="1" applyFill="1" applyBorder="1" applyAlignment="1"/>
    <xf numFmtId="4" fontId="31" fillId="0" borderId="11" xfId="41" applyNumberFormat="1" applyFont="1" applyFill="1" applyBorder="1" applyAlignment="1">
      <alignment horizontal="right"/>
    </xf>
    <xf numFmtId="0" fontId="0" fillId="35" borderId="11" xfId="0" applyFill="1" applyBorder="1"/>
    <xf numFmtId="0" fontId="54" fillId="35" borderId="11" xfId="0" applyFont="1" applyFill="1" applyBorder="1"/>
    <xf numFmtId="2" fontId="33" fillId="35" borderId="11" xfId="45" applyNumberFormat="1" applyFont="1" applyFill="1" applyBorder="1" applyAlignment="1"/>
    <xf numFmtId="4" fontId="18" fillId="0" borderId="0" xfId="41" applyNumberFormat="1" applyFont="1" applyAlignment="1"/>
    <xf numFmtId="4" fontId="18" fillId="0" borderId="0" xfId="41" applyNumberFormat="1" applyFont="1" applyAlignment="1">
      <alignment horizontal="right"/>
    </xf>
    <xf numFmtId="4" fontId="19" fillId="0" borderId="13" xfId="41" applyNumberFormat="1" applyFont="1" applyBorder="1" applyAlignment="1">
      <alignment horizontal="right" wrapText="1"/>
    </xf>
    <xf numFmtId="4" fontId="19" fillId="0" borderId="28" xfId="41" applyNumberFormat="1" applyFont="1" applyBorder="1" applyAlignment="1"/>
    <xf numFmtId="4" fontId="19" fillId="0" borderId="28" xfId="41" applyNumberFormat="1" applyFont="1" applyBorder="1" applyAlignment="1">
      <alignment horizontal="right"/>
    </xf>
    <xf numFmtId="4" fontId="19" fillId="33" borderId="10" xfId="41" applyNumberFormat="1" applyFont="1" applyFill="1" applyBorder="1" applyAlignment="1">
      <alignment wrapText="1"/>
    </xf>
    <xf numFmtId="4" fontId="19" fillId="33" borderId="10" xfId="41" applyNumberFormat="1" applyFont="1" applyFill="1" applyBorder="1" applyAlignment="1">
      <alignment horizontal="center" wrapText="1"/>
    </xf>
    <xf numFmtId="4" fontId="19" fillId="33" borderId="10" xfId="41" applyNumberFormat="1" applyFont="1" applyFill="1" applyBorder="1" applyAlignment="1">
      <alignment horizontal="left" wrapText="1"/>
    </xf>
    <xf numFmtId="4" fontId="19" fillId="33" borderId="18" xfId="41" applyNumberFormat="1" applyFont="1" applyFill="1" applyBorder="1" applyAlignment="1">
      <alignment wrapText="1"/>
    </xf>
    <xf numFmtId="4" fontId="53" fillId="0" borderId="10" xfId="41" applyNumberFormat="1" applyFont="1" applyFill="1" applyBorder="1"/>
    <xf numFmtId="4" fontId="47" fillId="0" borderId="23" xfId="41" applyNumberFormat="1" applyFont="1" applyFill="1" applyBorder="1"/>
    <xf numFmtId="4" fontId="18" fillId="41" borderId="23" xfId="41" applyNumberFormat="1" applyFont="1" applyFill="1" applyBorder="1"/>
    <xf numFmtId="4" fontId="18" fillId="0" borderId="0" xfId="41" applyNumberFormat="1" applyFont="1" applyFill="1"/>
    <xf numFmtId="4" fontId="18" fillId="0" borderId="0" xfId="41" applyNumberFormat="1" applyFont="1" applyFill="1" applyAlignment="1"/>
    <xf numFmtId="4" fontId="18" fillId="0" borderId="0" xfId="41" applyNumberFormat="1" applyFont="1" applyFill="1" applyAlignment="1">
      <alignment horizontal="right"/>
    </xf>
    <xf numFmtId="4" fontId="18" fillId="0" borderId="0" xfId="41" applyNumberFormat="1" applyFont="1" applyFill="1" applyAlignment="1">
      <alignment horizontal="center"/>
    </xf>
    <xf numFmtId="0" fontId="42" fillId="0" borderId="0" xfId="0" applyFont="1" applyFill="1" applyAlignment="1">
      <alignment horizontal="right"/>
    </xf>
    <xf numFmtId="4" fontId="30" fillId="0" borderId="0" xfId="41" applyNumberFormat="1" applyFont="1" applyFill="1"/>
    <xf numFmtId="4" fontId="30" fillId="0" borderId="0" xfId="41" applyNumberFormat="1" applyFont="1" applyFill="1" applyAlignment="1"/>
    <xf numFmtId="4" fontId="30" fillId="0" borderId="0" xfId="41" applyNumberFormat="1" applyFont="1" applyFill="1" applyAlignment="1">
      <alignment horizontal="right"/>
    </xf>
    <xf numFmtId="4" fontId="30" fillId="0" borderId="0" xfId="41" applyNumberFormat="1" applyFont="1" applyFill="1" applyAlignment="1">
      <alignment horizontal="center"/>
    </xf>
    <xf numFmtId="4" fontId="30" fillId="0" borderId="0" xfId="41" applyNumberFormat="1" applyFont="1" applyFill="1" applyBorder="1"/>
    <xf numFmtId="4" fontId="42" fillId="0" borderId="0" xfId="0" applyNumberFormat="1" applyFont="1" applyAlignment="1"/>
    <xf numFmtId="4" fontId="42" fillId="0" borderId="0" xfId="0" applyNumberFormat="1" applyFont="1" applyAlignment="1">
      <alignment horizontal="right"/>
    </xf>
    <xf numFmtId="4" fontId="42" fillId="0" borderId="11" xfId="0" applyNumberFormat="1" applyFont="1" applyBorder="1" applyAlignment="1"/>
    <xf numFmtId="4" fontId="42" fillId="0" borderId="0" xfId="0" applyNumberFormat="1" applyFont="1" applyBorder="1" applyAlignment="1">
      <alignment horizontal="right"/>
    </xf>
    <xf numFmtId="4" fontId="31" fillId="0" borderId="11" xfId="41" applyNumberFormat="1" applyFont="1" applyFill="1" applyBorder="1"/>
    <xf numFmtId="4" fontId="31" fillId="0" borderId="11" xfId="41" applyNumberFormat="1" applyFont="1" applyFill="1" applyBorder="1" applyAlignment="1">
      <alignment horizontal="center"/>
    </xf>
    <xf numFmtId="3" fontId="33" fillId="0" borderId="11" xfId="0" applyNumberFormat="1" applyFont="1" applyBorder="1"/>
    <xf numFmtId="4" fontId="42" fillId="0" borderId="11" xfId="0" applyNumberFormat="1" applyFont="1" applyFill="1" applyBorder="1"/>
    <xf numFmtId="16" fontId="42" fillId="0" borderId="11" xfId="0" applyNumberFormat="1" applyFont="1" applyFill="1" applyBorder="1" applyAlignment="1">
      <alignment horizontal="right"/>
    </xf>
    <xf numFmtId="0" fontId="42" fillId="0" borderId="17" xfId="0" applyFont="1" applyBorder="1"/>
    <xf numFmtId="0" fontId="19" fillId="0" borderId="11" xfId="41" applyFont="1" applyFill="1" applyBorder="1"/>
    <xf numFmtId="2" fontId="33" fillId="0" borderId="11" xfId="41" applyNumberFormat="1" applyFont="1" applyFill="1" applyBorder="1"/>
    <xf numFmtId="2" fontId="42" fillId="0" borderId="11" xfId="0" applyNumberFormat="1" applyFont="1" applyFill="1" applyBorder="1"/>
    <xf numFmtId="0" fontId="31" fillId="0" borderId="11" xfId="41" applyFont="1" applyFill="1" applyBorder="1" applyAlignment="1">
      <alignment horizontal="right"/>
    </xf>
    <xf numFmtId="16" fontId="33" fillId="0" borderId="0" xfId="0" applyNumberFormat="1" applyFont="1" applyFill="1" applyBorder="1"/>
    <xf numFmtId="0" fontId="33" fillId="0" borderId="11" xfId="0" applyFont="1" applyFill="1" applyBorder="1"/>
    <xf numFmtId="0" fontId="56" fillId="0" borderId="11" xfId="0" applyFont="1" applyFill="1" applyBorder="1"/>
    <xf numFmtId="0" fontId="28" fillId="0" borderId="15" xfId="41" applyFont="1" applyFill="1" applyBorder="1" applyAlignment="1">
      <alignment wrapText="1"/>
    </xf>
    <xf numFmtId="2" fontId="28" fillId="0" borderId="0" xfId="41" applyNumberFormat="1" applyFont="1" applyBorder="1" applyAlignment="1">
      <alignment horizontal="center"/>
    </xf>
    <xf numFmtId="0" fontId="57" fillId="0" borderId="11" xfId="41" applyFont="1" applyBorder="1" applyAlignment="1">
      <alignment horizontal="right"/>
    </xf>
    <xf numFmtId="0" fontId="57" fillId="0" borderId="11" xfId="41" applyFont="1" applyBorder="1"/>
    <xf numFmtId="49" fontId="57" fillId="0" borderId="11" xfId="41" applyNumberFormat="1" applyFont="1" applyBorder="1" applyAlignment="1">
      <alignment horizontal="center"/>
    </xf>
    <xf numFmtId="2" fontId="57" fillId="0" borderId="11" xfId="41" applyNumberFormat="1" applyFont="1" applyBorder="1"/>
    <xf numFmtId="4" fontId="57" fillId="0" borderId="11" xfId="41" applyNumberFormat="1" applyFont="1" applyBorder="1" applyAlignment="1">
      <alignment vertical="center"/>
    </xf>
    <xf numFmtId="0" fontId="58" fillId="0" borderId="11" xfId="41" applyFont="1" applyBorder="1"/>
    <xf numFmtId="2" fontId="57" fillId="0" borderId="0" xfId="41" applyNumberFormat="1" applyFont="1" applyFill="1" applyBorder="1" applyAlignment="1">
      <alignment horizontal="right" vertical="center"/>
    </xf>
    <xf numFmtId="4" fontId="57" fillId="0" borderId="0" xfId="41" applyNumberFormat="1" applyFont="1" applyBorder="1"/>
    <xf numFmtId="49" fontId="57" fillId="0" borderId="0" xfId="41" applyNumberFormat="1" applyFont="1" applyBorder="1" applyAlignment="1">
      <alignment horizontal="center"/>
    </xf>
    <xf numFmtId="2" fontId="57" fillId="0" borderId="0" xfId="41" applyNumberFormat="1" applyFont="1" applyBorder="1"/>
    <xf numFmtId="4" fontId="26" fillId="0" borderId="0" xfId="41" applyNumberFormat="1" applyFont="1"/>
    <xf numFmtId="0" fontId="42" fillId="0" borderId="0" xfId="27" applyFont="1" applyFill="1" applyBorder="1" applyAlignment="1">
      <alignment horizontal="center" vertical="center"/>
    </xf>
    <xf numFmtId="2" fontId="42" fillId="0" borderId="0" xfId="0" applyNumberFormat="1" applyFont="1"/>
    <xf numFmtId="0" fontId="28" fillId="0" borderId="0" xfId="41" applyFont="1" applyBorder="1"/>
    <xf numFmtId="0" fontId="18" fillId="0" borderId="0" xfId="41" applyAlignment="1">
      <alignment horizontal="center"/>
    </xf>
    <xf numFmtId="2" fontId="28" fillId="0" borderId="0" xfId="41" applyNumberFormat="1" applyFont="1"/>
    <xf numFmtId="0" fontId="60" fillId="0" borderId="0" xfId="41" applyFont="1"/>
    <xf numFmtId="0" fontId="18" fillId="0" borderId="0" xfId="41" applyFont="1" applyAlignment="1">
      <alignment horizontal="center"/>
    </xf>
    <xf numFmtId="2" fontId="30" fillId="0" borderId="0" xfId="41" applyNumberFormat="1" applyFont="1" applyBorder="1"/>
    <xf numFmtId="2" fontId="29" fillId="0" borderId="0" xfId="41" applyNumberFormat="1" applyFont="1" applyFill="1" applyBorder="1" applyAlignment="1">
      <alignment horizontal="right"/>
    </xf>
    <xf numFmtId="0" fontId="28" fillId="0" borderId="11" xfId="41" applyNumberFormat="1" applyFont="1" applyFill="1" applyBorder="1"/>
    <xf numFmtId="0" fontId="14" fillId="0" borderId="11" xfId="0" applyFont="1" applyFill="1" applyBorder="1"/>
    <xf numFmtId="4" fontId="18" fillId="0" borderId="0" xfId="41" applyNumberFormat="1" applyFont="1" applyFill="1" applyBorder="1"/>
    <xf numFmtId="49" fontId="33" fillId="0" borderId="11" xfId="41" applyNumberFormat="1" applyFont="1" applyBorder="1" applyAlignment="1">
      <alignment horizontal="left" shrinkToFit="1"/>
    </xf>
    <xf numFmtId="1" fontId="61" fillId="0" borderId="0" xfId="41" applyNumberFormat="1" applyFont="1" applyFill="1"/>
    <xf numFmtId="1" fontId="61" fillId="0" borderId="0" xfId="41" applyNumberFormat="1" applyFont="1"/>
    <xf numFmtId="165" fontId="61" fillId="0" borderId="0" xfId="41" applyNumberFormat="1" applyFont="1" applyAlignment="1"/>
    <xf numFmtId="165" fontId="61" fillId="0" borderId="0" xfId="41" applyNumberFormat="1" applyFont="1" applyAlignment="1">
      <alignment horizontal="right"/>
    </xf>
    <xf numFmtId="0" fontId="61" fillId="0" borderId="0" xfId="41" applyFont="1" applyAlignment="1"/>
    <xf numFmtId="0" fontId="61" fillId="0" borderId="0" xfId="41" applyFont="1"/>
    <xf numFmtId="2" fontId="61" fillId="0" borderId="0" xfId="41" applyNumberFormat="1" applyFont="1" applyAlignment="1">
      <alignment horizontal="right"/>
    </xf>
    <xf numFmtId="2" fontId="61" fillId="0" borderId="0" xfId="41" applyNumberFormat="1" applyFont="1" applyFill="1" applyBorder="1" applyAlignment="1">
      <alignment horizontal="left" vertical="center" wrapText="1"/>
    </xf>
    <xf numFmtId="2" fontId="61" fillId="0" borderId="0" xfId="41" applyNumberFormat="1" applyFont="1" applyFill="1" applyBorder="1" applyAlignment="1">
      <alignment wrapText="1"/>
    </xf>
    <xf numFmtId="0" fontId="61" fillId="0" borderId="0" xfId="41" applyFont="1" applyFill="1" applyBorder="1"/>
    <xf numFmtId="0" fontId="61" fillId="0" borderId="0" xfId="41" applyFont="1" applyBorder="1"/>
    <xf numFmtId="0" fontId="61" fillId="0" borderId="0" xfId="41" applyNumberFormat="1" applyFont="1" applyAlignment="1">
      <alignment horizontal="center" vertical="justify" wrapText="1"/>
    </xf>
    <xf numFmtId="2" fontId="61" fillId="0" borderId="0" xfId="41" applyNumberFormat="1" applyFont="1"/>
    <xf numFmtId="2" fontId="61" fillId="0" borderId="0" xfId="41" applyNumberFormat="1" applyFont="1" applyBorder="1"/>
    <xf numFmtId="0" fontId="61" fillId="0" borderId="0" xfId="41" applyFont="1" applyBorder="1" applyAlignment="1">
      <alignment horizontal="justify" vertical="center"/>
    </xf>
    <xf numFmtId="0" fontId="61" fillId="0" borderId="0" xfId="41" applyFont="1" applyBorder="1" applyAlignment="1">
      <alignment wrapText="1"/>
    </xf>
    <xf numFmtId="0" fontId="33" fillId="0" borderId="0" xfId="0" applyNumberFormat="1" applyFont="1" applyFill="1"/>
    <xf numFmtId="0" fontId="43" fillId="0" borderId="0" xfId="0" applyFont="1" applyFill="1"/>
    <xf numFmtId="0" fontId="59" fillId="0" borderId="0" xfId="0" applyFont="1" applyFill="1"/>
    <xf numFmtId="4" fontId="59" fillId="0" borderId="0" xfId="0" applyNumberFormat="1" applyFont="1" applyFill="1"/>
    <xf numFmtId="0" fontId="18" fillId="39" borderId="11" xfId="41" applyFont="1" applyFill="1" applyBorder="1"/>
    <xf numFmtId="0" fontId="33" fillId="0" borderId="10" xfId="41" applyFont="1" applyFill="1" applyBorder="1" applyAlignment="1">
      <alignment wrapText="1"/>
    </xf>
    <xf numFmtId="4" fontId="14" fillId="0" borderId="11" xfId="0" applyNumberFormat="1" applyFont="1" applyFill="1" applyBorder="1"/>
    <xf numFmtId="0" fontId="62" fillId="0" borderId="0" xfId="0" applyFont="1"/>
    <xf numFmtId="0" fontId="62" fillId="0" borderId="11" xfId="0" applyFont="1" applyBorder="1"/>
    <xf numFmtId="2" fontId="59" fillId="0" borderId="0" xfId="0" applyNumberFormat="1" applyFont="1" applyFill="1"/>
    <xf numFmtId="2" fontId="41" fillId="0" borderId="0" xfId="41" applyNumberFormat="1" applyFont="1" applyFill="1" applyBorder="1" applyAlignment="1"/>
    <xf numFmtId="0" fontId="16" fillId="0" borderId="0" xfId="0" applyFont="1" applyFill="1"/>
    <xf numFmtId="0" fontId="42" fillId="0" borderId="0" xfId="0" applyFont="1" applyFill="1" applyAlignment="1">
      <alignment horizontal="center"/>
    </xf>
    <xf numFmtId="0" fontId="42" fillId="0" borderId="23" xfId="0" applyFont="1" applyBorder="1"/>
    <xf numFmtId="4" fontId="41" fillId="0" borderId="0" xfId="41" applyNumberFormat="1" applyFont="1"/>
    <xf numFmtId="1" fontId="41" fillId="35" borderId="11" xfId="41" applyNumberFormat="1" applyFont="1" applyFill="1" applyBorder="1"/>
    <xf numFmtId="0" fontId="41" fillId="0" borderId="11" xfId="41" applyNumberFormat="1" applyFont="1" applyFill="1" applyBorder="1" applyAlignment="1">
      <alignment horizontal="left"/>
    </xf>
    <xf numFmtId="49" fontId="41" fillId="0" borderId="11" xfId="41" applyNumberFormat="1" applyFont="1" applyFill="1" applyBorder="1" applyAlignment="1">
      <alignment horizontal="center"/>
    </xf>
    <xf numFmtId="2" fontId="41" fillId="0" borderId="11" xfId="41" applyNumberFormat="1" applyFont="1" applyFill="1" applyBorder="1" applyAlignment="1">
      <alignment vertical="center"/>
    </xf>
    <xf numFmtId="0" fontId="41" fillId="0" borderId="11" xfId="41" applyFont="1" applyFill="1" applyBorder="1" applyAlignment="1">
      <alignment horizontal="right"/>
    </xf>
    <xf numFmtId="2" fontId="57" fillId="0" borderId="11" xfId="41" applyNumberFormat="1" applyFont="1" applyFill="1" applyBorder="1" applyAlignment="1">
      <alignment vertical="center"/>
    </xf>
    <xf numFmtId="0" fontId="41" fillId="0" borderId="11" xfId="41" applyNumberFormat="1" applyFont="1" applyFill="1" applyBorder="1" applyAlignment="1">
      <alignment horizontal="center"/>
    </xf>
    <xf numFmtId="4" fontId="57" fillId="0" borderId="11" xfId="41" applyNumberFormat="1" applyFont="1" applyFill="1" applyBorder="1"/>
    <xf numFmtId="4" fontId="1" fillId="0" borderId="0" xfId="0" applyNumberFormat="1" applyFont="1"/>
    <xf numFmtId="1" fontId="41" fillId="0" borderId="11" xfId="41" applyNumberFormat="1" applyFont="1" applyFill="1" applyBorder="1"/>
    <xf numFmtId="2" fontId="41" fillId="35" borderId="11" xfId="41" applyNumberFormat="1" applyFont="1" applyFill="1" applyBorder="1" applyAlignment="1">
      <alignment vertical="center"/>
    </xf>
    <xf numFmtId="1" fontId="41" fillId="0" borderId="11" xfId="41" applyNumberFormat="1" applyFont="1" applyBorder="1" applyAlignment="1">
      <alignment horizontal="center"/>
    </xf>
    <xf numFmtId="2" fontId="41" fillId="0" borderId="11" xfId="41" applyNumberFormat="1" applyFont="1" applyBorder="1" applyAlignment="1">
      <alignment horizontal="right"/>
    </xf>
    <xf numFmtId="1" fontId="41" fillId="0" borderId="10" xfId="41" applyNumberFormat="1" applyFont="1" applyFill="1" applyBorder="1" applyAlignment="1">
      <alignment horizontal="center"/>
    </xf>
    <xf numFmtId="49" fontId="41" fillId="0" borderId="11" xfId="41" applyNumberFormat="1" applyFont="1" applyFill="1" applyBorder="1" applyAlignment="1">
      <alignment horizontal="left"/>
    </xf>
    <xf numFmtId="4" fontId="57" fillId="0" borderId="11" xfId="41" applyNumberFormat="1" applyFont="1" applyBorder="1"/>
    <xf numFmtId="1" fontId="41" fillId="0" borderId="0" xfId="41" applyNumberFormat="1" applyFont="1" applyFill="1" applyBorder="1"/>
    <xf numFmtId="49" fontId="41" fillId="0" borderId="0" xfId="41" applyNumberFormat="1" applyFont="1" applyFill="1" applyBorder="1" applyAlignment="1">
      <alignment horizontal="left"/>
    </xf>
    <xf numFmtId="49" fontId="41" fillId="0" borderId="0" xfId="41" applyNumberFormat="1" applyFont="1" applyFill="1" applyBorder="1" applyAlignment="1">
      <alignment horizontal="center"/>
    </xf>
    <xf numFmtId="2" fontId="57" fillId="0" borderId="0" xfId="41" applyNumberFormat="1" applyFont="1" applyFill="1" applyBorder="1" applyAlignment="1">
      <alignment vertical="center"/>
    </xf>
    <xf numFmtId="2" fontId="41" fillId="0" borderId="0" xfId="41" applyNumberFormat="1" applyFont="1" applyFill="1" applyBorder="1" applyAlignment="1">
      <alignment horizontal="left"/>
    </xf>
    <xf numFmtId="0" fontId="26" fillId="0" borderId="0" xfId="41" applyFont="1" applyAlignment="1">
      <alignment horizontal="right"/>
    </xf>
    <xf numFmtId="2" fontId="26" fillId="0" borderId="0" xfId="41" applyNumberFormat="1" applyFont="1"/>
    <xf numFmtId="0" fontId="63" fillId="0" borderId="0" xfId="41" applyFont="1" applyAlignment="1">
      <alignment horizontal="right"/>
    </xf>
    <xf numFmtId="0" fontId="63" fillId="0" borderId="0" xfId="41" applyFont="1"/>
    <xf numFmtId="2" fontId="63" fillId="0" borderId="0" xfId="41" applyNumberFormat="1" applyFont="1"/>
    <xf numFmtId="0" fontId="26" fillId="0" borderId="0" xfId="41" applyFont="1" applyFill="1"/>
    <xf numFmtId="0" fontId="41" fillId="0" borderId="0" xfId="41" applyFont="1" applyFill="1" applyAlignment="1">
      <alignment horizontal="right"/>
    </xf>
    <xf numFmtId="0" fontId="41" fillId="0" borderId="0" xfId="41" applyFont="1" applyFill="1"/>
    <xf numFmtId="2" fontId="41" fillId="0" borderId="0" xfId="41" applyNumberFormat="1" applyFont="1" applyFill="1"/>
    <xf numFmtId="0" fontId="57" fillId="0" borderId="11" xfId="41" applyFont="1" applyFill="1" applyBorder="1" applyAlignment="1">
      <alignment horizontal="right"/>
    </xf>
    <xf numFmtId="0" fontId="57" fillId="0" borderId="11" xfId="41" applyFont="1" applyFill="1" applyBorder="1"/>
    <xf numFmtId="49" fontId="57" fillId="0" borderId="11" xfId="41" applyNumberFormat="1" applyFont="1" applyFill="1" applyBorder="1" applyAlignment="1">
      <alignment horizontal="center"/>
    </xf>
    <xf numFmtId="2" fontId="57" fillId="0" borderId="11" xfId="41" applyNumberFormat="1" applyFont="1" applyFill="1" applyBorder="1"/>
    <xf numFmtId="4" fontId="57" fillId="0" borderId="11" xfId="41" applyNumberFormat="1" applyFont="1" applyFill="1" applyBorder="1" applyAlignment="1">
      <alignment vertical="center"/>
    </xf>
    <xf numFmtId="0" fontId="41" fillId="0" borderId="11" xfId="41" applyFont="1" applyFill="1" applyBorder="1"/>
    <xf numFmtId="0" fontId="57" fillId="0" borderId="11" xfId="41" applyFont="1" applyFill="1" applyBorder="1" applyAlignment="1">
      <alignment horizontal="center"/>
    </xf>
    <xf numFmtId="0" fontId="26" fillId="0" borderId="0" xfId="41" applyFont="1" applyFill="1" applyAlignment="1">
      <alignment horizontal="right"/>
    </xf>
    <xf numFmtId="0" fontId="41" fillId="0" borderId="0" xfId="41" applyFont="1" applyFill="1" applyBorder="1"/>
    <xf numFmtId="2" fontId="26" fillId="0" borderId="0" xfId="41" applyNumberFormat="1" applyFont="1" applyFill="1"/>
    <xf numFmtId="0" fontId="1" fillId="0" borderId="0" xfId="0" applyFont="1" applyAlignment="1">
      <alignment horizontal="right"/>
    </xf>
    <xf numFmtId="2" fontId="1" fillId="0" borderId="0" xfId="0" applyNumberFormat="1" applyFont="1"/>
    <xf numFmtId="1" fontId="41" fillId="0" borderId="0" xfId="41" applyNumberFormat="1" applyFont="1" applyFill="1" applyBorder="1" applyAlignment="1"/>
    <xf numFmtId="49" fontId="57" fillId="0" borderId="11" xfId="41" applyNumberFormat="1" applyFont="1" applyFill="1" applyBorder="1"/>
    <xf numFmtId="2" fontId="57" fillId="0" borderId="11" xfId="41" applyNumberFormat="1" applyFont="1" applyFill="1" applyBorder="1" applyAlignment="1">
      <alignment horizontal="center"/>
    </xf>
    <xf numFmtId="0" fontId="57" fillId="0" borderId="0" xfId="41" applyFont="1" applyFill="1" applyBorder="1"/>
    <xf numFmtId="0" fontId="41" fillId="0" borderId="11" xfId="41" applyNumberFormat="1" applyFont="1" applyFill="1" applyBorder="1"/>
    <xf numFmtId="49" fontId="41" fillId="0" borderId="11" xfId="41" applyNumberFormat="1" applyFont="1" applyFill="1" applyBorder="1"/>
    <xf numFmtId="2" fontId="41" fillId="0" borderId="11" xfId="0" applyNumberFormat="1" applyFont="1" applyFill="1" applyBorder="1"/>
    <xf numFmtId="0" fontId="41" fillId="0" borderId="11" xfId="0" applyNumberFormat="1" applyFont="1" applyFill="1" applyBorder="1"/>
    <xf numFmtId="2" fontId="41" fillId="0" borderId="11" xfId="41" applyNumberFormat="1" applyFont="1" applyFill="1" applyBorder="1"/>
    <xf numFmtId="2" fontId="57" fillId="0" borderId="11" xfId="0" applyNumberFormat="1" applyFont="1" applyFill="1" applyBorder="1"/>
    <xf numFmtId="2" fontId="41" fillId="0" borderId="11" xfId="41" applyNumberFormat="1" applyFont="1" applyFill="1" applyBorder="1" applyAlignment="1">
      <alignment horizontal="center"/>
    </xf>
    <xf numFmtId="2" fontId="26" fillId="0" borderId="0" xfId="41" applyNumberFormat="1" applyFont="1" applyFill="1" applyBorder="1"/>
    <xf numFmtId="2" fontId="57" fillId="0" borderId="0" xfId="41" applyNumberFormat="1" applyFont="1" applyFill="1" applyBorder="1"/>
    <xf numFmtId="49" fontId="57" fillId="0" borderId="0" xfId="41" applyNumberFormat="1" applyFont="1" applyFill="1" applyBorder="1"/>
    <xf numFmtId="0" fontId="57" fillId="0" borderId="0" xfId="0" applyFont="1" applyFill="1"/>
    <xf numFmtId="2" fontId="57" fillId="0" borderId="0" xfId="0" applyNumberFormat="1" applyFont="1" applyFill="1"/>
    <xf numFmtId="4" fontId="41" fillId="0" borderId="0" xfId="41" applyNumberFormat="1" applyFont="1" applyFill="1" applyBorder="1"/>
    <xf numFmtId="2" fontId="26" fillId="0" borderId="11" xfId="41" applyNumberFormat="1" applyFont="1" applyFill="1" applyBorder="1"/>
    <xf numFmtId="2" fontId="1" fillId="0" borderId="0" xfId="0" applyNumberFormat="1" applyFont="1" applyFill="1"/>
    <xf numFmtId="0" fontId="1" fillId="0" borderId="0" xfId="0" applyFont="1" applyFill="1" applyBorder="1"/>
    <xf numFmtId="0" fontId="26" fillId="0" borderId="11" xfId="41" applyFont="1" applyFill="1" applyBorder="1"/>
    <xf numFmtId="4" fontId="57" fillId="0" borderId="15" xfId="41" applyNumberFormat="1" applyFont="1" applyFill="1" applyBorder="1"/>
    <xf numFmtId="0" fontId="64" fillId="0" borderId="0" xfId="0" applyFont="1" applyFill="1" applyAlignment="1">
      <alignment horizontal="center"/>
    </xf>
    <xf numFmtId="4" fontId="57" fillId="0" borderId="0" xfId="0" applyNumberFormat="1" applyFont="1" applyFill="1"/>
    <xf numFmtId="0" fontId="57" fillId="0" borderId="0" xfId="41" applyFont="1" applyFill="1" applyBorder="1" applyAlignment="1">
      <alignment horizontal="center"/>
    </xf>
    <xf numFmtId="4" fontId="57" fillId="0" borderId="0" xfId="41" applyNumberFormat="1" applyFont="1" applyFill="1" applyBorder="1"/>
    <xf numFmtId="0" fontId="41" fillId="0" borderId="0" xfId="0" applyFont="1" applyFill="1"/>
    <xf numFmtId="2" fontId="41" fillId="0" borderId="0" xfId="0" applyNumberFormat="1" applyFont="1" applyFill="1"/>
    <xf numFmtId="16" fontId="1" fillId="0" borderId="0" xfId="0" applyNumberFormat="1" applyFont="1" applyFill="1" applyBorder="1"/>
    <xf numFmtId="0" fontId="41" fillId="0" borderId="11" xfId="41" applyFont="1" applyFill="1" applyBorder="1" applyAlignment="1">
      <alignment horizontal="justify" wrapText="1" shrinkToFit="1"/>
    </xf>
    <xf numFmtId="2" fontId="41" fillId="0" borderId="11" xfId="41" applyNumberFormat="1" applyFont="1" applyFill="1" applyBorder="1" applyAlignment="1">
      <alignment horizontal="right"/>
    </xf>
    <xf numFmtId="2" fontId="41" fillId="0" borderId="11" xfId="41" applyNumberFormat="1" applyFont="1" applyFill="1" applyBorder="1" applyAlignment="1"/>
    <xf numFmtId="0" fontId="41" fillId="0" borderId="11" xfId="41" applyFont="1" applyFill="1" applyBorder="1" applyAlignment="1"/>
    <xf numFmtId="0" fontId="41" fillId="0" borderId="11" xfId="41" applyFont="1" applyFill="1" applyBorder="1" applyAlignment="1">
      <alignment horizontal="center"/>
    </xf>
    <xf numFmtId="1" fontId="57" fillId="0" borderId="11" xfId="41" applyNumberFormat="1" applyFont="1" applyFill="1" applyBorder="1" applyAlignment="1">
      <alignment horizontal="right"/>
    </xf>
    <xf numFmtId="0" fontId="57" fillId="0" borderId="11" xfId="41" applyFont="1" applyFill="1" applyBorder="1" applyAlignment="1">
      <alignment horizontal="left"/>
    </xf>
    <xf numFmtId="1" fontId="57" fillId="0" borderId="11" xfId="41" applyNumberFormat="1" applyFont="1" applyFill="1" applyBorder="1" applyAlignment="1"/>
    <xf numFmtId="2" fontId="57" fillId="0" borderId="11" xfId="41" applyNumberFormat="1" applyFont="1" applyFill="1" applyBorder="1" applyAlignment="1">
      <alignment horizontal="right"/>
    </xf>
    <xf numFmtId="0" fontId="26" fillId="0" borderId="0" xfId="41" applyFont="1" applyAlignment="1">
      <alignment horizontal="justify" wrapText="1"/>
    </xf>
    <xf numFmtId="2" fontId="41" fillId="0" borderId="0" xfId="41" applyNumberFormat="1" applyFont="1" applyFill="1" applyBorder="1" applyAlignment="1">
      <alignment horizontal="center"/>
    </xf>
    <xf numFmtId="2" fontId="26" fillId="0" borderId="0" xfId="41" applyNumberFormat="1" applyFont="1" applyAlignment="1">
      <alignment horizontal="right"/>
    </xf>
    <xf numFmtId="0" fontId="41" fillId="0" borderId="0" xfId="41" applyFont="1" applyFill="1" applyBorder="1" applyAlignment="1">
      <alignment horizontal="left"/>
    </xf>
    <xf numFmtId="0" fontId="1" fillId="0" borderId="0" xfId="0" applyFont="1" applyAlignment="1">
      <alignment horizontal="justify" wrapText="1"/>
    </xf>
    <xf numFmtId="0" fontId="1" fillId="0" borderId="0" xfId="0" applyFont="1" applyAlignment="1"/>
    <xf numFmtId="2" fontId="1" fillId="0" borderId="0" xfId="0" applyNumberFormat="1" applyFont="1" applyAlignment="1">
      <alignment horizontal="right"/>
    </xf>
    <xf numFmtId="2" fontId="66" fillId="0" borderId="0" xfId="0" applyNumberFormat="1" applyFont="1" applyAlignment="1">
      <alignment horizontal="center"/>
    </xf>
    <xf numFmtId="4" fontId="41" fillId="0" borderId="0" xfId="41" applyNumberFormat="1" applyFont="1" applyFill="1" applyBorder="1" applyAlignment="1">
      <alignment horizontal="right"/>
    </xf>
    <xf numFmtId="0" fontId="57" fillId="0" borderId="0" xfId="41" applyFont="1" applyFill="1" applyBorder="1" applyAlignment="1">
      <alignment horizontal="left"/>
    </xf>
    <xf numFmtId="4" fontId="57" fillId="0" borderId="0" xfId="41" applyNumberFormat="1" applyFont="1" applyFill="1" applyBorder="1" applyAlignment="1">
      <alignment horizontal="right"/>
    </xf>
    <xf numFmtId="4" fontId="66" fillId="0" borderId="0" xfId="0" applyNumberFormat="1" applyFont="1" applyAlignment="1">
      <alignment horizontal="center"/>
    </xf>
    <xf numFmtId="0" fontId="61" fillId="0" borderId="0" xfId="41" applyFont="1" applyAlignment="1">
      <alignment horizontal="right"/>
    </xf>
    <xf numFmtId="4" fontId="61" fillId="0" borderId="0" xfId="41" applyNumberFormat="1" applyFont="1" applyAlignment="1">
      <alignment horizontal="justify" wrapText="1"/>
    </xf>
    <xf numFmtId="1" fontId="61" fillId="0" borderId="0" xfId="41" applyNumberFormat="1" applyFont="1" applyAlignment="1">
      <alignment horizontal="center"/>
    </xf>
    <xf numFmtId="0" fontId="41" fillId="0" borderId="0" xfId="41" applyFont="1"/>
    <xf numFmtId="2" fontId="67" fillId="0" borderId="0" xfId="41" applyNumberFormat="1" applyFont="1" applyAlignment="1">
      <alignment horizontal="center"/>
    </xf>
    <xf numFmtId="0" fontId="57" fillId="0" borderId="11" xfId="41" applyFont="1" applyFill="1" applyBorder="1" applyAlignment="1">
      <alignment horizontal="justify" wrapText="1" shrinkToFit="1"/>
    </xf>
    <xf numFmtId="2" fontId="57" fillId="0" borderId="11" xfId="41" applyNumberFormat="1" applyFont="1" applyFill="1" applyBorder="1" applyAlignment="1"/>
    <xf numFmtId="0" fontId="42" fillId="0" borderId="0" xfId="0" applyFont="1" applyFill="1" applyAlignment="1">
      <alignment horizontal="justify" wrapText="1"/>
    </xf>
    <xf numFmtId="0" fontId="42" fillId="0" borderId="0" xfId="0" applyFont="1" applyFill="1" applyAlignment="1"/>
    <xf numFmtId="2" fontId="42" fillId="0" borderId="0" xfId="0" applyNumberFormat="1" applyFont="1" applyFill="1" applyAlignment="1">
      <alignment horizontal="right"/>
    </xf>
    <xf numFmtId="0" fontId="41" fillId="0" borderId="0" xfId="0" applyFont="1" applyFill="1" applyAlignment="1">
      <alignment horizontal="right"/>
    </xf>
    <xf numFmtId="0" fontId="42" fillId="0" borderId="0" xfId="0" applyFont="1" applyAlignment="1">
      <alignment horizontal="right"/>
    </xf>
    <xf numFmtId="0" fontId="42" fillId="0" borderId="0" xfId="0" applyFont="1" applyAlignment="1">
      <alignment horizontal="justify" wrapText="1"/>
    </xf>
    <xf numFmtId="0" fontId="42" fillId="0" borderId="0" xfId="0" applyFont="1" applyAlignment="1"/>
    <xf numFmtId="2" fontId="42" fillId="0" borderId="0" xfId="0" applyNumberFormat="1" applyFont="1" applyAlignment="1">
      <alignment horizontal="right"/>
    </xf>
    <xf numFmtId="49" fontId="1" fillId="0" borderId="0" xfId="0" applyNumberFormat="1" applyFont="1"/>
    <xf numFmtId="0" fontId="41" fillId="0" borderId="0" xfId="41" applyFont="1" applyFill="1" applyBorder="1" applyAlignment="1">
      <alignment horizontal="center"/>
    </xf>
    <xf numFmtId="4" fontId="26" fillId="0" borderId="0" xfId="41" applyNumberFormat="1" applyFont="1" applyFill="1" applyBorder="1"/>
    <xf numFmtId="1" fontId="41" fillId="0" borderId="0" xfId="41" applyNumberFormat="1" applyFont="1" applyFill="1" applyBorder="1" applyAlignment="1">
      <alignment horizontal="center"/>
    </xf>
    <xf numFmtId="0" fontId="41" fillId="0" borderId="0" xfId="0" applyFont="1"/>
    <xf numFmtId="0" fontId="41" fillId="0" borderId="0" xfId="41" applyFont="1" applyBorder="1" applyAlignment="1">
      <alignment horizontal="center"/>
    </xf>
    <xf numFmtId="2" fontId="41" fillId="0" borderId="0" xfId="41" applyNumberFormat="1" applyFont="1" applyBorder="1" applyAlignment="1">
      <alignment horizontal="center"/>
    </xf>
    <xf numFmtId="49" fontId="41" fillId="0" borderId="0" xfId="41" applyNumberFormat="1" applyFont="1" applyBorder="1" applyAlignment="1">
      <alignment horizontal="center"/>
    </xf>
    <xf numFmtId="0" fontId="41" fillId="0" borderId="0" xfId="41" applyFont="1" applyBorder="1"/>
    <xf numFmtId="49" fontId="41" fillId="0" borderId="0" xfId="41" applyNumberFormat="1" applyFont="1" applyBorder="1" applyAlignment="1">
      <alignment horizontal="left"/>
    </xf>
    <xf numFmtId="0" fontId="65" fillId="0" borderId="11" xfId="41" applyFont="1" applyFill="1" applyBorder="1"/>
    <xf numFmtId="0" fontId="65" fillId="0" borderId="0" xfId="0" applyFont="1" applyFill="1"/>
    <xf numFmtId="4" fontId="26" fillId="0" borderId="11" xfId="41" applyNumberFormat="1" applyFont="1" applyFill="1" applyBorder="1"/>
    <xf numFmtId="2" fontId="41" fillId="0" borderId="0" xfId="41" applyNumberFormat="1" applyFont="1" applyFill="1" applyBorder="1" applyAlignment="1">
      <alignment horizontal="right"/>
    </xf>
    <xf numFmtId="0" fontId="41" fillId="0" borderId="11" xfId="41" applyFont="1" applyBorder="1" applyAlignment="1"/>
    <xf numFmtId="0" fontId="41" fillId="0" borderId="11" xfId="41" applyFont="1" applyBorder="1" applyAlignment="1">
      <alignment horizontal="center"/>
    </xf>
    <xf numFmtId="2" fontId="41" fillId="0" borderId="11" xfId="41" applyNumberFormat="1" applyFont="1" applyBorder="1" applyAlignment="1">
      <alignment horizontal="center"/>
    </xf>
    <xf numFmtId="0" fontId="41" fillId="0" borderId="11" xfId="41" applyFont="1" applyBorder="1"/>
    <xf numFmtId="49" fontId="41" fillId="0" borderId="11" xfId="41" applyNumberFormat="1" applyFont="1" applyBorder="1" applyAlignment="1">
      <alignment horizontal="center"/>
    </xf>
    <xf numFmtId="2" fontId="26" fillId="0" borderId="0" xfId="41" applyNumberFormat="1" applyFont="1" applyFill="1" applyAlignment="1">
      <alignment horizontal="right"/>
    </xf>
    <xf numFmtId="1" fontId="26" fillId="0" borderId="0" xfId="41" applyNumberFormat="1" applyFont="1" applyFill="1" applyBorder="1"/>
    <xf numFmtId="49" fontId="26" fillId="0" borderId="0" xfId="41" applyNumberFormat="1" applyFont="1" applyFill="1" applyBorder="1" applyAlignment="1">
      <alignment horizontal="center"/>
    </xf>
    <xf numFmtId="4" fontId="57" fillId="0" borderId="17" xfId="41" applyNumberFormat="1" applyFont="1" applyFill="1" applyBorder="1"/>
    <xf numFmtId="0" fontId="57" fillId="0" borderId="11" xfId="41" applyFont="1" applyFill="1" applyBorder="1" applyAlignment="1">
      <alignment horizontal="center" vertical="justify"/>
    </xf>
    <xf numFmtId="0" fontId="68" fillId="0" borderId="0" xfId="0" applyFont="1" applyFill="1"/>
    <xf numFmtId="0" fontId="41" fillId="0" borderId="11" xfId="41" applyFont="1" applyFill="1" applyBorder="1" applyAlignment="1">
      <alignment vertical="justify"/>
    </xf>
    <xf numFmtId="49" fontId="41" fillId="0" borderId="17" xfId="41" applyNumberFormat="1" applyFont="1" applyFill="1" applyBorder="1" applyAlignment="1">
      <alignment horizontal="center"/>
    </xf>
    <xf numFmtId="2" fontId="41" fillId="0" borderId="11" xfId="41" applyNumberFormat="1" applyFont="1" applyFill="1" applyBorder="1" applyAlignment="1">
      <alignment horizontal="left" vertical="center"/>
    </xf>
    <xf numFmtId="4" fontId="41" fillId="0" borderId="11" xfId="41" applyNumberFormat="1" applyFont="1" applyFill="1" applyBorder="1" applyAlignment="1">
      <alignment vertical="center"/>
    </xf>
    <xf numFmtId="4" fontId="41" fillId="0" borderId="11" xfId="41" applyNumberFormat="1" applyFont="1" applyFill="1" applyBorder="1"/>
    <xf numFmtId="0" fontId="26" fillId="0" borderId="0" xfId="41" applyFont="1" applyFill="1" applyAlignment="1">
      <alignment horizontal="center"/>
    </xf>
    <xf numFmtId="4" fontId="41" fillId="0" borderId="0" xfId="0" applyNumberFormat="1" applyFont="1" applyFill="1" applyBorder="1"/>
    <xf numFmtId="0" fontId="14" fillId="0" borderId="0" xfId="0" applyFont="1" applyFill="1" applyBorder="1"/>
    <xf numFmtId="2" fontId="57" fillId="0" borderId="0" xfId="41" applyNumberFormat="1" applyFont="1" applyFill="1" applyBorder="1" applyAlignment="1"/>
    <xf numFmtId="1" fontId="57" fillId="0" borderId="0" xfId="41" applyNumberFormat="1" applyFont="1" applyFill="1" applyBorder="1" applyAlignment="1"/>
    <xf numFmtId="2" fontId="57" fillId="0" borderId="0" xfId="41" applyNumberFormat="1" applyFont="1" applyFill="1" applyBorder="1" applyAlignment="1">
      <alignment horizontal="center"/>
    </xf>
    <xf numFmtId="2" fontId="65" fillId="0" borderId="11" xfId="0" applyNumberFormat="1" applyFont="1" applyFill="1" applyBorder="1" applyAlignment="1"/>
    <xf numFmtId="0" fontId="41" fillId="0" borderId="11" xfId="49" applyFont="1" applyBorder="1"/>
    <xf numFmtId="2" fontId="64" fillId="0" borderId="0" xfId="0" applyNumberFormat="1" applyFont="1" applyFill="1" applyAlignment="1">
      <alignment horizontal="center"/>
    </xf>
    <xf numFmtId="4" fontId="26" fillId="0" borderId="0" xfId="41" applyNumberFormat="1" applyFont="1" applyFill="1"/>
    <xf numFmtId="4" fontId="69" fillId="0" borderId="11" xfId="0" applyNumberFormat="1" applyFont="1" applyFill="1" applyBorder="1"/>
    <xf numFmtId="3" fontId="69" fillId="0" borderId="11" xfId="0" applyNumberFormat="1" applyFont="1" applyBorder="1"/>
    <xf numFmtId="2" fontId="36" fillId="35" borderId="11" xfId="45" applyNumberFormat="1" applyFont="1" applyFill="1" applyBorder="1" applyAlignment="1"/>
    <xf numFmtId="4" fontId="36" fillId="35" borderId="11" xfId="0" applyNumberFormat="1" applyFont="1" applyFill="1" applyBorder="1"/>
    <xf numFmtId="2" fontId="36" fillId="35" borderId="11" xfId="49" applyNumberFormat="1" applyFont="1" applyFill="1" applyBorder="1" applyAlignment="1">
      <alignment horizontal="right"/>
    </xf>
    <xf numFmtId="4" fontId="33" fillId="0" borderId="11" xfId="0" applyNumberFormat="1" applyFont="1" applyFill="1" applyBorder="1" applyAlignment="1"/>
    <xf numFmtId="0" fontId="14" fillId="0" borderId="0" xfId="0" applyFont="1" applyFill="1"/>
    <xf numFmtId="49" fontId="28" fillId="0" borderId="11" xfId="41" applyNumberFormat="1" applyFont="1" applyFill="1" applyBorder="1"/>
    <xf numFmtId="0" fontId="30" fillId="0" borderId="11" xfId="41" applyFont="1" applyFill="1" applyBorder="1"/>
    <xf numFmtId="4" fontId="40" fillId="0" borderId="11" xfId="0" applyNumberFormat="1" applyFont="1" applyFill="1" applyBorder="1"/>
    <xf numFmtId="2" fontId="28" fillId="0" borderId="11" xfId="0" applyNumberFormat="1" applyFont="1" applyBorder="1"/>
    <xf numFmtId="0" fontId="40" fillId="0" borderId="11" xfId="41" applyFont="1" applyFill="1" applyBorder="1"/>
    <xf numFmtId="49" fontId="40" fillId="0" borderId="11" xfId="41" applyNumberFormat="1" applyFont="1" applyFill="1" applyBorder="1" applyAlignment="1">
      <alignment horizontal="center"/>
    </xf>
    <xf numFmtId="0" fontId="32" fillId="0" borderId="0" xfId="49" applyFont="1" applyFill="1" applyBorder="1" applyAlignment="1">
      <alignment horizontal="right"/>
    </xf>
    <xf numFmtId="49" fontId="29" fillId="0" borderId="0" xfId="49" applyNumberFormat="1" applyFont="1" applyFill="1" applyBorder="1"/>
    <xf numFmtId="4" fontId="29" fillId="0" borderId="0" xfId="49" applyNumberFormat="1" applyFont="1" applyFill="1" applyBorder="1" applyAlignment="1">
      <alignment horizontal="right"/>
    </xf>
    <xf numFmtId="4" fontId="32" fillId="0" borderId="0" xfId="49" applyNumberFormat="1" applyFont="1" applyFill="1" applyBorder="1" applyAlignment="1">
      <alignment horizontal="center"/>
    </xf>
    <xf numFmtId="2" fontId="32" fillId="0" borderId="0" xfId="49" applyNumberFormat="1" applyFont="1" applyFill="1" applyBorder="1" applyAlignment="1">
      <alignment horizontal="left"/>
    </xf>
    <xf numFmtId="0" fontId="33" fillId="0" borderId="0" xfId="49" applyFont="1" applyFill="1" applyBorder="1"/>
    <xf numFmtId="0" fontId="32" fillId="0" borderId="0" xfId="49" applyFont="1" applyFill="1" applyBorder="1"/>
    <xf numFmtId="49" fontId="32" fillId="0" borderId="0" xfId="49" applyNumberFormat="1" applyFont="1" applyFill="1" applyBorder="1"/>
    <xf numFmtId="2" fontId="32" fillId="0" borderId="0" xfId="49" applyNumberFormat="1" applyFont="1" applyFill="1" applyBorder="1" applyAlignment="1">
      <alignment horizontal="right" wrapText="1"/>
    </xf>
    <xf numFmtId="4" fontId="33" fillId="0" borderId="0" xfId="0" applyNumberFormat="1" applyFont="1" applyFill="1" applyBorder="1"/>
    <xf numFmtId="2" fontId="32" fillId="0" borderId="0" xfId="49" applyNumberFormat="1" applyFont="1" applyFill="1" applyBorder="1" applyAlignment="1">
      <alignment horizontal="right"/>
    </xf>
    <xf numFmtId="49" fontId="33" fillId="0" borderId="11" xfId="49" applyNumberFormat="1" applyFont="1" applyFill="1" applyBorder="1" applyAlignment="1">
      <alignment horizontal="center" vertical="center"/>
    </xf>
    <xf numFmtId="0" fontId="33" fillId="0" borderId="11" xfId="0" applyFont="1" applyFill="1" applyBorder="1" applyAlignment="1">
      <alignment horizontal="center"/>
    </xf>
    <xf numFmtId="9" fontId="33" fillId="0" borderId="11" xfId="0" applyNumberFormat="1" applyFont="1" applyFill="1" applyBorder="1" applyAlignment="1">
      <alignment horizontal="center"/>
    </xf>
    <xf numFmtId="4" fontId="33" fillId="0" borderId="11" xfId="0" applyNumberFormat="1" applyFont="1" applyFill="1" applyBorder="1" applyAlignment="1">
      <alignment horizontal="center"/>
    </xf>
    <xf numFmtId="2" fontId="33" fillId="0" borderId="11" xfId="49" applyNumberFormat="1" applyFont="1" applyFill="1" applyBorder="1" applyAlignment="1">
      <alignment horizontal="right" vertical="center" wrapText="1"/>
    </xf>
    <xf numFmtId="0" fontId="33" fillId="0" borderId="11" xfId="49" applyFont="1" applyFill="1" applyBorder="1" applyAlignment="1">
      <alignment horizontal="center" vertical="center" wrapText="1"/>
    </xf>
    <xf numFmtId="0" fontId="33" fillId="41" borderId="11" xfId="49" applyFont="1" applyFill="1" applyBorder="1"/>
    <xf numFmtId="4" fontId="33" fillId="41" borderId="11" xfId="0" applyNumberFormat="1" applyFont="1" applyFill="1" applyBorder="1"/>
    <xf numFmtId="0" fontId="33" fillId="0" borderId="0" xfId="0" applyNumberFormat="1" applyFont="1" applyFill="1" applyBorder="1"/>
    <xf numFmtId="2" fontId="33" fillId="0" borderId="0" xfId="0" applyNumberFormat="1" applyFont="1" applyFill="1" applyBorder="1"/>
    <xf numFmtId="2" fontId="33" fillId="0" borderId="11" xfId="0" applyNumberFormat="1" applyFont="1" applyFill="1" applyBorder="1" applyAlignment="1">
      <alignment horizontal="center" wrapText="1"/>
    </xf>
    <xf numFmtId="4" fontId="33" fillId="41" borderId="0" xfId="0" applyNumberFormat="1" applyFont="1" applyFill="1"/>
    <xf numFmtId="4" fontId="33" fillId="41" borderId="0" xfId="0" applyNumberFormat="1" applyFont="1" applyFill="1" applyAlignment="1">
      <alignment horizontal="right"/>
    </xf>
    <xf numFmtId="0" fontId="33" fillId="0" borderId="17" xfId="0" applyFont="1" applyFill="1" applyBorder="1"/>
    <xf numFmtId="2" fontId="29" fillId="0" borderId="11" xfId="0" applyNumberFormat="1" applyFont="1" applyBorder="1"/>
    <xf numFmtId="0" fontId="40" fillId="0" borderId="11" xfId="41" applyFont="1" applyFill="1" applyBorder="1" applyAlignment="1">
      <alignment wrapText="1"/>
    </xf>
    <xf numFmtId="2" fontId="40" fillId="0" borderId="11" xfId="41" applyNumberFormat="1" applyFont="1" applyFill="1" applyBorder="1" applyAlignment="1">
      <alignment horizontal="right" wrapText="1"/>
    </xf>
    <xf numFmtId="2" fontId="40" fillId="0" borderId="11" xfId="41" applyNumberFormat="1" applyFont="1" applyFill="1" applyBorder="1" applyAlignment="1">
      <alignment horizontal="right"/>
    </xf>
    <xf numFmtId="0" fontId="40" fillId="0" borderId="11" xfId="41" applyFont="1" applyFill="1" applyBorder="1" applyAlignment="1">
      <alignment horizontal="center"/>
    </xf>
    <xf numFmtId="0" fontId="41" fillId="0" borderId="11" xfId="41" applyFont="1" applyFill="1" applyBorder="1" applyAlignment="1">
      <alignment wrapText="1"/>
    </xf>
    <xf numFmtId="2" fontId="41" fillId="0" borderId="11" xfId="41" applyNumberFormat="1" applyFont="1" applyFill="1" applyBorder="1" applyAlignment="1">
      <alignment horizontal="right" wrapText="1"/>
    </xf>
    <xf numFmtId="0" fontId="31" fillId="35" borderId="11" xfId="41" applyFont="1" applyFill="1" applyBorder="1"/>
    <xf numFmtId="0" fontId="19" fillId="35" borderId="11" xfId="41" applyFont="1" applyFill="1" applyBorder="1"/>
    <xf numFmtId="0" fontId="18" fillId="35" borderId="11" xfId="41" applyFont="1" applyFill="1" applyBorder="1"/>
    <xf numFmtId="4" fontId="18" fillId="35" borderId="11" xfId="41" applyNumberFormat="1" applyFont="1" applyFill="1" applyBorder="1"/>
    <xf numFmtId="0" fontId="42" fillId="35" borderId="0" xfId="0" applyFont="1" applyFill="1"/>
    <xf numFmtId="4" fontId="18" fillId="0" borderId="0" xfId="41" applyNumberFormat="1" applyFont="1" applyBorder="1"/>
    <xf numFmtId="165" fontId="41" fillId="0" borderId="11" xfId="41" applyNumberFormat="1" applyFont="1" applyFill="1" applyBorder="1" applyAlignment="1">
      <alignment horizontal="right" wrapText="1"/>
    </xf>
    <xf numFmtId="4" fontId="41" fillId="0" borderId="11" xfId="41" applyNumberFormat="1" applyFont="1" applyFill="1" applyBorder="1" applyAlignment="1">
      <alignment horizontal="center" vertical="center"/>
    </xf>
    <xf numFmtId="4" fontId="41" fillId="35" borderId="11" xfId="41" applyNumberFormat="1" applyFont="1" applyFill="1" applyBorder="1" applyAlignment="1">
      <alignment wrapText="1"/>
    </xf>
    <xf numFmtId="4" fontId="41" fillId="35" borderId="11" xfId="41" applyNumberFormat="1" applyFont="1" applyFill="1" applyBorder="1" applyAlignment="1">
      <alignment vertical="center"/>
    </xf>
    <xf numFmtId="0" fontId="41" fillId="0" borderId="11" xfId="41" applyNumberFormat="1" applyFont="1" applyFill="1" applyBorder="1" applyAlignment="1">
      <alignment vertical="center" wrapText="1" readingOrder="1"/>
    </xf>
    <xf numFmtId="0" fontId="41" fillId="35" borderId="0" xfId="41" applyFont="1" applyFill="1" applyBorder="1"/>
    <xf numFmtId="0" fontId="65" fillId="0" borderId="0" xfId="0" applyFont="1"/>
    <xf numFmtId="2" fontId="40" fillId="0" borderId="11" xfId="41" applyNumberFormat="1" applyFont="1" applyFill="1" applyBorder="1"/>
    <xf numFmtId="0" fontId="42" fillId="0" borderId="11" xfId="0" applyFont="1" applyBorder="1"/>
    <xf numFmtId="0" fontId="0" fillId="0" borderId="0" xfId="0"/>
    <xf numFmtId="0" fontId="0" fillId="0" borderId="11" xfId="0" applyBorder="1"/>
    <xf numFmtId="2" fontId="0" fillId="0" borderId="11" xfId="0" applyNumberFormat="1" applyBorder="1"/>
    <xf numFmtId="0" fontId="70" fillId="0" borderId="11" xfId="0" applyFont="1" applyFill="1" applyBorder="1"/>
    <xf numFmtId="165" fontId="33" fillId="35" borderId="11" xfId="41" applyNumberFormat="1" applyFont="1" applyFill="1" applyBorder="1" applyAlignment="1">
      <alignment horizontal="right" wrapText="1"/>
    </xf>
    <xf numFmtId="2" fontId="33" fillId="35" borderId="11" xfId="41" applyNumberFormat="1" applyFont="1" applyFill="1" applyBorder="1" applyAlignment="1">
      <alignment horizontal="right" wrapText="1"/>
    </xf>
    <xf numFmtId="4" fontId="33" fillId="35" borderId="11" xfId="41" applyNumberFormat="1" applyFont="1" applyFill="1" applyBorder="1" applyAlignment="1">
      <alignment wrapText="1"/>
    </xf>
    <xf numFmtId="0" fontId="71" fillId="0" borderId="11" xfId="41" applyFont="1" applyFill="1" applyBorder="1"/>
    <xf numFmtId="0" fontId="46" fillId="0" borderId="11" xfId="49" applyFont="1" applyFill="1" applyBorder="1"/>
    <xf numFmtId="0" fontId="46" fillId="0" borderId="11" xfId="0" applyFont="1" applyFill="1" applyBorder="1"/>
    <xf numFmtId="3" fontId="72" fillId="0" borderId="11" xfId="0" applyNumberFormat="1" applyFont="1" applyBorder="1"/>
    <xf numFmtId="4" fontId="71" fillId="0" borderId="11" xfId="41" applyNumberFormat="1" applyFont="1" applyFill="1" applyBorder="1" applyAlignment="1">
      <alignment horizontal="right"/>
    </xf>
    <xf numFmtId="4" fontId="72" fillId="0" borderId="11" xfId="0" applyNumberFormat="1" applyFont="1" applyBorder="1"/>
    <xf numFmtId="16" fontId="45" fillId="0" borderId="0" xfId="0" applyNumberFormat="1" applyFont="1" applyFill="1" applyBorder="1"/>
    <xf numFmtId="2" fontId="33" fillId="0" borderId="11" xfId="0" applyNumberFormat="1" applyFont="1" applyFill="1" applyBorder="1" applyAlignment="1"/>
    <xf numFmtId="2" fontId="33" fillId="0" borderId="11" xfId="0" applyNumberFormat="1" applyFont="1" applyFill="1" applyBorder="1"/>
    <xf numFmtId="2" fontId="33" fillId="0" borderId="11" xfId="0" applyNumberFormat="1" applyFont="1" applyBorder="1"/>
    <xf numFmtId="0" fontId="46" fillId="0" borderId="0" xfId="0" applyNumberFormat="1" applyFont="1" applyFill="1"/>
    <xf numFmtId="0" fontId="46" fillId="0" borderId="0" xfId="0" applyFont="1" applyFill="1" applyBorder="1"/>
    <xf numFmtId="4" fontId="46" fillId="0" borderId="11" xfId="0" applyNumberFormat="1" applyFont="1" applyFill="1" applyBorder="1"/>
    <xf numFmtId="0" fontId="46" fillId="0" borderId="0" xfId="0" applyFont="1" applyFill="1"/>
    <xf numFmtId="16" fontId="46" fillId="0" borderId="0" xfId="0" applyNumberFormat="1" applyFont="1" applyFill="1" applyBorder="1"/>
    <xf numFmtId="16" fontId="28" fillId="0" borderId="11" xfId="0" applyNumberFormat="1" applyFont="1" applyFill="1" applyBorder="1"/>
    <xf numFmtId="16" fontId="28" fillId="0" borderId="11" xfId="41" applyNumberFormat="1" applyFont="1" applyFill="1" applyBorder="1"/>
    <xf numFmtId="2" fontId="29" fillId="0" borderId="11" xfId="41" applyNumberFormat="1" applyFont="1" applyFill="1" applyBorder="1"/>
    <xf numFmtId="1" fontId="0" fillId="0" borderId="0" xfId="0" applyNumberFormat="1"/>
    <xf numFmtId="49" fontId="33" fillId="35" borderId="0" xfId="41" applyNumberFormat="1" applyFont="1" applyFill="1" applyBorder="1" applyAlignment="1">
      <alignment horizontal="justify" shrinkToFit="1"/>
    </xf>
    <xf numFmtId="49" fontId="33" fillId="0" borderId="23" xfId="41" applyNumberFormat="1" applyFont="1" applyFill="1" applyBorder="1" applyAlignment="1">
      <alignment horizontal="justify" shrinkToFit="1"/>
    </xf>
    <xf numFmtId="4" fontId="42" fillId="41" borderId="11" xfId="0" applyNumberFormat="1" applyFont="1" applyFill="1" applyBorder="1"/>
    <xf numFmtId="16" fontId="42" fillId="41" borderId="11" xfId="0" applyNumberFormat="1" applyFont="1" applyFill="1" applyBorder="1" applyAlignment="1">
      <alignment horizontal="right"/>
    </xf>
    <xf numFmtId="0" fontId="46" fillId="0" borderId="10" xfId="41" applyFont="1" applyFill="1" applyBorder="1" applyAlignment="1">
      <alignment wrapText="1"/>
    </xf>
    <xf numFmtId="4" fontId="71" fillId="0" borderId="11" xfId="41" applyNumberFormat="1" applyFont="1" applyFill="1" applyBorder="1"/>
    <xf numFmtId="4" fontId="71" fillId="0" borderId="11" xfId="41" applyNumberFormat="1" applyFont="1" applyFill="1" applyBorder="1" applyAlignment="1"/>
    <xf numFmtId="4" fontId="71" fillId="0" borderId="11" xfId="41" applyNumberFormat="1" applyFont="1" applyFill="1" applyBorder="1" applyAlignment="1">
      <alignment horizontal="center"/>
    </xf>
    <xf numFmtId="0" fontId="71" fillId="0" borderId="11" xfId="41" applyFont="1" applyFill="1" applyBorder="1" applyAlignment="1">
      <alignment horizontal="right"/>
    </xf>
    <xf numFmtId="16" fontId="14" fillId="0" borderId="11" xfId="0" applyNumberFormat="1" applyFont="1" applyFill="1" applyBorder="1" applyAlignment="1">
      <alignment horizontal="right"/>
    </xf>
    <xf numFmtId="0" fontId="31" fillId="41" borderId="11" xfId="41" applyFont="1" applyFill="1" applyBorder="1"/>
    <xf numFmtId="4" fontId="31" fillId="35" borderId="11" xfId="41" applyNumberFormat="1" applyFont="1" applyFill="1" applyBorder="1"/>
    <xf numFmtId="4" fontId="31" fillId="35" borderId="11" xfId="41" applyNumberFormat="1" applyFont="1" applyFill="1" applyBorder="1" applyAlignment="1"/>
    <xf numFmtId="4" fontId="31" fillId="35" borderId="11" xfId="41" applyNumberFormat="1" applyFont="1" applyFill="1" applyBorder="1" applyAlignment="1">
      <alignment horizontal="right"/>
    </xf>
    <xf numFmtId="4" fontId="31" fillId="35" borderId="11" xfId="41" applyNumberFormat="1" applyFont="1" applyFill="1" applyBorder="1" applyAlignment="1">
      <alignment horizontal="center"/>
    </xf>
    <xf numFmtId="0" fontId="71" fillId="35" borderId="11" xfId="41" applyFont="1" applyFill="1" applyBorder="1"/>
    <xf numFmtId="4" fontId="71" fillId="35" borderId="11" xfId="41" applyNumberFormat="1" applyFont="1" applyFill="1" applyBorder="1"/>
    <xf numFmtId="4" fontId="71" fillId="35" borderId="11" xfId="41" applyNumberFormat="1" applyFont="1" applyFill="1" applyBorder="1" applyAlignment="1"/>
    <xf numFmtId="4" fontId="71" fillId="35" borderId="11" xfId="41" applyNumberFormat="1" applyFont="1" applyFill="1" applyBorder="1" applyAlignment="1">
      <alignment horizontal="right"/>
    </xf>
    <xf numFmtId="4" fontId="71" fillId="35" borderId="11" xfId="41" applyNumberFormat="1" applyFont="1" applyFill="1" applyBorder="1" applyAlignment="1">
      <alignment horizontal="center"/>
    </xf>
    <xf numFmtId="4" fontId="18" fillId="35" borderId="10" xfId="41" applyNumberFormat="1" applyFont="1" applyFill="1" applyBorder="1"/>
    <xf numFmtId="4" fontId="42" fillId="35" borderId="11" xfId="0" applyNumberFormat="1" applyFont="1" applyFill="1" applyBorder="1"/>
    <xf numFmtId="0" fontId="45" fillId="0" borderId="11" xfId="49" applyFont="1" applyFill="1" applyBorder="1"/>
    <xf numFmtId="0" fontId="45" fillId="0" borderId="11" xfId="0" applyFont="1" applyFill="1" applyBorder="1"/>
    <xf numFmtId="0" fontId="45" fillId="0" borderId="0" xfId="0" applyNumberFormat="1" applyFont="1" applyFill="1"/>
    <xf numFmtId="0" fontId="45" fillId="0" borderId="0" xfId="0" applyFont="1" applyFill="1"/>
    <xf numFmtId="4" fontId="19" fillId="33" borderId="11" xfId="41" applyNumberFormat="1" applyFont="1" applyFill="1" applyBorder="1" applyAlignment="1">
      <alignment wrapText="1"/>
    </xf>
    <xf numFmtId="4" fontId="19" fillId="33" borderId="11" xfId="41" applyNumberFormat="1" applyFont="1" applyFill="1" applyBorder="1" applyAlignment="1">
      <alignment horizontal="center" wrapText="1"/>
    </xf>
    <xf numFmtId="4" fontId="19" fillId="33" borderId="11" xfId="41" applyNumberFormat="1" applyFont="1" applyFill="1" applyBorder="1" applyAlignment="1">
      <alignment horizontal="left" wrapText="1"/>
    </xf>
    <xf numFmtId="4" fontId="53" fillId="0" borderId="11" xfId="41" applyNumberFormat="1" applyFont="1" applyFill="1" applyBorder="1"/>
    <xf numFmtId="4" fontId="47" fillId="0" borderId="11" xfId="41" applyNumberFormat="1" applyFont="1" applyFill="1" applyBorder="1"/>
    <xf numFmtId="4" fontId="18" fillId="41" borderId="11" xfId="41" applyNumberFormat="1" applyFont="1" applyFill="1" applyBorder="1"/>
    <xf numFmtId="0" fontId="18" fillId="0" borderId="11" xfId="41" applyFont="1" applyFill="1" applyBorder="1" applyAlignment="1">
      <alignment horizontal="right"/>
    </xf>
    <xf numFmtId="0" fontId="73" fillId="0" borderId="0" xfId="0" applyFont="1" applyFill="1"/>
    <xf numFmtId="0" fontId="73" fillId="0" borderId="0" xfId="0" applyFont="1"/>
    <xf numFmtId="0" fontId="73" fillId="0" borderId="15" xfId="0" applyFont="1" applyFill="1" applyBorder="1"/>
    <xf numFmtId="0" fontId="73" fillId="0" borderId="22" xfId="0" applyFont="1" applyBorder="1"/>
    <xf numFmtId="4" fontId="73" fillId="0" borderId="22" xfId="0" applyNumberFormat="1" applyFont="1" applyBorder="1"/>
    <xf numFmtId="4" fontId="73" fillId="0" borderId="22" xfId="0" applyNumberFormat="1" applyFont="1" applyBorder="1" applyAlignment="1"/>
    <xf numFmtId="4" fontId="73" fillId="0" borderId="22" xfId="0" applyNumberFormat="1" applyFont="1" applyBorder="1" applyAlignment="1">
      <alignment horizontal="right"/>
    </xf>
    <xf numFmtId="4" fontId="74" fillId="0" borderId="22" xfId="0" applyNumberFormat="1" applyFont="1" applyFill="1" applyBorder="1"/>
    <xf numFmtId="0" fontId="74" fillId="0" borderId="22" xfId="0" applyFont="1" applyFill="1" applyBorder="1"/>
    <xf numFmtId="0" fontId="73" fillId="0" borderId="17" xfId="0" applyFont="1" applyFill="1" applyBorder="1" applyAlignment="1">
      <alignment horizontal="right"/>
    </xf>
    <xf numFmtId="4" fontId="21" fillId="0" borderId="15" xfId="41" applyNumberFormat="1" applyFont="1" applyFill="1" applyBorder="1" applyAlignment="1">
      <alignment wrapText="1"/>
    </xf>
    <xf numFmtId="4" fontId="21" fillId="0" borderId="0" xfId="41" applyNumberFormat="1" applyFont="1" applyFill="1" applyBorder="1" applyAlignment="1">
      <alignment wrapText="1"/>
    </xf>
    <xf numFmtId="2" fontId="29" fillId="0" borderId="0" xfId="41" applyNumberFormat="1" applyFont="1" applyBorder="1"/>
    <xf numFmtId="0" fontId="29" fillId="0" borderId="0" xfId="41" applyFont="1" applyBorder="1" applyAlignment="1">
      <alignment horizontal="justify" vertical="center"/>
    </xf>
    <xf numFmtId="0" fontId="29" fillId="0" borderId="0" xfId="41" applyFont="1" applyBorder="1"/>
    <xf numFmtId="4" fontId="29" fillId="0" borderId="0" xfId="41" applyNumberFormat="1" applyFont="1" applyFill="1" applyBorder="1"/>
    <xf numFmtId="4" fontId="37" fillId="0" borderId="0" xfId="41" applyNumberFormat="1" applyFont="1" applyFill="1" applyBorder="1"/>
    <xf numFmtId="4" fontId="29" fillId="0" borderId="0" xfId="41" applyNumberFormat="1" applyFont="1" applyFill="1" applyBorder="1" applyAlignment="1">
      <alignment wrapText="1"/>
    </xf>
    <xf numFmtId="1" fontId="33" fillId="35" borderId="0" xfId="41" applyNumberFormat="1" applyFont="1" applyFill="1" applyBorder="1" applyAlignment="1">
      <alignment horizontal="right" shrinkToFit="1"/>
    </xf>
    <xf numFmtId="0" fontId="33" fillId="0" borderId="11" xfId="45" applyFont="1" applyFill="1" applyBorder="1"/>
    <xf numFmtId="0" fontId="42" fillId="35" borderId="23" xfId="0" applyFont="1" applyFill="1" applyBorder="1"/>
    <xf numFmtId="49" fontId="33" fillId="35" borderId="0" xfId="41" applyNumberFormat="1" applyFont="1" applyFill="1" applyBorder="1" applyAlignment="1">
      <alignment shrinkToFit="1"/>
    </xf>
    <xf numFmtId="0" fontId="42" fillId="0" borderId="24" xfId="0" applyFont="1" applyFill="1" applyBorder="1"/>
    <xf numFmtId="49" fontId="33" fillId="0" borderId="0" xfId="41" applyNumberFormat="1" applyFont="1" applyBorder="1" applyAlignment="1">
      <alignment shrinkToFit="1"/>
    </xf>
    <xf numFmtId="49" fontId="33" fillId="0" borderId="23" xfId="0" applyNumberFormat="1" applyFont="1" applyFill="1" applyBorder="1" applyAlignment="1">
      <alignment shrinkToFit="1"/>
    </xf>
    <xf numFmtId="49" fontId="33" fillId="35" borderId="0" xfId="0" applyNumberFormat="1" applyFont="1" applyFill="1" applyBorder="1" applyAlignment="1">
      <alignment shrinkToFit="1"/>
    </xf>
    <xf numFmtId="0" fontId="20" fillId="36" borderId="21" xfId="41" applyFont="1" applyFill="1" applyBorder="1" applyAlignment="1">
      <alignment wrapText="1"/>
    </xf>
    <xf numFmtId="0" fontId="20" fillId="36" borderId="17" xfId="41" applyFont="1" applyFill="1" applyBorder="1" applyAlignment="1">
      <alignment wrapText="1"/>
    </xf>
    <xf numFmtId="2" fontId="33" fillId="0" borderId="15" xfId="0" applyNumberFormat="1" applyFont="1" applyFill="1" applyBorder="1" applyAlignment="1">
      <alignment horizontal="center" wrapText="1"/>
    </xf>
    <xf numFmtId="0" fontId="42" fillId="0" borderId="17" xfId="0" applyFont="1" applyFill="1" applyBorder="1" applyAlignment="1">
      <alignment horizontal="center"/>
    </xf>
    <xf numFmtId="2" fontId="41" fillId="0" borderId="0" xfId="41" applyNumberFormat="1" applyFont="1" applyBorder="1" applyAlignment="1">
      <alignment horizontal="center"/>
    </xf>
    <xf numFmtId="1" fontId="41" fillId="0" borderId="0" xfId="41" applyNumberFormat="1" applyFont="1" applyBorder="1" applyAlignment="1">
      <alignment horizontal="center"/>
    </xf>
    <xf numFmtId="1" fontId="41" fillId="0" borderId="0" xfId="41" applyNumberFormat="1" applyFont="1" applyFill="1" applyBorder="1" applyAlignment="1">
      <alignment horizontal="center"/>
    </xf>
    <xf numFmtId="2" fontId="41" fillId="0" borderId="0" xfId="41" applyNumberFormat="1" applyFont="1" applyFill="1" applyBorder="1" applyAlignment="1">
      <alignment horizontal="center"/>
    </xf>
    <xf numFmtId="2" fontId="41" fillId="0" borderId="14" xfId="41" applyNumberFormat="1" applyFont="1" applyFill="1" applyBorder="1" applyAlignment="1">
      <alignment horizontal="center"/>
    </xf>
    <xf numFmtId="2" fontId="57" fillId="0" borderId="0" xfId="41" applyNumberFormat="1" applyFont="1" applyFill="1" applyBorder="1" applyAlignment="1">
      <alignment horizontal="center"/>
    </xf>
    <xf numFmtId="1" fontId="57" fillId="0" borderId="0" xfId="41" applyNumberFormat="1" applyFont="1" applyFill="1" applyBorder="1" applyAlignment="1">
      <alignment horizontal="center"/>
    </xf>
    <xf numFmtId="0" fontId="57" fillId="0" borderId="15" xfId="0" applyFont="1" applyFill="1" applyBorder="1" applyAlignment="1">
      <alignment horizontal="center"/>
    </xf>
    <xf numFmtId="0" fontId="57" fillId="0" borderId="22" xfId="0" applyFont="1" applyFill="1" applyBorder="1" applyAlignment="1">
      <alignment horizontal="center"/>
    </xf>
    <xf numFmtId="0" fontId="57" fillId="0" borderId="17" xfId="0" applyFont="1" applyFill="1" applyBorder="1" applyAlignment="1">
      <alignment horizontal="center"/>
    </xf>
    <xf numFmtId="0" fontId="41" fillId="0" borderId="0" xfId="41" applyFont="1" applyFill="1" applyAlignment="1">
      <alignment horizontal="center"/>
    </xf>
    <xf numFmtId="2" fontId="28" fillId="0" borderId="0" xfId="41" applyNumberFormat="1" applyFont="1" applyBorder="1" applyAlignment="1">
      <alignment horizontal="center"/>
    </xf>
    <xf numFmtId="2" fontId="30" fillId="0" borderId="0" xfId="41" applyNumberFormat="1" applyFont="1" applyBorder="1" applyAlignment="1">
      <alignment horizontal="center"/>
    </xf>
    <xf numFmtId="1" fontId="30" fillId="0" borderId="0" xfId="41" applyNumberFormat="1" applyFont="1" applyBorder="1" applyAlignment="1">
      <alignment horizontal="center"/>
    </xf>
    <xf numFmtId="1" fontId="28" fillId="0" borderId="0" xfId="41" applyNumberFormat="1" applyFont="1" applyBorder="1" applyAlignment="1">
      <alignment horizontal="center"/>
    </xf>
  </cellXfs>
  <cellStyles count="53">
    <cellStyle name="20% — акцент1" xfId="18" builtinId="30" customBuiltin="1"/>
    <cellStyle name="20% — акцент2" xfId="22" builtinId="34" customBuiltin="1"/>
    <cellStyle name="20% — акцент3" xfId="26" builtinId="38" customBuiltin="1"/>
    <cellStyle name="20% — акцент4" xfId="30" builtinId="42" customBuiltin="1"/>
    <cellStyle name="20% — акцент5" xfId="34" builtinId="46" customBuiltin="1"/>
    <cellStyle name="20% — акцент6" xfId="38" builtinId="50" customBuiltin="1"/>
    <cellStyle name="40% — акцент1" xfId="19" builtinId="31" customBuiltin="1"/>
    <cellStyle name="40% — акцент2" xfId="23" builtinId="35" customBuiltin="1"/>
    <cellStyle name="40% — акцент3" xfId="27" builtinId="39" customBuiltin="1"/>
    <cellStyle name="40% — акцент4" xfId="31" builtinId="43" customBuiltin="1"/>
    <cellStyle name="40% — акцент5" xfId="35" builtinId="47" customBuiltin="1"/>
    <cellStyle name="40% — акцент6" xfId="39" builtinId="51" customBuiltin="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Денежный 2" xfId="42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азвание 2" xfId="51"/>
    <cellStyle name="Нейтральный" xfId="8" builtinId="28" customBuiltin="1"/>
    <cellStyle name="Обычный" xfId="0" builtinId="0"/>
    <cellStyle name="Обычный 2" xfId="43"/>
    <cellStyle name="Обычный 2 2" xfId="50"/>
    <cellStyle name="Обычный 3" xfId="44"/>
    <cellStyle name="Обычный 4" xfId="41"/>
    <cellStyle name="Обычный 5" xfId="52"/>
    <cellStyle name="Обычный_Банк 2012" xfId="45"/>
    <cellStyle name="Обычный_Банк 2012 2" xfId="48"/>
    <cellStyle name="Обычный_Банк Фр" xfId="49"/>
    <cellStyle name="Плохой" xfId="7" builtinId="27" customBuiltin="1"/>
    <cellStyle name="Пояснение" xfId="15" builtinId="53" customBuiltin="1"/>
    <cellStyle name="Примечание" xfId="47" builtinId="10" customBuiltin="1"/>
    <cellStyle name="Примечание 2" xfId="46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242094</xdr:colOff>
      <xdr:row>90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9782" y="26845021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90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832644" y="4670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90</xdr:row>
      <xdr:rowOff>0</xdr:rowOff>
    </xdr:from>
    <xdr:ext cx="184731" cy="264560"/>
    <xdr:sp macro="" textlink="">
      <xdr:nvSpPr>
        <xdr:cNvPr id="4" name="TextBox 3"/>
        <xdr:cNvSpPr txBox="1"/>
      </xdr:nvSpPr>
      <xdr:spPr>
        <a:xfrm>
          <a:off x="832644" y="4728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90</xdr:row>
      <xdr:rowOff>0</xdr:rowOff>
    </xdr:from>
    <xdr:ext cx="184731" cy="264560"/>
    <xdr:sp macro="" textlink="">
      <xdr:nvSpPr>
        <xdr:cNvPr id="6" name="TextBox 5"/>
        <xdr:cNvSpPr txBox="1"/>
      </xdr:nvSpPr>
      <xdr:spPr>
        <a:xfrm>
          <a:off x="832644" y="4728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90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832644" y="4728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9</xdr:row>
      <xdr:rowOff>0</xdr:rowOff>
    </xdr:from>
    <xdr:ext cx="184731" cy="264560"/>
    <xdr:sp macro="" textlink="">
      <xdr:nvSpPr>
        <xdr:cNvPr id="9" name="TextBox 8"/>
        <xdr:cNvSpPr txBox="1"/>
      </xdr:nvSpPr>
      <xdr:spPr>
        <a:xfrm>
          <a:off x="851694" y="470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68</xdr:row>
      <xdr:rowOff>0</xdr:rowOff>
    </xdr:from>
    <xdr:ext cx="184731" cy="264560"/>
    <xdr:sp macro="" textlink="">
      <xdr:nvSpPr>
        <xdr:cNvPr id="10" name="TextBox 9"/>
        <xdr:cNvSpPr txBox="1"/>
      </xdr:nvSpPr>
      <xdr:spPr>
        <a:xfrm>
          <a:off x="851694" y="470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17</xdr:row>
      <xdr:rowOff>0</xdr:rowOff>
    </xdr:from>
    <xdr:ext cx="184731" cy="264560"/>
    <xdr:sp macro="" textlink="">
      <xdr:nvSpPr>
        <xdr:cNvPr id="11" name="TextBox 10"/>
        <xdr:cNvSpPr txBox="1"/>
      </xdr:nvSpPr>
      <xdr:spPr>
        <a:xfrm>
          <a:off x="851694" y="53134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90</xdr:row>
      <xdr:rowOff>0</xdr:rowOff>
    </xdr:from>
    <xdr:ext cx="184731" cy="264560"/>
    <xdr:sp macro="" textlink="">
      <xdr:nvSpPr>
        <xdr:cNvPr id="12" name="TextBox 11"/>
        <xdr:cNvSpPr txBox="1"/>
      </xdr:nvSpPr>
      <xdr:spPr>
        <a:xfrm>
          <a:off x="851694" y="14889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54</xdr:row>
      <xdr:rowOff>0</xdr:rowOff>
    </xdr:from>
    <xdr:ext cx="184731" cy="264560"/>
    <xdr:sp macro="" textlink="">
      <xdr:nvSpPr>
        <xdr:cNvPr id="13" name="TextBox 12"/>
        <xdr:cNvSpPr txBox="1"/>
      </xdr:nvSpPr>
      <xdr:spPr>
        <a:xfrm>
          <a:off x="851694" y="14889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242094</xdr:colOff>
      <xdr:row>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832644" y="2074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4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832644" y="2074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4</xdr:row>
      <xdr:rowOff>0</xdr:rowOff>
    </xdr:from>
    <xdr:ext cx="184731" cy="264560"/>
    <xdr:sp macro="" textlink="">
      <xdr:nvSpPr>
        <xdr:cNvPr id="4" name="TextBox 3"/>
        <xdr:cNvSpPr txBox="1"/>
      </xdr:nvSpPr>
      <xdr:spPr>
        <a:xfrm>
          <a:off x="832644" y="2074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4</xdr:row>
      <xdr:rowOff>0</xdr:rowOff>
    </xdr:from>
    <xdr:ext cx="184731" cy="264560"/>
    <xdr:sp macro="" textlink="">
      <xdr:nvSpPr>
        <xdr:cNvPr id="5" name="TextBox 4"/>
        <xdr:cNvSpPr txBox="1"/>
      </xdr:nvSpPr>
      <xdr:spPr>
        <a:xfrm>
          <a:off x="832644" y="2074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242094</xdr:colOff>
      <xdr:row>4</xdr:row>
      <xdr:rowOff>0</xdr:rowOff>
    </xdr:from>
    <xdr:ext cx="184731" cy="264560"/>
    <xdr:sp macro="" textlink="">
      <xdr:nvSpPr>
        <xdr:cNvPr id="6" name="TextBox 5"/>
        <xdr:cNvSpPr txBox="1"/>
      </xdr:nvSpPr>
      <xdr:spPr>
        <a:xfrm>
          <a:off x="832644" y="2074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21</xdr:col>
      <xdr:colOff>0</xdr:colOff>
      <xdr:row>19</xdr:row>
      <xdr:rowOff>0</xdr:rowOff>
    </xdr:from>
    <xdr:ext cx="184731" cy="264560"/>
    <xdr:sp macro="" textlink="">
      <xdr:nvSpPr>
        <xdr:cNvPr id="8" name="TextBox 7"/>
        <xdr:cNvSpPr txBox="1"/>
      </xdr:nvSpPr>
      <xdr:spPr>
        <a:xfrm>
          <a:off x="22999700" y="868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</xdr:row>
      <xdr:rowOff>73343</xdr:rowOff>
    </xdr:from>
    <xdr:ext cx="45719" cy="45719"/>
    <xdr:sp macro="" textlink="">
      <xdr:nvSpPr>
        <xdr:cNvPr id="3" name="TextBox 2"/>
        <xdr:cNvSpPr txBox="1"/>
      </xdr:nvSpPr>
      <xdr:spPr>
        <a:xfrm flipH="1" flipV="1">
          <a:off x="0" y="730568"/>
          <a:ext cx="45719" cy="457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206375</xdr:colOff>
      <xdr:row>85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206375" y="10885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206375</xdr:colOff>
      <xdr:row>85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206375" y="10885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4" name="TextBox 3"/>
        <xdr:cNvSpPr txBox="1"/>
      </xdr:nvSpPr>
      <xdr:spPr>
        <a:xfrm>
          <a:off x="242094" y="10885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5" name="TextBox 4"/>
        <xdr:cNvSpPr txBox="1"/>
      </xdr:nvSpPr>
      <xdr:spPr>
        <a:xfrm>
          <a:off x="242094" y="10885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6" name="TextBox 5"/>
        <xdr:cNvSpPr txBox="1"/>
      </xdr:nvSpPr>
      <xdr:spPr>
        <a:xfrm>
          <a:off x="242094" y="10885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100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242094" y="114195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8" name="TextBox 7"/>
        <xdr:cNvSpPr txBox="1"/>
      </xdr:nvSpPr>
      <xdr:spPr>
        <a:xfrm>
          <a:off x="242094" y="10005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9" name="TextBox 8"/>
        <xdr:cNvSpPr txBox="1"/>
      </xdr:nvSpPr>
      <xdr:spPr>
        <a:xfrm>
          <a:off x="242094" y="2246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10" name="TextBox 9"/>
        <xdr:cNvSpPr txBox="1"/>
      </xdr:nvSpPr>
      <xdr:spPr>
        <a:xfrm>
          <a:off x="242094" y="10885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11" name="TextBox 10"/>
        <xdr:cNvSpPr txBox="1"/>
      </xdr:nvSpPr>
      <xdr:spPr>
        <a:xfrm>
          <a:off x="242094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13" name="TextBox 12"/>
        <xdr:cNvSpPr txBox="1"/>
      </xdr:nvSpPr>
      <xdr:spPr>
        <a:xfrm>
          <a:off x="242094" y="23412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14" name="TextBox 13"/>
        <xdr:cNvSpPr txBox="1"/>
      </xdr:nvSpPr>
      <xdr:spPr>
        <a:xfrm>
          <a:off x="242094" y="104136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15" name="TextBox 14"/>
        <xdr:cNvSpPr txBox="1"/>
      </xdr:nvSpPr>
      <xdr:spPr>
        <a:xfrm>
          <a:off x="242094" y="1052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17" name="TextBox 16"/>
        <xdr:cNvSpPr txBox="1"/>
      </xdr:nvSpPr>
      <xdr:spPr>
        <a:xfrm>
          <a:off x="242094" y="115766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104</xdr:row>
      <xdr:rowOff>0</xdr:rowOff>
    </xdr:from>
    <xdr:ext cx="184731" cy="264560"/>
    <xdr:sp macro="" textlink="">
      <xdr:nvSpPr>
        <xdr:cNvPr id="18" name="TextBox 17"/>
        <xdr:cNvSpPr txBox="1"/>
      </xdr:nvSpPr>
      <xdr:spPr>
        <a:xfrm>
          <a:off x="242094" y="30194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21" name="TextBox 20"/>
        <xdr:cNvSpPr txBox="1"/>
      </xdr:nvSpPr>
      <xdr:spPr>
        <a:xfrm>
          <a:off x="832644" y="10620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22" name="TextBox 21"/>
        <xdr:cNvSpPr txBox="1"/>
      </xdr:nvSpPr>
      <xdr:spPr>
        <a:xfrm>
          <a:off x="832644" y="162782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23" name="TextBox 22"/>
        <xdr:cNvSpPr txBox="1"/>
      </xdr:nvSpPr>
      <xdr:spPr>
        <a:xfrm>
          <a:off x="832644" y="16706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24" name="TextBox 23"/>
        <xdr:cNvSpPr txBox="1"/>
      </xdr:nvSpPr>
      <xdr:spPr>
        <a:xfrm>
          <a:off x="832644" y="15399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25" name="TextBox 24"/>
        <xdr:cNvSpPr txBox="1"/>
      </xdr:nvSpPr>
      <xdr:spPr>
        <a:xfrm>
          <a:off x="832644" y="16706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26" name="TextBox 25"/>
        <xdr:cNvSpPr txBox="1"/>
      </xdr:nvSpPr>
      <xdr:spPr>
        <a:xfrm>
          <a:off x="832644" y="15399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27" name="TextBox 26"/>
        <xdr:cNvSpPr txBox="1"/>
      </xdr:nvSpPr>
      <xdr:spPr>
        <a:xfrm>
          <a:off x="832644" y="16706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28" name="TextBox 27"/>
        <xdr:cNvSpPr txBox="1"/>
      </xdr:nvSpPr>
      <xdr:spPr>
        <a:xfrm>
          <a:off x="832644" y="15399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31" name="TextBox 30"/>
        <xdr:cNvSpPr txBox="1"/>
      </xdr:nvSpPr>
      <xdr:spPr>
        <a:xfrm>
          <a:off x="832644" y="16706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32" name="TextBox 31"/>
        <xdr:cNvSpPr txBox="1"/>
      </xdr:nvSpPr>
      <xdr:spPr>
        <a:xfrm>
          <a:off x="832644" y="15399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33" name="TextBox 32"/>
        <xdr:cNvSpPr txBox="1"/>
      </xdr:nvSpPr>
      <xdr:spPr>
        <a:xfrm>
          <a:off x="832644" y="16706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34" name="TextBox 33"/>
        <xdr:cNvSpPr txBox="1"/>
      </xdr:nvSpPr>
      <xdr:spPr>
        <a:xfrm>
          <a:off x="832644" y="15399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100</xdr:row>
      <xdr:rowOff>0</xdr:rowOff>
    </xdr:from>
    <xdr:ext cx="184731" cy="264560"/>
    <xdr:sp macro="" textlink="">
      <xdr:nvSpPr>
        <xdr:cNvPr id="35" name="TextBox 34"/>
        <xdr:cNvSpPr txBox="1"/>
      </xdr:nvSpPr>
      <xdr:spPr>
        <a:xfrm>
          <a:off x="242094" y="8403431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36" name="TextBox 35"/>
        <xdr:cNvSpPr txBox="1"/>
      </xdr:nvSpPr>
      <xdr:spPr>
        <a:xfrm>
          <a:off x="242094" y="8898731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37" name="TextBox 36"/>
        <xdr:cNvSpPr txBox="1"/>
      </xdr:nvSpPr>
      <xdr:spPr>
        <a:xfrm>
          <a:off x="242094" y="86201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100</xdr:row>
      <xdr:rowOff>0</xdr:rowOff>
    </xdr:from>
    <xdr:ext cx="184731" cy="264560"/>
    <xdr:sp macro="" textlink="">
      <xdr:nvSpPr>
        <xdr:cNvPr id="38" name="TextBox 37"/>
        <xdr:cNvSpPr txBox="1"/>
      </xdr:nvSpPr>
      <xdr:spPr>
        <a:xfrm>
          <a:off x="242094" y="8403431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39" name="TextBox 38"/>
        <xdr:cNvSpPr txBox="1"/>
      </xdr:nvSpPr>
      <xdr:spPr>
        <a:xfrm>
          <a:off x="832644" y="57283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40" name="TextBox 39"/>
        <xdr:cNvSpPr txBox="1"/>
      </xdr:nvSpPr>
      <xdr:spPr>
        <a:xfrm>
          <a:off x="832644" y="791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41" name="TextBox 40"/>
        <xdr:cNvSpPr txBox="1"/>
      </xdr:nvSpPr>
      <xdr:spPr>
        <a:xfrm>
          <a:off x="832644" y="143846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42" name="TextBox 41"/>
        <xdr:cNvSpPr txBox="1"/>
      </xdr:nvSpPr>
      <xdr:spPr>
        <a:xfrm>
          <a:off x="832644" y="791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43" name="TextBox 42"/>
        <xdr:cNvSpPr txBox="1"/>
      </xdr:nvSpPr>
      <xdr:spPr>
        <a:xfrm>
          <a:off x="832644" y="9650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44" name="TextBox 43"/>
        <xdr:cNvSpPr txBox="1"/>
      </xdr:nvSpPr>
      <xdr:spPr>
        <a:xfrm>
          <a:off x="832644" y="12355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46" name="TextBox 45"/>
        <xdr:cNvSpPr txBox="1"/>
      </xdr:nvSpPr>
      <xdr:spPr>
        <a:xfrm>
          <a:off x="242094" y="9053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47" name="TextBox 46"/>
        <xdr:cNvSpPr txBox="1"/>
      </xdr:nvSpPr>
      <xdr:spPr>
        <a:xfrm>
          <a:off x="242094" y="9053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48" name="TextBox 47"/>
        <xdr:cNvSpPr txBox="1"/>
      </xdr:nvSpPr>
      <xdr:spPr>
        <a:xfrm>
          <a:off x="242094" y="9053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49" name="TextBox 48"/>
        <xdr:cNvSpPr txBox="1"/>
      </xdr:nvSpPr>
      <xdr:spPr>
        <a:xfrm>
          <a:off x="242094" y="9053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11</xdr:row>
      <xdr:rowOff>0</xdr:rowOff>
    </xdr:from>
    <xdr:ext cx="184731" cy="264560"/>
    <xdr:sp macro="" textlink="">
      <xdr:nvSpPr>
        <xdr:cNvPr id="52" name="TextBox 51"/>
        <xdr:cNvSpPr txBox="1"/>
      </xdr:nvSpPr>
      <xdr:spPr>
        <a:xfrm>
          <a:off x="832644" y="122882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53" name="TextBox 52"/>
        <xdr:cNvSpPr txBox="1"/>
      </xdr:nvSpPr>
      <xdr:spPr>
        <a:xfrm>
          <a:off x="242094" y="57721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54" name="TextBox 53"/>
        <xdr:cNvSpPr txBox="1"/>
      </xdr:nvSpPr>
      <xdr:spPr>
        <a:xfrm>
          <a:off x="242094" y="58650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55" name="TextBox 54"/>
        <xdr:cNvSpPr txBox="1"/>
      </xdr:nvSpPr>
      <xdr:spPr>
        <a:xfrm>
          <a:off x="851694" y="11318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56" name="TextBox 55"/>
        <xdr:cNvSpPr txBox="1"/>
      </xdr:nvSpPr>
      <xdr:spPr>
        <a:xfrm>
          <a:off x="851694" y="11586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57" name="TextBox 56"/>
        <xdr:cNvSpPr txBox="1"/>
      </xdr:nvSpPr>
      <xdr:spPr>
        <a:xfrm>
          <a:off x="242094" y="59817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100</xdr:row>
      <xdr:rowOff>0</xdr:rowOff>
    </xdr:from>
    <xdr:ext cx="184731" cy="264560"/>
    <xdr:sp macro="" textlink="">
      <xdr:nvSpPr>
        <xdr:cNvPr id="58" name="TextBox 57"/>
        <xdr:cNvSpPr txBox="1"/>
      </xdr:nvSpPr>
      <xdr:spPr>
        <a:xfrm>
          <a:off x="242094" y="5378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59" name="TextBox 58"/>
        <xdr:cNvSpPr txBox="1"/>
      </xdr:nvSpPr>
      <xdr:spPr>
        <a:xfrm>
          <a:off x="242094" y="2523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60" name="TextBox 59"/>
        <xdr:cNvSpPr txBox="1"/>
      </xdr:nvSpPr>
      <xdr:spPr>
        <a:xfrm>
          <a:off x="851694" y="466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61" name="TextBox 60"/>
        <xdr:cNvSpPr txBox="1"/>
      </xdr:nvSpPr>
      <xdr:spPr>
        <a:xfrm>
          <a:off x="851694" y="14212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62" name="TextBox 61"/>
        <xdr:cNvSpPr txBox="1"/>
      </xdr:nvSpPr>
      <xdr:spPr>
        <a:xfrm>
          <a:off x="851694" y="8513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851694" y="93177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851694" y="19415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851694" y="14004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242094" y="82204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68" name="TextBox 67"/>
        <xdr:cNvSpPr txBox="1"/>
      </xdr:nvSpPr>
      <xdr:spPr>
        <a:xfrm>
          <a:off x="242094" y="82204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49</xdr:row>
      <xdr:rowOff>0</xdr:rowOff>
    </xdr:from>
    <xdr:ext cx="184731" cy="264560"/>
    <xdr:sp macro="" textlink="">
      <xdr:nvSpPr>
        <xdr:cNvPr id="72" name="TextBox 71"/>
        <xdr:cNvSpPr txBox="1"/>
      </xdr:nvSpPr>
      <xdr:spPr>
        <a:xfrm>
          <a:off x="851694" y="91165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73" name="TextBox 72"/>
        <xdr:cNvSpPr txBox="1"/>
      </xdr:nvSpPr>
      <xdr:spPr>
        <a:xfrm>
          <a:off x="242094" y="111968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74" name="TextBox 73"/>
        <xdr:cNvSpPr txBox="1"/>
      </xdr:nvSpPr>
      <xdr:spPr>
        <a:xfrm>
          <a:off x="242094" y="109407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75" name="TextBox 74"/>
        <xdr:cNvSpPr txBox="1"/>
      </xdr:nvSpPr>
      <xdr:spPr>
        <a:xfrm>
          <a:off x="242094" y="115168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106</xdr:row>
      <xdr:rowOff>0</xdr:rowOff>
    </xdr:from>
    <xdr:ext cx="184731" cy="264560"/>
    <xdr:sp macro="" textlink="">
      <xdr:nvSpPr>
        <xdr:cNvPr id="76" name="TextBox 75"/>
        <xdr:cNvSpPr txBox="1"/>
      </xdr:nvSpPr>
      <xdr:spPr>
        <a:xfrm>
          <a:off x="242094" y="108127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45</xdr:row>
      <xdr:rowOff>0</xdr:rowOff>
    </xdr:from>
    <xdr:ext cx="184731" cy="264560"/>
    <xdr:sp macro="" textlink="">
      <xdr:nvSpPr>
        <xdr:cNvPr id="71" name="TextBox 70"/>
        <xdr:cNvSpPr txBox="1"/>
      </xdr:nvSpPr>
      <xdr:spPr>
        <a:xfrm>
          <a:off x="851694" y="533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61</xdr:row>
      <xdr:rowOff>0</xdr:rowOff>
    </xdr:from>
    <xdr:ext cx="184731" cy="264560"/>
    <xdr:sp macro="" textlink="">
      <xdr:nvSpPr>
        <xdr:cNvPr id="77" name="TextBox 76"/>
        <xdr:cNvSpPr txBox="1"/>
      </xdr:nvSpPr>
      <xdr:spPr>
        <a:xfrm>
          <a:off x="851694" y="4623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30</xdr:row>
      <xdr:rowOff>0</xdr:rowOff>
    </xdr:from>
    <xdr:ext cx="184731" cy="264560"/>
    <xdr:sp macro="" textlink="">
      <xdr:nvSpPr>
        <xdr:cNvPr id="78" name="TextBox 77"/>
        <xdr:cNvSpPr txBox="1"/>
      </xdr:nvSpPr>
      <xdr:spPr>
        <a:xfrm>
          <a:off x="851694" y="1136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85</xdr:row>
      <xdr:rowOff>0</xdr:rowOff>
    </xdr:from>
    <xdr:ext cx="184731" cy="264560"/>
    <xdr:sp macro="" textlink="">
      <xdr:nvSpPr>
        <xdr:cNvPr id="79" name="TextBox 78"/>
        <xdr:cNvSpPr txBox="1"/>
      </xdr:nvSpPr>
      <xdr:spPr>
        <a:xfrm>
          <a:off x="851694" y="3685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105</xdr:row>
      <xdr:rowOff>0</xdr:rowOff>
    </xdr:from>
    <xdr:ext cx="184731" cy="264560"/>
    <xdr:sp macro="" textlink="">
      <xdr:nvSpPr>
        <xdr:cNvPr id="80" name="TextBox 79"/>
        <xdr:cNvSpPr txBox="1"/>
      </xdr:nvSpPr>
      <xdr:spPr>
        <a:xfrm>
          <a:off x="242094" y="2891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242094</xdr:colOff>
      <xdr:row>103</xdr:row>
      <xdr:rowOff>0</xdr:rowOff>
    </xdr:from>
    <xdr:ext cx="184731" cy="264560"/>
    <xdr:sp macro="" textlink="">
      <xdr:nvSpPr>
        <xdr:cNvPr id="81" name="TextBox 80"/>
        <xdr:cNvSpPr txBox="1"/>
      </xdr:nvSpPr>
      <xdr:spPr>
        <a:xfrm>
          <a:off x="242094" y="28282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FFC000"/>
    <pageSetUpPr fitToPage="1"/>
  </sheetPr>
  <dimension ref="A1:H3664"/>
  <sheetViews>
    <sheetView zoomScale="80" zoomScaleNormal="80" workbookViewId="0">
      <pane ySplit="5" topLeftCell="A6" activePane="bottomLeft" state="frozen"/>
      <selection activeCell="D2903" sqref="D2903"/>
      <selection pane="bottomLeft" sqref="A1:XFD6"/>
    </sheetView>
  </sheetViews>
  <sheetFormatPr defaultRowHeight="15" x14ac:dyDescent="0.25"/>
  <cols>
    <col min="1" max="1" width="8.28515625" style="163" customWidth="1"/>
    <col min="2" max="2" width="34.5703125" customWidth="1"/>
    <col min="3" max="3" width="41.28515625" customWidth="1"/>
    <col min="4" max="4" width="43.28515625" customWidth="1"/>
    <col min="5" max="5" width="6.7109375" customWidth="1"/>
    <col min="6" max="6" width="9.140625" customWidth="1"/>
    <col min="7" max="7" width="5.28515625" customWidth="1"/>
  </cols>
  <sheetData>
    <row r="1" spans="1:8" s="298" customFormat="1" x14ac:dyDescent="0.25">
      <c r="A1" s="190">
        <v>26321</v>
      </c>
      <c r="B1" s="188" t="s">
        <v>2769</v>
      </c>
      <c r="C1" s="146" t="s">
        <v>2370</v>
      </c>
      <c r="D1" s="290" t="s">
        <v>14</v>
      </c>
      <c r="E1" s="187" t="s">
        <v>2</v>
      </c>
      <c r="F1" s="187"/>
      <c r="G1" s="113">
        <v>1</v>
      </c>
    </row>
    <row r="2" spans="1:8" s="298" customFormat="1" ht="15.6" customHeight="1" x14ac:dyDescent="0.25">
      <c r="A2" s="190">
        <v>33698</v>
      </c>
      <c r="B2" s="188" t="s">
        <v>2736</v>
      </c>
      <c r="C2" s="146" t="s">
        <v>102</v>
      </c>
      <c r="D2" s="290" t="s">
        <v>14</v>
      </c>
      <c r="E2" s="187" t="s">
        <v>2</v>
      </c>
      <c r="F2" s="187"/>
      <c r="G2" s="113">
        <v>1</v>
      </c>
    </row>
    <row r="3" spans="1:8" s="298" customFormat="1" ht="21.6" customHeight="1" x14ac:dyDescent="0.25">
      <c r="A3" s="190">
        <v>39725</v>
      </c>
      <c r="B3" s="188" t="s">
        <v>1540</v>
      </c>
      <c r="C3" s="146" t="s">
        <v>373</v>
      </c>
      <c r="D3" s="290" t="s">
        <v>14</v>
      </c>
      <c r="E3" s="187" t="s">
        <v>2</v>
      </c>
      <c r="F3" s="187"/>
      <c r="G3" s="113">
        <v>1</v>
      </c>
    </row>
    <row r="4" spans="1:8" s="298" customFormat="1" x14ac:dyDescent="0.25">
      <c r="A4" s="190">
        <v>118375</v>
      </c>
      <c r="B4" s="188" t="s">
        <v>3303</v>
      </c>
      <c r="C4" s="146" t="s">
        <v>371</v>
      </c>
      <c r="D4" s="290" t="s">
        <v>619</v>
      </c>
      <c r="E4" s="187" t="s">
        <v>2</v>
      </c>
      <c r="F4" s="187"/>
      <c r="G4" s="113">
        <v>1</v>
      </c>
    </row>
    <row r="5" spans="1:8" s="298" customFormat="1" ht="40.9" customHeight="1" x14ac:dyDescent="0.25">
      <c r="A5" s="190">
        <v>188704</v>
      </c>
      <c r="B5" s="188" t="s">
        <v>1408</v>
      </c>
      <c r="C5" s="146" t="s">
        <v>102</v>
      </c>
      <c r="D5" s="290" t="s">
        <v>619</v>
      </c>
      <c r="E5" s="187" t="s">
        <v>2</v>
      </c>
      <c r="F5" s="187"/>
      <c r="G5" s="113">
        <v>1</v>
      </c>
    </row>
    <row r="6" spans="1:8" s="298" customFormat="1" x14ac:dyDescent="0.25">
      <c r="A6" s="190">
        <v>11060</v>
      </c>
      <c r="B6" s="188" t="s">
        <v>578</v>
      </c>
      <c r="C6" s="146" t="s">
        <v>579</v>
      </c>
      <c r="D6" s="290" t="s">
        <v>372</v>
      </c>
      <c r="E6" s="187" t="s">
        <v>580</v>
      </c>
      <c r="F6" s="187"/>
      <c r="G6" s="113">
        <v>1</v>
      </c>
    </row>
    <row r="7" spans="1:8" s="298" customFormat="1" x14ac:dyDescent="0.25">
      <c r="A7" s="141">
        <v>24</v>
      </c>
      <c r="B7" s="142" t="s">
        <v>1587</v>
      </c>
      <c r="C7" s="143" t="s">
        <v>9</v>
      </c>
      <c r="D7" s="143" t="s">
        <v>242</v>
      </c>
      <c r="E7" s="142"/>
      <c r="F7" s="142"/>
      <c r="G7" s="113">
        <v>1</v>
      </c>
    </row>
    <row r="8" spans="1:8" s="298" customFormat="1" ht="26.25" x14ac:dyDescent="0.25">
      <c r="A8" s="141">
        <v>37</v>
      </c>
      <c r="B8" s="142" t="s">
        <v>1588</v>
      </c>
      <c r="C8" s="143" t="s">
        <v>12</v>
      </c>
      <c r="D8" s="143" t="s">
        <v>1589</v>
      </c>
      <c r="E8" s="142"/>
      <c r="F8" s="142"/>
      <c r="G8" s="113"/>
      <c r="H8" s="113"/>
    </row>
    <row r="9" spans="1:8" s="298" customFormat="1" ht="39" x14ac:dyDescent="0.25">
      <c r="A9" s="141">
        <v>41</v>
      </c>
      <c r="B9" s="142" t="s">
        <v>13</v>
      </c>
      <c r="C9" s="143" t="s">
        <v>1590</v>
      </c>
      <c r="D9" s="143" t="s">
        <v>14</v>
      </c>
      <c r="E9" s="142"/>
      <c r="F9" s="142"/>
      <c r="G9" s="113"/>
      <c r="H9" s="113"/>
    </row>
    <row r="10" spans="1:8" s="298" customFormat="1" ht="26.25" x14ac:dyDescent="0.25">
      <c r="A10" s="141">
        <v>47</v>
      </c>
      <c r="B10" s="142" t="s">
        <v>15</v>
      </c>
      <c r="C10" s="143" t="s">
        <v>16</v>
      </c>
      <c r="D10" s="143" t="s">
        <v>11</v>
      </c>
      <c r="E10" s="142"/>
      <c r="F10" s="142"/>
      <c r="G10" s="113"/>
      <c r="H10" s="113"/>
    </row>
    <row r="11" spans="1:8" s="298" customFormat="1" ht="26.25" x14ac:dyDescent="0.25">
      <c r="A11" s="141">
        <v>55</v>
      </c>
      <c r="B11" s="142" t="s">
        <v>18</v>
      </c>
      <c r="C11" s="143" t="s">
        <v>4</v>
      </c>
      <c r="D11" s="143" t="s">
        <v>11</v>
      </c>
      <c r="E11" s="142"/>
      <c r="F11" s="142"/>
      <c r="G11" s="113"/>
      <c r="H11" s="113"/>
    </row>
    <row r="12" spans="1:8" s="298" customFormat="1" ht="26.25" x14ac:dyDescent="0.25">
      <c r="A12" s="141">
        <v>60</v>
      </c>
      <c r="B12" s="142" t="s">
        <v>19</v>
      </c>
      <c r="C12" s="143" t="s">
        <v>20</v>
      </c>
      <c r="D12" s="143" t="s">
        <v>21</v>
      </c>
      <c r="E12" s="142"/>
      <c r="F12" s="142"/>
      <c r="G12" s="113"/>
      <c r="H12" s="113"/>
    </row>
    <row r="13" spans="1:8" s="298" customFormat="1" x14ac:dyDescent="0.25">
      <c r="A13" s="141">
        <v>66</v>
      </c>
      <c r="B13" s="142" t="s">
        <v>23</v>
      </c>
      <c r="C13" s="143" t="s">
        <v>24</v>
      </c>
      <c r="D13" s="143" t="s">
        <v>14</v>
      </c>
      <c r="E13" s="142"/>
      <c r="F13" s="142"/>
      <c r="G13" s="113"/>
      <c r="H13" s="113"/>
    </row>
    <row r="14" spans="1:8" s="298" customFormat="1" x14ac:dyDescent="0.25">
      <c r="A14" s="141">
        <v>69</v>
      </c>
      <c r="B14" s="142" t="s">
        <v>25</v>
      </c>
      <c r="C14" s="143" t="s">
        <v>24</v>
      </c>
      <c r="D14" s="143" t="s">
        <v>11</v>
      </c>
      <c r="E14" s="142"/>
      <c r="F14" s="142"/>
      <c r="G14" s="113"/>
      <c r="H14" s="113"/>
    </row>
    <row r="15" spans="1:8" s="298" customFormat="1" ht="26.25" x14ac:dyDescent="0.25">
      <c r="A15" s="141">
        <v>71</v>
      </c>
      <c r="B15" s="142" t="s">
        <v>26</v>
      </c>
      <c r="C15" s="143" t="s">
        <v>27</v>
      </c>
      <c r="D15" s="143" t="s">
        <v>87</v>
      </c>
      <c r="E15" s="142"/>
      <c r="F15" s="142"/>
      <c r="G15" s="113"/>
      <c r="H15" s="113"/>
    </row>
    <row r="16" spans="1:8" s="298" customFormat="1" ht="39" customHeight="1" x14ac:dyDescent="0.25">
      <c r="A16" s="141">
        <v>73</v>
      </c>
      <c r="B16" s="142" t="s">
        <v>1592</v>
      </c>
      <c r="C16" s="143" t="s">
        <v>22</v>
      </c>
      <c r="D16" s="143" t="s">
        <v>7</v>
      </c>
      <c r="E16" s="142"/>
      <c r="F16" s="142"/>
      <c r="G16" s="113"/>
      <c r="H16" s="113"/>
    </row>
    <row r="17" spans="1:8" s="298" customFormat="1" ht="26.25" x14ac:dyDescent="0.25">
      <c r="A17" s="141">
        <v>75</v>
      </c>
      <c r="B17" s="142" t="s">
        <v>28</v>
      </c>
      <c r="C17" s="143" t="s">
        <v>4</v>
      </c>
      <c r="D17" s="143" t="s">
        <v>154</v>
      </c>
      <c r="E17" s="142"/>
      <c r="F17" s="142"/>
      <c r="G17" s="113"/>
      <c r="H17" s="113"/>
    </row>
    <row r="18" spans="1:8" s="298" customFormat="1" ht="26.25" x14ac:dyDescent="0.25">
      <c r="A18" s="141">
        <v>76</v>
      </c>
      <c r="B18" s="142" t="s">
        <v>1593</v>
      </c>
      <c r="C18" s="143" t="s">
        <v>3</v>
      </c>
      <c r="D18" s="143" t="s">
        <v>1591</v>
      </c>
      <c r="E18" s="142"/>
      <c r="F18" s="142"/>
      <c r="G18" s="113"/>
      <c r="H18" s="113"/>
    </row>
    <row r="19" spans="1:8" s="298" customFormat="1" ht="26.25" x14ac:dyDescent="0.25">
      <c r="A19" s="141">
        <v>78</v>
      </c>
      <c r="B19" s="142" t="s">
        <v>1594</v>
      </c>
      <c r="C19" s="143" t="s">
        <v>22</v>
      </c>
      <c r="D19" s="143" t="s">
        <v>21</v>
      </c>
      <c r="E19" s="142"/>
      <c r="F19" s="142"/>
      <c r="G19" s="113"/>
      <c r="H19" s="113"/>
    </row>
    <row r="20" spans="1:8" s="298" customFormat="1" x14ac:dyDescent="0.25">
      <c r="A20" s="141">
        <v>79</v>
      </c>
      <c r="B20" s="142" t="s">
        <v>29</v>
      </c>
      <c r="C20" s="143" t="s">
        <v>24</v>
      </c>
      <c r="D20" s="143" t="s">
        <v>415</v>
      </c>
      <c r="E20" s="142"/>
      <c r="F20" s="142"/>
      <c r="G20" s="113"/>
      <c r="H20" s="113"/>
    </row>
    <row r="21" spans="1:8" s="298" customFormat="1" x14ac:dyDescent="0.25">
      <c r="A21" s="141">
        <v>85</v>
      </c>
      <c r="B21" s="142" t="s">
        <v>31</v>
      </c>
      <c r="C21" s="143" t="s">
        <v>32</v>
      </c>
      <c r="D21" s="143" t="s">
        <v>154</v>
      </c>
      <c r="E21" s="142"/>
      <c r="F21" s="142"/>
      <c r="G21" s="113"/>
      <c r="H21" s="113"/>
    </row>
    <row r="22" spans="1:8" s="298" customFormat="1" x14ac:dyDescent="0.25">
      <c r="A22" s="141">
        <v>93</v>
      </c>
      <c r="B22" s="142" t="s">
        <v>33</v>
      </c>
      <c r="C22" s="143" t="s">
        <v>34</v>
      </c>
      <c r="D22" s="143" t="s">
        <v>1595</v>
      </c>
      <c r="E22" s="142"/>
      <c r="F22" s="142"/>
      <c r="G22" s="113"/>
      <c r="H22" s="113"/>
    </row>
    <row r="23" spans="1:8" s="298" customFormat="1" ht="36" customHeight="1" x14ac:dyDescent="0.25">
      <c r="A23" s="141">
        <v>94</v>
      </c>
      <c r="B23" s="142" t="s">
        <v>35</v>
      </c>
      <c r="C23" s="143" t="s">
        <v>8</v>
      </c>
      <c r="D23" s="143" t="s">
        <v>21</v>
      </c>
      <c r="E23" s="142"/>
      <c r="F23" s="142"/>
      <c r="G23" s="113"/>
      <c r="H23" s="113"/>
    </row>
    <row r="24" spans="1:8" s="298" customFormat="1" x14ac:dyDescent="0.25">
      <c r="A24" s="141">
        <v>96</v>
      </c>
      <c r="B24" s="142" t="s">
        <v>1596</v>
      </c>
      <c r="C24" s="143" t="s">
        <v>24</v>
      </c>
      <c r="D24" s="143" t="s">
        <v>37</v>
      </c>
      <c r="E24" s="142"/>
      <c r="F24" s="142"/>
      <c r="G24" s="113"/>
      <c r="H24" s="113"/>
    </row>
    <row r="25" spans="1:8" s="298" customFormat="1" x14ac:dyDescent="0.25">
      <c r="A25" s="141">
        <v>98</v>
      </c>
      <c r="B25" s="142" t="s">
        <v>39</v>
      </c>
      <c r="C25" s="143" t="s">
        <v>38</v>
      </c>
      <c r="D25" s="143" t="s">
        <v>210</v>
      </c>
      <c r="E25" s="142"/>
      <c r="F25" s="142"/>
      <c r="G25" s="113"/>
      <c r="H25" s="113"/>
    </row>
    <row r="26" spans="1:8" s="298" customFormat="1" x14ac:dyDescent="0.25">
      <c r="A26" s="141">
        <v>107</v>
      </c>
      <c r="B26" s="142" t="s">
        <v>1597</v>
      </c>
      <c r="C26" s="143" t="s">
        <v>41</v>
      </c>
      <c r="D26" s="143" t="s">
        <v>150</v>
      </c>
      <c r="E26" s="142"/>
      <c r="F26" s="142"/>
      <c r="G26" s="113"/>
      <c r="H26" s="113"/>
    </row>
    <row r="27" spans="1:8" s="298" customFormat="1" ht="26.25" x14ac:dyDescent="0.25">
      <c r="A27" s="141">
        <v>108</v>
      </c>
      <c r="B27" s="142" t="s">
        <v>42</v>
      </c>
      <c r="C27" s="143" t="s">
        <v>22</v>
      </c>
      <c r="D27" s="143" t="s">
        <v>11</v>
      </c>
      <c r="E27" s="142"/>
      <c r="F27" s="142"/>
      <c r="G27" s="113"/>
      <c r="H27" s="113"/>
    </row>
    <row r="28" spans="1:8" s="298" customFormat="1" x14ac:dyDescent="0.25">
      <c r="A28" s="141">
        <v>111</v>
      </c>
      <c r="B28" s="142" t="s">
        <v>43</v>
      </c>
      <c r="C28" s="143" t="s">
        <v>44</v>
      </c>
      <c r="D28" s="143" t="s">
        <v>1312</v>
      </c>
      <c r="E28" s="142"/>
      <c r="F28" s="142"/>
      <c r="G28" s="113"/>
      <c r="H28" s="113"/>
    </row>
    <row r="29" spans="1:8" s="298" customFormat="1" x14ac:dyDescent="0.25">
      <c r="A29" s="141">
        <v>112</v>
      </c>
      <c r="B29" s="142" t="s">
        <v>46</v>
      </c>
      <c r="C29" s="143" t="s">
        <v>47</v>
      </c>
      <c r="D29" s="143" t="s">
        <v>11</v>
      </c>
      <c r="E29" s="142"/>
      <c r="F29" s="142"/>
      <c r="G29" s="113"/>
      <c r="H29" s="113"/>
    </row>
    <row r="30" spans="1:8" s="298" customFormat="1" ht="26.25" x14ac:dyDescent="0.25">
      <c r="A30" s="141">
        <v>114</v>
      </c>
      <c r="B30" s="142" t="s">
        <v>1598</v>
      </c>
      <c r="C30" s="143" t="s">
        <v>5</v>
      </c>
      <c r="D30" s="143" t="s">
        <v>242</v>
      </c>
      <c r="E30" s="142"/>
      <c r="F30" s="142"/>
      <c r="G30" s="113"/>
      <c r="H30" s="113"/>
    </row>
    <row r="31" spans="1:8" s="298" customFormat="1" ht="26.25" x14ac:dyDescent="0.25">
      <c r="A31" s="141">
        <v>115</v>
      </c>
      <c r="B31" s="142" t="s">
        <v>1599</v>
      </c>
      <c r="C31" s="143" t="s">
        <v>4</v>
      </c>
      <c r="D31" s="143" t="s">
        <v>1164</v>
      </c>
      <c r="E31" s="142"/>
      <c r="F31" s="142"/>
      <c r="G31" s="113"/>
      <c r="H31" s="113"/>
    </row>
    <row r="32" spans="1:8" s="298" customFormat="1" ht="26.25" x14ac:dyDescent="0.25">
      <c r="A32" s="141">
        <v>117</v>
      </c>
      <c r="B32" s="142" t="s">
        <v>48</v>
      </c>
      <c r="C32" s="143" t="s">
        <v>49</v>
      </c>
      <c r="D32" s="143" t="s">
        <v>1591</v>
      </c>
      <c r="E32" s="142"/>
      <c r="F32" s="142"/>
      <c r="G32" s="113"/>
      <c r="H32" s="113"/>
    </row>
    <row r="33" spans="1:8" s="298" customFormat="1" ht="26.25" x14ac:dyDescent="0.25">
      <c r="A33" s="141">
        <v>118</v>
      </c>
      <c r="B33" s="142" t="s">
        <v>1600</v>
      </c>
      <c r="C33" s="143" t="s">
        <v>5</v>
      </c>
      <c r="D33" s="143" t="s">
        <v>7</v>
      </c>
      <c r="E33" s="142"/>
      <c r="F33" s="142"/>
      <c r="G33" s="113"/>
      <c r="H33" s="113"/>
    </row>
    <row r="34" spans="1:8" s="298" customFormat="1" x14ac:dyDescent="0.25">
      <c r="A34" s="141">
        <v>120</v>
      </c>
      <c r="B34" s="142" t="s">
        <v>1601</v>
      </c>
      <c r="C34" s="143" t="s">
        <v>34</v>
      </c>
      <c r="D34" s="143" t="s">
        <v>7</v>
      </c>
      <c r="E34" s="142"/>
      <c r="F34" s="142"/>
      <c r="G34" s="113"/>
      <c r="H34" s="113"/>
    </row>
    <row r="35" spans="1:8" s="298" customFormat="1" x14ac:dyDescent="0.25">
      <c r="A35" s="141">
        <v>124</v>
      </c>
      <c r="B35" s="142" t="s">
        <v>1602</v>
      </c>
      <c r="C35" s="143" t="s">
        <v>47</v>
      </c>
      <c r="D35" s="143" t="s">
        <v>11</v>
      </c>
      <c r="E35" s="142"/>
      <c r="F35" s="142"/>
      <c r="G35" s="113"/>
      <c r="H35" s="113"/>
    </row>
    <row r="36" spans="1:8" s="298" customFormat="1" ht="26.25" x14ac:dyDescent="0.25">
      <c r="A36" s="141">
        <v>126</v>
      </c>
      <c r="B36" s="142" t="s">
        <v>1603</v>
      </c>
      <c r="C36" s="143" t="s">
        <v>5</v>
      </c>
      <c r="D36" s="143" t="s">
        <v>242</v>
      </c>
      <c r="E36" s="142"/>
      <c r="F36" s="142"/>
      <c r="G36" s="113"/>
      <c r="H36" s="113"/>
    </row>
    <row r="37" spans="1:8" s="298" customFormat="1" x14ac:dyDescent="0.25">
      <c r="A37" s="141">
        <v>127</v>
      </c>
      <c r="B37" s="142" t="s">
        <v>51</v>
      </c>
      <c r="C37" s="143" t="s">
        <v>32</v>
      </c>
      <c r="D37" s="143" t="s">
        <v>11</v>
      </c>
      <c r="E37" s="142"/>
      <c r="F37" s="142"/>
      <c r="G37" s="113"/>
      <c r="H37" s="113"/>
    </row>
    <row r="38" spans="1:8" s="298" customFormat="1" x14ac:dyDescent="0.25">
      <c r="A38" s="141">
        <v>129</v>
      </c>
      <c r="B38" s="142" t="s">
        <v>52</v>
      </c>
      <c r="C38" s="143" t="s">
        <v>53</v>
      </c>
      <c r="D38" s="143" t="s">
        <v>54</v>
      </c>
      <c r="E38" s="142"/>
      <c r="F38" s="142"/>
      <c r="G38" s="113"/>
      <c r="H38" s="113"/>
    </row>
    <row r="39" spans="1:8" s="298" customFormat="1" x14ac:dyDescent="0.25">
      <c r="A39" s="141">
        <v>131</v>
      </c>
      <c r="B39" s="142" t="s">
        <v>55</v>
      </c>
      <c r="C39" s="143" t="s">
        <v>47</v>
      </c>
      <c r="D39" s="143" t="s">
        <v>56</v>
      </c>
      <c r="E39" s="142"/>
      <c r="F39" s="142"/>
      <c r="G39" s="113"/>
      <c r="H39" s="113"/>
    </row>
    <row r="40" spans="1:8" s="298" customFormat="1" x14ac:dyDescent="0.25">
      <c r="A40" s="141">
        <v>135</v>
      </c>
      <c r="B40" s="142" t="s">
        <v>57</v>
      </c>
      <c r="C40" s="143" t="s">
        <v>32</v>
      </c>
      <c r="D40" s="143" t="s">
        <v>11</v>
      </c>
      <c r="E40" s="142"/>
      <c r="F40" s="142"/>
      <c r="G40" s="113"/>
      <c r="H40" s="113"/>
    </row>
    <row r="41" spans="1:8" s="298" customFormat="1" x14ac:dyDescent="0.25">
      <c r="A41" s="141">
        <v>139</v>
      </c>
      <c r="B41" s="142" t="s">
        <v>1604</v>
      </c>
      <c r="C41" s="143" t="s">
        <v>24</v>
      </c>
      <c r="D41" s="143" t="s">
        <v>415</v>
      </c>
      <c r="E41" s="142"/>
      <c r="F41" s="142"/>
      <c r="G41" s="113"/>
      <c r="H41" s="113"/>
    </row>
    <row r="42" spans="1:8" s="298" customFormat="1" ht="26.25" x14ac:dyDescent="0.25">
      <c r="A42" s="141">
        <v>140</v>
      </c>
      <c r="B42" s="142" t="s">
        <v>1605</v>
      </c>
      <c r="C42" s="143" t="s">
        <v>6</v>
      </c>
      <c r="D42" s="143" t="s">
        <v>242</v>
      </c>
      <c r="E42" s="142"/>
      <c r="F42" s="142"/>
      <c r="G42" s="113"/>
      <c r="H42" s="113"/>
    </row>
    <row r="43" spans="1:8" s="298" customFormat="1" ht="26.25" x14ac:dyDescent="0.25">
      <c r="A43" s="141">
        <v>141</v>
      </c>
      <c r="B43" s="142" t="s">
        <v>1606</v>
      </c>
      <c r="C43" s="143" t="s">
        <v>22</v>
      </c>
      <c r="D43" s="143" t="s">
        <v>504</v>
      </c>
      <c r="E43" s="142"/>
      <c r="F43" s="142"/>
      <c r="G43" s="113"/>
      <c r="H43" s="113"/>
    </row>
    <row r="44" spans="1:8" s="298" customFormat="1" ht="26.25" x14ac:dyDescent="0.25">
      <c r="A44" s="141">
        <v>152</v>
      </c>
      <c r="B44" s="142" t="s">
        <v>1607</v>
      </c>
      <c r="C44" s="143" t="s">
        <v>16</v>
      </c>
      <c r="D44" s="143" t="s">
        <v>11</v>
      </c>
      <c r="E44" s="142"/>
      <c r="F44" s="142"/>
      <c r="G44" s="113"/>
      <c r="H44" s="113"/>
    </row>
    <row r="45" spans="1:8" s="298" customFormat="1" ht="26.25" x14ac:dyDescent="0.25">
      <c r="A45" s="141">
        <v>158</v>
      </c>
      <c r="B45" s="142" t="s">
        <v>58</v>
      </c>
      <c r="C45" s="143" t="s">
        <v>16</v>
      </c>
      <c r="D45" s="143" t="s">
        <v>302</v>
      </c>
      <c r="E45" s="142"/>
      <c r="F45" s="142"/>
      <c r="G45" s="113"/>
      <c r="H45" s="113"/>
    </row>
    <row r="46" spans="1:8" s="298" customFormat="1" ht="26.25" x14ac:dyDescent="0.25">
      <c r="A46" s="141">
        <v>159</v>
      </c>
      <c r="B46" s="142" t="s">
        <v>1608</v>
      </c>
      <c r="C46" s="143" t="s">
        <v>16</v>
      </c>
      <c r="D46" s="143" t="s">
        <v>11</v>
      </c>
      <c r="E46" s="142"/>
      <c r="F46" s="142"/>
      <c r="G46" s="113"/>
      <c r="H46" s="113"/>
    </row>
    <row r="47" spans="1:8" s="298" customFormat="1" ht="26.25" x14ac:dyDescent="0.25">
      <c r="A47" s="141">
        <v>161</v>
      </c>
      <c r="B47" s="142" t="s">
        <v>59</v>
      </c>
      <c r="C47" s="143" t="s">
        <v>16</v>
      </c>
      <c r="D47" s="143" t="s">
        <v>154</v>
      </c>
      <c r="E47" s="142"/>
      <c r="F47" s="142"/>
      <c r="G47" s="113"/>
      <c r="H47" s="113"/>
    </row>
    <row r="48" spans="1:8" s="298" customFormat="1" x14ac:dyDescent="0.25">
      <c r="A48" s="141">
        <v>165</v>
      </c>
      <c r="B48" s="142" t="s">
        <v>1609</v>
      </c>
      <c r="C48" s="143" t="s">
        <v>36</v>
      </c>
      <c r="D48" s="143" t="s">
        <v>45</v>
      </c>
      <c r="E48" s="142"/>
      <c r="F48" s="142"/>
      <c r="G48" s="113"/>
      <c r="H48" s="113"/>
    </row>
    <row r="49" spans="1:8" s="298" customFormat="1" ht="26.25" x14ac:dyDescent="0.25">
      <c r="A49" s="141">
        <v>166</v>
      </c>
      <c r="B49" s="142" t="s">
        <v>60</v>
      </c>
      <c r="C49" s="143" t="s">
        <v>16</v>
      </c>
      <c r="D49" s="143" t="s">
        <v>7</v>
      </c>
      <c r="E49" s="142"/>
      <c r="F49" s="142"/>
      <c r="G49" s="113"/>
      <c r="H49" s="113"/>
    </row>
    <row r="50" spans="1:8" s="298" customFormat="1" ht="26.25" x14ac:dyDescent="0.25">
      <c r="A50" s="141">
        <v>167</v>
      </c>
      <c r="B50" s="142" t="s">
        <v>61</v>
      </c>
      <c r="C50" s="143" t="s">
        <v>16</v>
      </c>
      <c r="D50" s="143" t="s">
        <v>154</v>
      </c>
      <c r="E50" s="142"/>
      <c r="F50" s="142"/>
      <c r="G50" s="113"/>
      <c r="H50" s="113"/>
    </row>
    <row r="51" spans="1:8" s="298" customFormat="1" x14ac:dyDescent="0.25">
      <c r="A51" s="141">
        <v>168</v>
      </c>
      <c r="B51" s="142" t="s">
        <v>1610</v>
      </c>
      <c r="C51" s="143" t="s">
        <v>36</v>
      </c>
      <c r="D51" s="143" t="s">
        <v>154</v>
      </c>
      <c r="E51" s="142"/>
      <c r="F51" s="142"/>
      <c r="G51" s="113"/>
      <c r="H51" s="113"/>
    </row>
    <row r="52" spans="1:8" s="298" customFormat="1" ht="26.25" x14ac:dyDescent="0.25">
      <c r="A52" s="141">
        <v>170</v>
      </c>
      <c r="B52" s="142" t="s">
        <v>1611</v>
      </c>
      <c r="C52" s="143" t="s">
        <v>16</v>
      </c>
      <c r="D52" s="143" t="s">
        <v>11</v>
      </c>
      <c r="E52" s="142"/>
      <c r="F52" s="142"/>
      <c r="G52" s="113"/>
      <c r="H52" s="113"/>
    </row>
    <row r="53" spans="1:8" s="298" customFormat="1" ht="26.25" x14ac:dyDescent="0.25">
      <c r="A53" s="141">
        <v>171</v>
      </c>
      <c r="B53" s="142" t="s">
        <v>62</v>
      </c>
      <c r="C53" s="143" t="s">
        <v>16</v>
      </c>
      <c r="D53" s="143" t="s">
        <v>11</v>
      </c>
      <c r="E53" s="142"/>
      <c r="F53" s="142"/>
      <c r="G53" s="113"/>
      <c r="H53" s="113"/>
    </row>
    <row r="54" spans="1:8" s="298" customFormat="1" x14ac:dyDescent="0.25">
      <c r="A54" s="141">
        <v>172</v>
      </c>
      <c r="B54" s="142" t="s">
        <v>1612</v>
      </c>
      <c r="C54" s="143" t="s">
        <v>63</v>
      </c>
      <c r="D54" s="143" t="s">
        <v>50</v>
      </c>
      <c r="E54" s="142"/>
      <c r="F54" s="142"/>
      <c r="G54" s="113"/>
      <c r="H54" s="113"/>
    </row>
    <row r="55" spans="1:8" s="298" customFormat="1" ht="26.25" x14ac:dyDescent="0.25">
      <c r="A55" s="141">
        <v>174</v>
      </c>
      <c r="B55" s="142" t="s">
        <v>1613</v>
      </c>
      <c r="C55" s="143" t="s">
        <v>16</v>
      </c>
      <c r="D55" s="143" t="s">
        <v>11</v>
      </c>
      <c r="E55" s="142"/>
      <c r="F55" s="142"/>
      <c r="G55" s="113"/>
      <c r="H55" s="113"/>
    </row>
    <row r="56" spans="1:8" s="298" customFormat="1" ht="26.25" x14ac:dyDescent="0.25">
      <c r="A56" s="141">
        <v>176</v>
      </c>
      <c r="B56" s="142" t="s">
        <v>1614</v>
      </c>
      <c r="C56" s="143" t="s">
        <v>16</v>
      </c>
      <c r="D56" s="143" t="s">
        <v>154</v>
      </c>
      <c r="E56" s="142"/>
      <c r="F56" s="142"/>
      <c r="G56" s="113"/>
      <c r="H56" s="113"/>
    </row>
    <row r="57" spans="1:8" s="298" customFormat="1" ht="26.25" x14ac:dyDescent="0.25">
      <c r="A57" s="141">
        <v>183</v>
      </c>
      <c r="B57" s="142" t="s">
        <v>1615</v>
      </c>
      <c r="C57" s="143" t="s">
        <v>65</v>
      </c>
      <c r="D57" s="143" t="s">
        <v>11</v>
      </c>
      <c r="E57" s="142"/>
      <c r="F57" s="142"/>
      <c r="G57" s="113"/>
      <c r="H57" s="113"/>
    </row>
    <row r="58" spans="1:8" s="298" customFormat="1" x14ac:dyDescent="0.25">
      <c r="A58" s="141">
        <v>186</v>
      </c>
      <c r="B58" s="142" t="s">
        <v>66</v>
      </c>
      <c r="C58" s="143" t="s">
        <v>32</v>
      </c>
      <c r="D58" s="143" t="s">
        <v>11</v>
      </c>
      <c r="E58" s="142"/>
      <c r="F58" s="142"/>
      <c r="G58" s="113"/>
      <c r="H58" s="113"/>
    </row>
    <row r="59" spans="1:8" s="298" customFormat="1" ht="26.25" x14ac:dyDescent="0.25">
      <c r="A59" s="141">
        <v>190</v>
      </c>
      <c r="B59" s="142" t="s">
        <v>1616</v>
      </c>
      <c r="C59" s="149" t="s">
        <v>67</v>
      </c>
      <c r="D59" s="143" t="s">
        <v>1591</v>
      </c>
      <c r="E59" s="142"/>
      <c r="F59" s="142"/>
      <c r="G59" s="113"/>
      <c r="H59" s="113"/>
    </row>
    <row r="60" spans="1:8" s="298" customFormat="1" x14ac:dyDescent="0.25">
      <c r="A60" s="141">
        <v>194</v>
      </c>
      <c r="B60" s="142" t="s">
        <v>69</v>
      </c>
      <c r="C60" s="143" t="s">
        <v>36</v>
      </c>
      <c r="D60" s="143" t="s">
        <v>7</v>
      </c>
      <c r="E60" s="142"/>
      <c r="F60" s="142"/>
      <c r="G60" s="113"/>
      <c r="H60" s="113"/>
    </row>
    <row r="61" spans="1:8" s="298" customFormat="1" x14ac:dyDescent="0.25">
      <c r="A61" s="141">
        <v>195</v>
      </c>
      <c r="B61" s="142" t="s">
        <v>70</v>
      </c>
      <c r="C61" s="143" t="s">
        <v>38</v>
      </c>
      <c r="D61" s="143" t="s">
        <v>11</v>
      </c>
      <c r="E61" s="142"/>
      <c r="F61" s="142"/>
      <c r="G61" s="113"/>
      <c r="H61" s="113"/>
    </row>
    <row r="62" spans="1:8" s="298" customFormat="1" x14ac:dyDescent="0.25">
      <c r="A62" s="141">
        <v>196</v>
      </c>
      <c r="B62" s="142" t="s">
        <v>71</v>
      </c>
      <c r="C62" s="143" t="s">
        <v>38</v>
      </c>
      <c r="D62" s="143" t="s">
        <v>11</v>
      </c>
      <c r="E62" s="142"/>
      <c r="F62" s="142"/>
      <c r="G62" s="113"/>
      <c r="H62" s="113"/>
    </row>
    <row r="63" spans="1:8" s="298" customFormat="1" ht="26.25" x14ac:dyDescent="0.25">
      <c r="A63" s="141">
        <v>198</v>
      </c>
      <c r="B63" s="142" t="s">
        <v>1617</v>
      </c>
      <c r="C63" s="143" t="s">
        <v>65</v>
      </c>
      <c r="D63" s="143" t="s">
        <v>7</v>
      </c>
      <c r="E63" s="142"/>
      <c r="F63" s="142"/>
      <c r="G63" s="113"/>
      <c r="H63" s="113"/>
    </row>
    <row r="64" spans="1:8" s="298" customFormat="1" x14ac:dyDescent="0.25">
      <c r="A64" s="141">
        <v>199</v>
      </c>
      <c r="B64" s="142" t="s">
        <v>1618</v>
      </c>
      <c r="C64" s="149" t="s">
        <v>67</v>
      </c>
      <c r="D64" s="143" t="s">
        <v>154</v>
      </c>
      <c r="E64" s="142"/>
      <c r="F64" s="142"/>
      <c r="G64" s="113"/>
      <c r="H64" s="113"/>
    </row>
    <row r="65" spans="1:8" s="298" customFormat="1" ht="26.25" x14ac:dyDescent="0.25">
      <c r="A65" s="141">
        <v>203</v>
      </c>
      <c r="B65" s="142" t="s">
        <v>72</v>
      </c>
      <c r="C65" s="143" t="s">
        <v>63</v>
      </c>
      <c r="D65" s="143" t="s">
        <v>1591</v>
      </c>
      <c r="E65" s="142"/>
      <c r="F65" s="142"/>
      <c r="G65" s="113"/>
      <c r="H65" s="113"/>
    </row>
    <row r="66" spans="1:8" s="298" customFormat="1" x14ac:dyDescent="0.25">
      <c r="A66" s="141">
        <v>206</v>
      </c>
      <c r="B66" s="142" t="s">
        <v>1619</v>
      </c>
      <c r="C66" s="143" t="s">
        <v>73</v>
      </c>
      <c r="D66" s="143" t="s">
        <v>14</v>
      </c>
      <c r="E66" s="142"/>
      <c r="F66" s="142"/>
      <c r="G66" s="113"/>
      <c r="H66" s="113"/>
    </row>
    <row r="67" spans="1:8" s="298" customFormat="1" x14ac:dyDescent="0.25">
      <c r="A67" s="141">
        <v>209</v>
      </c>
      <c r="B67" s="142" t="s">
        <v>74</v>
      </c>
      <c r="C67" s="143" t="s">
        <v>47</v>
      </c>
      <c r="D67" s="143" t="s">
        <v>7</v>
      </c>
      <c r="E67" s="142"/>
      <c r="F67" s="142"/>
      <c r="G67" s="113"/>
      <c r="H67" s="113"/>
    </row>
    <row r="68" spans="1:8" s="298" customFormat="1" ht="26.25" x14ac:dyDescent="0.25">
      <c r="A68" s="141">
        <v>210</v>
      </c>
      <c r="B68" s="142" t="s">
        <v>75</v>
      </c>
      <c r="C68" s="143" t="s">
        <v>44</v>
      </c>
      <c r="D68" s="143" t="s">
        <v>1620</v>
      </c>
      <c r="E68" s="142"/>
      <c r="F68" s="142"/>
      <c r="G68" s="113"/>
      <c r="H68" s="113"/>
    </row>
    <row r="69" spans="1:8" s="298" customFormat="1" x14ac:dyDescent="0.25">
      <c r="A69" s="190">
        <v>210</v>
      </c>
      <c r="B69" s="606" t="s">
        <v>75</v>
      </c>
      <c r="C69" s="606" t="s">
        <v>44</v>
      </c>
      <c r="D69" s="606" t="s">
        <v>21</v>
      </c>
      <c r="E69" s="606"/>
      <c r="F69" s="606"/>
      <c r="G69" s="113"/>
      <c r="H69" s="113"/>
    </row>
    <row r="70" spans="1:8" s="298" customFormat="1" ht="26.25" x14ac:dyDescent="0.25">
      <c r="A70" s="141">
        <v>213</v>
      </c>
      <c r="B70" s="142" t="s">
        <v>1343</v>
      </c>
      <c r="C70" s="143" t="s">
        <v>16</v>
      </c>
      <c r="D70" s="251" t="s">
        <v>21</v>
      </c>
      <c r="E70" s="142"/>
      <c r="F70" s="142"/>
      <c r="G70" s="113"/>
      <c r="H70" s="113"/>
    </row>
    <row r="71" spans="1:8" s="298" customFormat="1" x14ac:dyDescent="0.25">
      <c r="A71" s="141">
        <v>215</v>
      </c>
      <c r="B71" s="142" t="s">
        <v>76</v>
      </c>
      <c r="C71" s="143" t="s">
        <v>36</v>
      </c>
      <c r="D71" s="143" t="s">
        <v>7</v>
      </c>
      <c r="E71" s="142"/>
      <c r="F71" s="142"/>
      <c r="G71" s="113"/>
      <c r="H71" s="113"/>
    </row>
    <row r="72" spans="1:8" s="298" customFormat="1" x14ac:dyDescent="0.25">
      <c r="A72" s="141">
        <v>217</v>
      </c>
      <c r="B72" s="142" t="s">
        <v>77</v>
      </c>
      <c r="C72" s="143" t="s">
        <v>10</v>
      </c>
      <c r="D72" s="143" t="s">
        <v>11</v>
      </c>
      <c r="E72" s="142"/>
      <c r="F72" s="142"/>
      <c r="G72" s="113"/>
      <c r="H72" s="113"/>
    </row>
    <row r="73" spans="1:8" s="298" customFormat="1" x14ac:dyDescent="0.25">
      <c r="A73" s="141">
        <v>219</v>
      </c>
      <c r="B73" s="142" t="s">
        <v>78</v>
      </c>
      <c r="C73" s="143" t="s">
        <v>41</v>
      </c>
      <c r="D73" s="143" t="s">
        <v>242</v>
      </c>
      <c r="E73" s="142"/>
      <c r="F73" s="142"/>
      <c r="G73" s="113"/>
      <c r="H73" s="194"/>
    </row>
    <row r="74" spans="1:8" s="298" customFormat="1" x14ac:dyDescent="0.25">
      <c r="A74" s="141">
        <v>221</v>
      </c>
      <c r="B74" s="142" t="s">
        <v>79</v>
      </c>
      <c r="C74" s="143" t="s">
        <v>24</v>
      </c>
      <c r="D74" s="143" t="s">
        <v>80</v>
      </c>
      <c r="E74" s="142"/>
      <c r="F74" s="142"/>
      <c r="G74" s="113"/>
      <c r="H74" s="113"/>
    </row>
    <row r="75" spans="1:8" s="298" customFormat="1" x14ac:dyDescent="0.25">
      <c r="A75" s="141">
        <v>223</v>
      </c>
      <c r="B75" s="142" t="s">
        <v>1621</v>
      </c>
      <c r="C75" s="143" t="s">
        <v>24</v>
      </c>
      <c r="D75" s="143" t="s">
        <v>37</v>
      </c>
      <c r="E75" s="142"/>
      <c r="F75" s="142"/>
      <c r="G75" s="113"/>
      <c r="H75" s="113"/>
    </row>
    <row r="76" spans="1:8" s="298" customFormat="1" x14ac:dyDescent="0.25">
      <c r="A76" s="141">
        <v>225</v>
      </c>
      <c r="B76" s="142" t="s">
        <v>81</v>
      </c>
      <c r="C76" s="143" t="s">
        <v>9</v>
      </c>
      <c r="D76" s="143" t="s">
        <v>11</v>
      </c>
      <c r="E76" s="142"/>
      <c r="F76" s="142"/>
      <c r="G76" s="113"/>
      <c r="H76" s="113"/>
    </row>
    <row r="77" spans="1:8" s="298" customFormat="1" x14ac:dyDescent="0.25">
      <c r="A77" s="141">
        <v>228</v>
      </c>
      <c r="B77" s="142" t="s">
        <v>82</v>
      </c>
      <c r="C77" s="143" t="s">
        <v>44</v>
      </c>
      <c r="D77" s="143" t="s">
        <v>11</v>
      </c>
      <c r="E77" s="142"/>
      <c r="F77" s="142"/>
      <c r="G77" s="113"/>
      <c r="H77" s="113"/>
    </row>
    <row r="78" spans="1:8" s="298" customFormat="1" x14ac:dyDescent="0.25">
      <c r="A78" s="141">
        <v>229</v>
      </c>
      <c r="B78" s="142" t="s">
        <v>1622</v>
      </c>
      <c r="C78" s="143" t="s">
        <v>24</v>
      </c>
      <c r="D78" s="143" t="s">
        <v>80</v>
      </c>
      <c r="E78" s="142"/>
      <c r="F78" s="142"/>
      <c r="G78" s="113"/>
      <c r="H78" s="113"/>
    </row>
    <row r="79" spans="1:8" s="298" customFormat="1" x14ac:dyDescent="0.25">
      <c r="A79" s="141">
        <v>231</v>
      </c>
      <c r="B79" s="142" t="s">
        <v>1623</v>
      </c>
      <c r="C79" s="143" t="s">
        <v>36</v>
      </c>
      <c r="D79" s="143" t="s">
        <v>21</v>
      </c>
      <c r="E79" s="142"/>
      <c r="F79" s="142"/>
      <c r="G79" s="113"/>
      <c r="H79" s="113"/>
    </row>
    <row r="80" spans="1:8" s="298" customFormat="1" x14ac:dyDescent="0.25">
      <c r="A80" s="141">
        <v>232</v>
      </c>
      <c r="B80" s="142" t="s">
        <v>83</v>
      </c>
      <c r="C80" s="143" t="s">
        <v>36</v>
      </c>
      <c r="D80" s="143" t="s">
        <v>45</v>
      </c>
      <c r="E80" s="142"/>
      <c r="F80" s="142"/>
      <c r="G80" s="113"/>
      <c r="H80" s="113"/>
    </row>
    <row r="81" spans="1:8" s="298" customFormat="1" x14ac:dyDescent="0.25">
      <c r="A81" s="141">
        <v>233</v>
      </c>
      <c r="B81" s="142" t="s">
        <v>1624</v>
      </c>
      <c r="C81" s="143" t="s">
        <v>24</v>
      </c>
      <c r="D81" s="143" t="s">
        <v>80</v>
      </c>
      <c r="E81" s="142"/>
      <c r="F81" s="142"/>
      <c r="G81" s="113"/>
      <c r="H81" s="113"/>
    </row>
    <row r="82" spans="1:8" s="298" customFormat="1" ht="26.25" x14ac:dyDescent="0.25">
      <c r="A82" s="141">
        <v>238</v>
      </c>
      <c r="B82" s="142" t="s">
        <v>85</v>
      </c>
      <c r="C82" s="143" t="s">
        <v>914</v>
      </c>
      <c r="D82" s="143" t="s">
        <v>1625</v>
      </c>
      <c r="E82" s="142"/>
      <c r="F82" s="142"/>
      <c r="G82" s="113"/>
      <c r="H82" s="113"/>
    </row>
    <row r="83" spans="1:8" s="298" customFormat="1" x14ac:dyDescent="0.25">
      <c r="A83" s="141">
        <v>241</v>
      </c>
      <c r="B83" s="142" t="s">
        <v>86</v>
      </c>
      <c r="C83" s="143" t="s">
        <v>44</v>
      </c>
      <c r="D83" s="143" t="s">
        <v>14</v>
      </c>
      <c r="E83" s="142"/>
      <c r="F83" s="142"/>
      <c r="G83" s="113"/>
      <c r="H83" s="113"/>
    </row>
    <row r="84" spans="1:8" s="298" customFormat="1" x14ac:dyDescent="0.25">
      <c r="A84" s="141">
        <v>242</v>
      </c>
      <c r="B84" s="142" t="s">
        <v>1626</v>
      </c>
      <c r="C84" s="143" t="s">
        <v>32</v>
      </c>
      <c r="D84" s="143" t="s">
        <v>154</v>
      </c>
      <c r="E84" s="142"/>
      <c r="F84" s="142"/>
      <c r="G84" s="113"/>
      <c r="H84" s="113"/>
    </row>
    <row r="85" spans="1:8" s="298" customFormat="1" ht="26.25" x14ac:dyDescent="0.25">
      <c r="A85" s="141">
        <v>245</v>
      </c>
      <c r="B85" s="142" t="s">
        <v>1627</v>
      </c>
      <c r="C85" s="143" t="s">
        <v>914</v>
      </c>
      <c r="D85" s="143" t="s">
        <v>68</v>
      </c>
      <c r="E85" s="142"/>
      <c r="F85" s="142"/>
      <c r="G85" s="113"/>
      <c r="H85" s="113"/>
    </row>
    <row r="86" spans="1:8" s="298" customFormat="1" ht="26.25" x14ac:dyDescent="0.25">
      <c r="A86" s="141">
        <v>246</v>
      </c>
      <c r="B86" s="142" t="s">
        <v>1628</v>
      </c>
      <c r="C86" s="143" t="s">
        <v>22</v>
      </c>
      <c r="D86" s="143" t="s">
        <v>11</v>
      </c>
      <c r="E86" s="142"/>
      <c r="F86" s="142"/>
      <c r="G86" s="113"/>
      <c r="H86" s="113"/>
    </row>
    <row r="87" spans="1:8" s="298" customFormat="1" x14ac:dyDescent="0.25">
      <c r="A87" s="141">
        <v>250</v>
      </c>
      <c r="B87" s="142" t="s">
        <v>1629</v>
      </c>
      <c r="C87" s="143" t="s">
        <v>38</v>
      </c>
      <c r="D87" s="143" t="s">
        <v>11</v>
      </c>
      <c r="E87" s="142"/>
      <c r="F87" s="142"/>
      <c r="G87" s="113"/>
      <c r="H87" s="113"/>
    </row>
    <row r="88" spans="1:8" s="298" customFormat="1" ht="26.25" x14ac:dyDescent="0.25">
      <c r="A88" s="141">
        <v>252</v>
      </c>
      <c r="B88" s="142" t="s">
        <v>1630</v>
      </c>
      <c r="C88" s="143" t="s">
        <v>16</v>
      </c>
      <c r="D88" s="143" t="s">
        <v>88</v>
      </c>
      <c r="E88" s="142"/>
      <c r="F88" s="142"/>
      <c r="G88" s="113"/>
      <c r="H88" s="113"/>
    </row>
    <row r="89" spans="1:8" s="298" customFormat="1" x14ac:dyDescent="0.25">
      <c r="A89" s="141">
        <v>254</v>
      </c>
      <c r="B89" s="142" t="s">
        <v>89</v>
      </c>
      <c r="C89" s="143" t="s">
        <v>38</v>
      </c>
      <c r="D89" s="143" t="s">
        <v>453</v>
      </c>
      <c r="E89" s="142"/>
      <c r="F89" s="142"/>
      <c r="G89" s="113"/>
      <c r="H89" s="113"/>
    </row>
    <row r="90" spans="1:8" s="298" customFormat="1" x14ac:dyDescent="0.25">
      <c r="A90" s="141">
        <v>255</v>
      </c>
      <c r="B90" s="142" t="s">
        <v>1631</v>
      </c>
      <c r="C90" s="143" t="s">
        <v>73</v>
      </c>
      <c r="D90" s="143" t="s">
        <v>154</v>
      </c>
      <c r="E90" s="142"/>
      <c r="F90" s="142"/>
      <c r="G90" s="194"/>
      <c r="H90" s="113"/>
    </row>
    <row r="91" spans="1:8" s="298" customFormat="1" x14ac:dyDescent="0.25">
      <c r="A91" s="190">
        <v>256</v>
      </c>
      <c r="B91" s="606" t="s">
        <v>3089</v>
      </c>
      <c r="C91" s="606" t="s">
        <v>1652</v>
      </c>
      <c r="D91" s="606" t="s">
        <v>3090</v>
      </c>
      <c r="E91" s="606"/>
      <c r="F91" s="606"/>
      <c r="G91" s="113"/>
      <c r="H91" s="113"/>
    </row>
    <row r="92" spans="1:8" s="298" customFormat="1" x14ac:dyDescent="0.25">
      <c r="A92" s="195">
        <v>256</v>
      </c>
      <c r="B92" s="187" t="s">
        <v>3125</v>
      </c>
      <c r="C92" s="187" t="s">
        <v>1652</v>
      </c>
      <c r="D92" s="148" t="s">
        <v>179</v>
      </c>
      <c r="E92" s="606"/>
      <c r="F92" s="187"/>
      <c r="G92" s="113"/>
      <c r="H92" s="113"/>
    </row>
    <row r="93" spans="1:8" s="298" customFormat="1" ht="26.25" x14ac:dyDescent="0.25">
      <c r="A93" s="141">
        <v>258</v>
      </c>
      <c r="B93" s="142" t="s">
        <v>1632</v>
      </c>
      <c r="C93" s="143" t="s">
        <v>22</v>
      </c>
      <c r="D93" s="143" t="s">
        <v>154</v>
      </c>
      <c r="E93" s="142"/>
      <c r="F93" s="142"/>
      <c r="G93" s="113"/>
      <c r="H93" s="113"/>
    </row>
    <row r="94" spans="1:8" s="298" customFormat="1" ht="26.25" x14ac:dyDescent="0.25">
      <c r="A94" s="141">
        <v>259</v>
      </c>
      <c r="B94" s="142" t="s">
        <v>1633</v>
      </c>
      <c r="C94" s="143" t="s">
        <v>16</v>
      </c>
      <c r="D94" s="143" t="s">
        <v>11</v>
      </c>
      <c r="E94" s="142"/>
      <c r="F94" s="142"/>
      <c r="G94" s="113"/>
      <c r="H94" s="113"/>
    </row>
    <row r="95" spans="1:8" s="298" customFormat="1" ht="26.25" x14ac:dyDescent="0.25">
      <c r="A95" s="141">
        <v>260</v>
      </c>
      <c r="B95" s="142" t="s">
        <v>1634</v>
      </c>
      <c r="C95" s="143" t="s">
        <v>36</v>
      </c>
      <c r="D95" s="143" t="s">
        <v>1635</v>
      </c>
      <c r="E95" s="142"/>
      <c r="F95" s="142"/>
      <c r="G95" s="113"/>
      <c r="H95" s="113"/>
    </row>
    <row r="96" spans="1:8" s="298" customFormat="1" x14ac:dyDescent="0.25">
      <c r="A96" s="141">
        <v>262</v>
      </c>
      <c r="B96" s="142" t="s">
        <v>91</v>
      </c>
      <c r="C96" s="143" t="s">
        <v>44</v>
      </c>
      <c r="D96" s="143" t="s">
        <v>11</v>
      </c>
      <c r="E96" s="142"/>
      <c r="F96" s="142"/>
      <c r="G96" s="113"/>
      <c r="H96" s="113"/>
    </row>
    <row r="97" spans="1:8" s="298" customFormat="1" ht="26.25" x14ac:dyDescent="0.25">
      <c r="A97" s="141">
        <v>265</v>
      </c>
      <c r="B97" s="142" t="s">
        <v>1636</v>
      </c>
      <c r="C97" s="143" t="s">
        <v>6</v>
      </c>
      <c r="D97" s="143" t="s">
        <v>14</v>
      </c>
      <c r="E97" s="142"/>
      <c r="F97" s="142"/>
      <c r="G97" s="113"/>
      <c r="H97" s="113"/>
    </row>
    <row r="98" spans="1:8" s="298" customFormat="1" ht="26.25" x14ac:dyDescent="0.25">
      <c r="A98" s="141">
        <v>267</v>
      </c>
      <c r="B98" s="142" t="s">
        <v>92</v>
      </c>
      <c r="C98" s="143" t="s">
        <v>22</v>
      </c>
      <c r="D98" s="143" t="s">
        <v>1637</v>
      </c>
      <c r="E98" s="142"/>
      <c r="F98" s="142"/>
      <c r="G98" s="113"/>
      <c r="H98" s="113"/>
    </row>
    <row r="99" spans="1:8" s="298" customFormat="1" ht="26.25" x14ac:dyDescent="0.25">
      <c r="A99" s="141">
        <v>270</v>
      </c>
      <c r="B99" s="142" t="s">
        <v>93</v>
      </c>
      <c r="C99" s="143" t="s">
        <v>22</v>
      </c>
      <c r="D99" s="143" t="s">
        <v>154</v>
      </c>
      <c r="E99" s="142"/>
      <c r="F99" s="142"/>
      <c r="G99" s="113"/>
      <c r="H99" s="113"/>
    </row>
    <row r="100" spans="1:8" s="298" customFormat="1" ht="26.25" x14ac:dyDescent="0.25">
      <c r="A100" s="141">
        <v>271</v>
      </c>
      <c r="B100" s="142" t="s">
        <v>94</v>
      </c>
      <c r="C100" s="143" t="s">
        <v>5</v>
      </c>
      <c r="D100" s="143" t="s">
        <v>154</v>
      </c>
      <c r="E100" s="142"/>
      <c r="F100" s="142"/>
      <c r="G100" s="113"/>
      <c r="H100" s="113"/>
    </row>
    <row r="101" spans="1:8" s="298" customFormat="1" ht="26.25" x14ac:dyDescent="0.25">
      <c r="A101" s="141">
        <v>274</v>
      </c>
      <c r="B101" s="142" t="s">
        <v>1638</v>
      </c>
      <c r="C101" s="143" t="s">
        <v>4</v>
      </c>
      <c r="D101" s="143" t="s">
        <v>1164</v>
      </c>
      <c r="E101" s="142"/>
      <c r="F101" s="142"/>
      <c r="G101" s="113"/>
      <c r="H101" s="113"/>
    </row>
    <row r="102" spans="1:8" s="298" customFormat="1" ht="26.25" x14ac:dyDescent="0.25">
      <c r="A102" s="141">
        <v>275</v>
      </c>
      <c r="B102" s="142" t="s">
        <v>95</v>
      </c>
      <c r="C102" s="143" t="s">
        <v>22</v>
      </c>
      <c r="D102" s="143" t="s">
        <v>7</v>
      </c>
      <c r="E102" s="142"/>
      <c r="F102" s="142"/>
      <c r="G102" s="113"/>
      <c r="H102" s="113"/>
    </row>
    <row r="103" spans="1:8" s="298" customFormat="1" x14ac:dyDescent="0.25">
      <c r="A103" s="190">
        <v>278</v>
      </c>
      <c r="B103" s="606" t="s">
        <v>3301</v>
      </c>
      <c r="C103" s="143" t="s">
        <v>387</v>
      </c>
      <c r="D103" s="606" t="s">
        <v>14</v>
      </c>
      <c r="E103" s="606"/>
      <c r="F103" s="606"/>
      <c r="G103" s="113"/>
      <c r="H103" s="113"/>
    </row>
    <row r="104" spans="1:8" s="298" customFormat="1" x14ac:dyDescent="0.25">
      <c r="A104" s="141">
        <v>279</v>
      </c>
      <c r="B104" s="142" t="s">
        <v>1639</v>
      </c>
      <c r="C104" s="143" t="s">
        <v>47</v>
      </c>
      <c r="D104" s="143" t="s">
        <v>7</v>
      </c>
      <c r="E104" s="142"/>
      <c r="F104" s="142"/>
      <c r="G104" s="113"/>
      <c r="H104" s="113"/>
    </row>
    <row r="105" spans="1:8" s="298" customFormat="1" ht="26.25" x14ac:dyDescent="0.25">
      <c r="A105" s="141">
        <v>280</v>
      </c>
      <c r="B105" s="142" t="s">
        <v>1640</v>
      </c>
      <c r="C105" s="143" t="s">
        <v>16</v>
      </c>
      <c r="D105" s="143" t="s">
        <v>154</v>
      </c>
      <c r="E105" s="142"/>
      <c r="F105" s="142"/>
      <c r="G105" s="113"/>
      <c r="H105" s="113"/>
    </row>
    <row r="106" spans="1:8" s="298" customFormat="1" ht="26.25" x14ac:dyDescent="0.25">
      <c r="A106" s="141">
        <v>281</v>
      </c>
      <c r="B106" s="142" t="s">
        <v>97</v>
      </c>
      <c r="C106" s="143" t="s">
        <v>914</v>
      </c>
      <c r="D106" s="143" t="s">
        <v>11</v>
      </c>
      <c r="E106" s="142"/>
      <c r="F106" s="142"/>
      <c r="G106" s="113"/>
      <c r="H106" s="113"/>
    </row>
    <row r="107" spans="1:8" s="298" customFormat="1" x14ac:dyDescent="0.25">
      <c r="A107" s="141">
        <v>282</v>
      </c>
      <c r="B107" s="142" t="s">
        <v>1641</v>
      </c>
      <c r="C107" s="143" t="s">
        <v>17</v>
      </c>
      <c r="D107" s="143" t="s">
        <v>242</v>
      </c>
      <c r="E107" s="142"/>
      <c r="F107" s="142"/>
      <c r="G107" s="113"/>
      <c r="H107" s="113"/>
    </row>
    <row r="108" spans="1:8" s="298" customFormat="1" ht="26.25" x14ac:dyDescent="0.25">
      <c r="A108" s="141">
        <v>286</v>
      </c>
      <c r="B108" s="142" t="s">
        <v>1642</v>
      </c>
      <c r="C108" s="143" t="s">
        <v>6</v>
      </c>
      <c r="D108" s="143" t="s">
        <v>21</v>
      </c>
      <c r="E108" s="142"/>
      <c r="F108" s="142"/>
      <c r="G108" s="113"/>
      <c r="H108" s="113"/>
    </row>
    <row r="109" spans="1:8" s="298" customFormat="1" ht="26.25" x14ac:dyDescent="0.25">
      <c r="A109" s="141">
        <v>287</v>
      </c>
      <c r="B109" s="142" t="s">
        <v>1643</v>
      </c>
      <c r="C109" s="143" t="s">
        <v>16</v>
      </c>
      <c r="D109" s="143" t="s">
        <v>7</v>
      </c>
      <c r="E109" s="142"/>
      <c r="F109" s="142"/>
      <c r="G109" s="113"/>
      <c r="H109" s="113"/>
    </row>
    <row r="110" spans="1:8" s="298" customFormat="1" ht="26.25" x14ac:dyDescent="0.25">
      <c r="A110" s="141">
        <v>289</v>
      </c>
      <c r="B110" s="142" t="s">
        <v>98</v>
      </c>
      <c r="C110" s="143" t="s">
        <v>16</v>
      </c>
      <c r="D110" s="143" t="s">
        <v>11</v>
      </c>
      <c r="E110" s="142"/>
      <c r="F110" s="142"/>
      <c r="G110" s="113"/>
      <c r="H110" s="113"/>
    </row>
    <row r="111" spans="1:8" s="298" customFormat="1" x14ac:dyDescent="0.25">
      <c r="A111" s="245">
        <v>290</v>
      </c>
      <c r="B111" s="246" t="s">
        <v>2715</v>
      </c>
      <c r="C111" s="246" t="s">
        <v>32</v>
      </c>
      <c r="D111" s="246" t="s">
        <v>154</v>
      </c>
      <c r="E111" s="246"/>
      <c r="F111" s="246"/>
      <c r="G111" s="113"/>
      <c r="H111" s="113"/>
    </row>
    <row r="112" spans="1:8" s="298" customFormat="1" x14ac:dyDescent="0.25">
      <c r="A112" s="187">
        <v>290</v>
      </c>
      <c r="B112" s="188" t="s">
        <v>2715</v>
      </c>
      <c r="C112" s="146" t="s">
        <v>32</v>
      </c>
      <c r="D112" s="148" t="s">
        <v>154</v>
      </c>
      <c r="E112" s="606"/>
      <c r="F112" s="606"/>
      <c r="G112" s="113"/>
      <c r="H112" s="113"/>
    </row>
    <row r="113" spans="1:8" s="298" customFormat="1" x14ac:dyDescent="0.25">
      <c r="A113" s="141">
        <v>292</v>
      </c>
      <c r="B113" s="142" t="s">
        <v>1644</v>
      </c>
      <c r="C113" s="143" t="s">
        <v>24</v>
      </c>
      <c r="D113" s="143" t="s">
        <v>80</v>
      </c>
      <c r="E113" s="142"/>
      <c r="F113" s="142"/>
      <c r="G113" s="113"/>
      <c r="H113" s="113"/>
    </row>
    <row r="114" spans="1:8" s="298" customFormat="1" x14ac:dyDescent="0.25">
      <c r="A114" s="141">
        <v>293</v>
      </c>
      <c r="B114" s="142" t="s">
        <v>99</v>
      </c>
      <c r="C114" s="143" t="s">
        <v>24</v>
      </c>
      <c r="D114" s="143" t="s">
        <v>415</v>
      </c>
      <c r="E114" s="142"/>
      <c r="F114" s="142"/>
      <c r="G114" s="113"/>
      <c r="H114" s="113"/>
    </row>
    <row r="115" spans="1:8" s="298" customFormat="1" x14ac:dyDescent="0.25">
      <c r="A115" s="141">
        <v>294</v>
      </c>
      <c r="B115" s="142" t="s">
        <v>100</v>
      </c>
      <c r="C115" s="143" t="s">
        <v>101</v>
      </c>
      <c r="D115" s="143" t="s">
        <v>11</v>
      </c>
      <c r="E115" s="142"/>
      <c r="F115" s="142"/>
      <c r="G115" s="113"/>
      <c r="H115" s="113"/>
    </row>
    <row r="116" spans="1:8" s="298" customFormat="1" ht="26.25" x14ac:dyDescent="0.25">
      <c r="A116" s="141">
        <v>301</v>
      </c>
      <c r="B116" s="142" t="s">
        <v>103</v>
      </c>
      <c r="C116" s="143" t="s">
        <v>49</v>
      </c>
      <c r="D116" s="143" t="s">
        <v>1591</v>
      </c>
      <c r="E116" s="142"/>
      <c r="F116" s="142"/>
      <c r="G116" s="113"/>
      <c r="H116" s="113"/>
    </row>
    <row r="117" spans="1:8" s="298" customFormat="1" x14ac:dyDescent="0.25">
      <c r="A117" s="141">
        <v>302</v>
      </c>
      <c r="B117" s="142" t="s">
        <v>104</v>
      </c>
      <c r="C117" s="143" t="s">
        <v>41</v>
      </c>
      <c r="D117" s="143" t="s">
        <v>150</v>
      </c>
      <c r="E117" s="142"/>
      <c r="F117" s="142"/>
      <c r="G117" s="113"/>
      <c r="H117" s="113"/>
    </row>
    <row r="118" spans="1:8" s="298" customFormat="1" x14ac:dyDescent="0.25">
      <c r="A118" s="141">
        <v>304</v>
      </c>
      <c r="B118" s="142" t="s">
        <v>1645</v>
      </c>
      <c r="C118" s="143" t="s">
        <v>24</v>
      </c>
      <c r="D118" s="143" t="s">
        <v>80</v>
      </c>
      <c r="E118" s="142"/>
      <c r="F118" s="142"/>
      <c r="G118" s="113"/>
      <c r="H118" s="113"/>
    </row>
    <row r="119" spans="1:8" s="298" customFormat="1" x14ac:dyDescent="0.25">
      <c r="A119" s="141">
        <v>308</v>
      </c>
      <c r="B119" s="142" t="s">
        <v>105</v>
      </c>
      <c r="C119" s="143" t="s">
        <v>36</v>
      </c>
      <c r="D119" s="143" t="s">
        <v>14</v>
      </c>
      <c r="E119" s="142"/>
      <c r="F119" s="142"/>
      <c r="G119" s="113"/>
      <c r="H119" s="113"/>
    </row>
    <row r="120" spans="1:8" s="298" customFormat="1" x14ac:dyDescent="0.25">
      <c r="A120" s="141">
        <v>309</v>
      </c>
      <c r="B120" s="142" t="s">
        <v>106</v>
      </c>
      <c r="C120" s="143" t="s">
        <v>36</v>
      </c>
      <c r="D120" s="143" t="s">
        <v>1131</v>
      </c>
      <c r="E120" s="142"/>
      <c r="F120" s="142"/>
      <c r="G120" s="113"/>
      <c r="H120" s="113"/>
    </row>
    <row r="121" spans="1:8" s="298" customFormat="1" x14ac:dyDescent="0.25">
      <c r="A121" s="141">
        <v>312</v>
      </c>
      <c r="B121" s="142" t="s">
        <v>1646</v>
      </c>
      <c r="C121" s="143" t="s">
        <v>36</v>
      </c>
      <c r="D121" s="143" t="s">
        <v>1131</v>
      </c>
      <c r="E121" s="142"/>
      <c r="F121" s="142"/>
      <c r="G121" s="113"/>
      <c r="H121" s="113"/>
    </row>
    <row r="122" spans="1:8" s="298" customFormat="1" x14ac:dyDescent="0.25">
      <c r="A122" s="141">
        <v>314</v>
      </c>
      <c r="B122" s="142" t="s">
        <v>1647</v>
      </c>
      <c r="C122" s="143" t="s">
        <v>36</v>
      </c>
      <c r="D122" s="143" t="s">
        <v>967</v>
      </c>
      <c r="E122" s="142"/>
      <c r="F122" s="142"/>
      <c r="G122" s="113"/>
      <c r="H122" s="113"/>
    </row>
    <row r="123" spans="1:8" s="298" customFormat="1" ht="26.25" x14ac:dyDescent="0.25">
      <c r="A123" s="141">
        <v>318</v>
      </c>
      <c r="B123" s="142" t="s">
        <v>1648</v>
      </c>
      <c r="C123" s="143" t="s">
        <v>108</v>
      </c>
      <c r="D123" s="143" t="s">
        <v>109</v>
      </c>
      <c r="E123" s="142"/>
      <c r="F123" s="142"/>
      <c r="G123" s="113"/>
      <c r="H123" s="113"/>
    </row>
    <row r="124" spans="1:8" s="298" customFormat="1" x14ac:dyDescent="0.25">
      <c r="A124" s="141">
        <v>320</v>
      </c>
      <c r="B124" s="142" t="s">
        <v>110</v>
      </c>
      <c r="C124" s="143" t="s">
        <v>107</v>
      </c>
      <c r="D124" s="143" t="s">
        <v>1649</v>
      </c>
      <c r="E124" s="142"/>
      <c r="F124" s="142"/>
      <c r="G124" s="113"/>
      <c r="H124" s="113"/>
    </row>
    <row r="125" spans="1:8" s="298" customFormat="1" x14ac:dyDescent="0.25">
      <c r="A125" s="141">
        <v>321</v>
      </c>
      <c r="B125" s="142" t="s">
        <v>111</v>
      </c>
      <c r="C125" s="143" t="s">
        <v>90</v>
      </c>
      <c r="D125" s="143" t="s">
        <v>21</v>
      </c>
      <c r="E125" s="142"/>
      <c r="F125" s="142"/>
      <c r="G125" s="113"/>
      <c r="H125" s="113"/>
    </row>
    <row r="126" spans="1:8" s="298" customFormat="1" x14ac:dyDescent="0.25">
      <c r="A126" s="141">
        <v>322</v>
      </c>
      <c r="B126" s="142" t="s">
        <v>1650</v>
      </c>
      <c r="C126" s="143" t="s">
        <v>90</v>
      </c>
      <c r="D126" s="143" t="s">
        <v>21</v>
      </c>
      <c r="E126" s="142"/>
      <c r="F126" s="142"/>
      <c r="G126" s="113"/>
      <c r="H126" s="113"/>
    </row>
    <row r="127" spans="1:8" s="298" customFormat="1" x14ac:dyDescent="0.25">
      <c r="A127" s="141">
        <v>323</v>
      </c>
      <c r="B127" s="142" t="s">
        <v>112</v>
      </c>
      <c r="C127" s="143" t="s">
        <v>90</v>
      </c>
      <c r="D127" s="143" t="s">
        <v>7</v>
      </c>
      <c r="E127" s="142"/>
      <c r="F127" s="142"/>
      <c r="G127" s="113"/>
      <c r="H127" s="113"/>
    </row>
    <row r="128" spans="1:8" s="298" customFormat="1" ht="26.25" x14ac:dyDescent="0.25">
      <c r="A128" s="141">
        <v>325</v>
      </c>
      <c r="B128" s="142" t="s">
        <v>1651</v>
      </c>
      <c r="C128" s="143" t="s">
        <v>108</v>
      </c>
      <c r="D128" s="143" t="s">
        <v>14</v>
      </c>
      <c r="E128" s="142"/>
      <c r="F128" s="142"/>
      <c r="G128" s="113"/>
      <c r="H128" s="113"/>
    </row>
    <row r="129" spans="1:8" s="298" customFormat="1" ht="26.25" x14ac:dyDescent="0.25">
      <c r="A129" s="141">
        <v>326</v>
      </c>
      <c r="B129" s="142" t="s">
        <v>113</v>
      </c>
      <c r="C129" s="143" t="s">
        <v>1652</v>
      </c>
      <c r="D129" s="143" t="s">
        <v>14</v>
      </c>
      <c r="E129" s="142"/>
      <c r="F129" s="142" t="s">
        <v>114</v>
      </c>
      <c r="G129" s="113"/>
      <c r="H129" s="113"/>
    </row>
    <row r="130" spans="1:8" s="298" customFormat="1" ht="26.25" x14ac:dyDescent="0.25">
      <c r="A130" s="141">
        <v>327</v>
      </c>
      <c r="B130" s="142" t="s">
        <v>1653</v>
      </c>
      <c r="C130" s="143" t="s">
        <v>22</v>
      </c>
      <c r="D130" s="143" t="s">
        <v>50</v>
      </c>
      <c r="E130" s="142"/>
      <c r="F130" s="142"/>
      <c r="G130" s="113"/>
      <c r="H130" s="113"/>
    </row>
    <row r="131" spans="1:8" s="298" customFormat="1" x14ac:dyDescent="0.25">
      <c r="A131" s="141">
        <v>328</v>
      </c>
      <c r="B131" s="142" t="s">
        <v>1654</v>
      </c>
      <c r="C131" s="143" t="s">
        <v>47</v>
      </c>
      <c r="D131" s="143" t="s">
        <v>11</v>
      </c>
      <c r="E131" s="142"/>
      <c r="F131" s="142"/>
      <c r="G131" s="113"/>
      <c r="H131" s="113"/>
    </row>
    <row r="132" spans="1:8" s="298" customFormat="1" x14ac:dyDescent="0.25">
      <c r="A132" s="141">
        <v>330</v>
      </c>
      <c r="B132" s="142" t="s">
        <v>1655</v>
      </c>
      <c r="C132" s="143" t="s">
        <v>90</v>
      </c>
      <c r="D132" s="143" t="s">
        <v>7</v>
      </c>
      <c r="E132" s="142"/>
      <c r="F132" s="142"/>
      <c r="G132" s="113"/>
      <c r="H132" s="113"/>
    </row>
    <row r="133" spans="1:8" s="298" customFormat="1" x14ac:dyDescent="0.25">
      <c r="A133" s="141">
        <v>334</v>
      </c>
      <c r="B133" s="142" t="s">
        <v>115</v>
      </c>
      <c r="C133" s="143" t="s">
        <v>47</v>
      </c>
      <c r="D133" s="143" t="s">
        <v>7</v>
      </c>
      <c r="E133" s="142"/>
      <c r="F133" s="142"/>
      <c r="G133" s="113"/>
      <c r="H133" s="113"/>
    </row>
    <row r="134" spans="1:8" s="298" customFormat="1" ht="26.25" x14ac:dyDescent="0.25">
      <c r="A134" s="141">
        <v>335</v>
      </c>
      <c r="B134" s="142" t="s">
        <v>1344</v>
      </c>
      <c r="C134" s="143" t="s">
        <v>16</v>
      </c>
      <c r="D134" s="251" t="s">
        <v>7</v>
      </c>
      <c r="E134" s="142"/>
      <c r="F134" s="142"/>
      <c r="G134" s="113"/>
      <c r="H134" s="113"/>
    </row>
    <row r="135" spans="1:8" s="298" customFormat="1" ht="26.25" x14ac:dyDescent="0.25">
      <c r="A135" s="141">
        <v>336</v>
      </c>
      <c r="B135" s="142" t="s">
        <v>1656</v>
      </c>
      <c r="C135" s="143" t="s">
        <v>16</v>
      </c>
      <c r="D135" s="143" t="s">
        <v>154</v>
      </c>
      <c r="E135" s="142"/>
      <c r="F135" s="142"/>
      <c r="G135" s="113"/>
      <c r="H135" s="113"/>
    </row>
    <row r="136" spans="1:8" s="298" customFormat="1" ht="26.25" x14ac:dyDescent="0.25">
      <c r="A136" s="141">
        <v>337</v>
      </c>
      <c r="B136" s="142" t="s">
        <v>117</v>
      </c>
      <c r="C136" s="143" t="s">
        <v>22</v>
      </c>
      <c r="D136" s="143" t="s">
        <v>7</v>
      </c>
      <c r="E136" s="142"/>
      <c r="F136" s="142"/>
      <c r="G136" s="113"/>
      <c r="H136" s="113"/>
    </row>
    <row r="137" spans="1:8" s="298" customFormat="1" ht="26.25" x14ac:dyDescent="0.25">
      <c r="A137" s="141">
        <v>338</v>
      </c>
      <c r="B137" s="142" t="s">
        <v>1657</v>
      </c>
      <c r="C137" s="143" t="s">
        <v>16</v>
      </c>
      <c r="D137" s="143" t="s">
        <v>154</v>
      </c>
      <c r="E137" s="142"/>
      <c r="F137" s="142"/>
      <c r="G137" s="113"/>
      <c r="H137" s="113"/>
    </row>
    <row r="138" spans="1:8" s="298" customFormat="1" x14ac:dyDescent="0.25">
      <c r="A138" s="141">
        <v>342</v>
      </c>
      <c r="B138" s="142" t="s">
        <v>118</v>
      </c>
      <c r="C138" s="143" t="s">
        <v>10</v>
      </c>
      <c r="D138" s="143" t="s">
        <v>7</v>
      </c>
      <c r="E138" s="142"/>
      <c r="F138" s="142"/>
      <c r="G138" s="113"/>
      <c r="H138" s="113"/>
    </row>
    <row r="139" spans="1:8" s="298" customFormat="1" x14ac:dyDescent="0.25">
      <c r="A139" s="141">
        <v>343</v>
      </c>
      <c r="B139" s="142" t="s">
        <v>1658</v>
      </c>
      <c r="C139" s="143" t="s">
        <v>36</v>
      </c>
      <c r="D139" s="143" t="s">
        <v>154</v>
      </c>
      <c r="E139" s="142"/>
      <c r="F139" s="142"/>
      <c r="G139" s="113"/>
      <c r="H139" s="113"/>
    </row>
    <row r="140" spans="1:8" s="298" customFormat="1" x14ac:dyDescent="0.25">
      <c r="A140" s="141">
        <v>344</v>
      </c>
      <c r="B140" s="142" t="s">
        <v>1659</v>
      </c>
      <c r="C140" s="143" t="s">
        <v>36</v>
      </c>
      <c r="D140" s="143" t="s">
        <v>11</v>
      </c>
      <c r="E140" s="142"/>
      <c r="F140" s="142"/>
      <c r="G140" s="113"/>
      <c r="H140" s="113"/>
    </row>
    <row r="141" spans="1:8" s="298" customFormat="1" x14ac:dyDescent="0.25">
      <c r="A141" s="141">
        <v>345</v>
      </c>
      <c r="B141" s="142" t="s">
        <v>119</v>
      </c>
      <c r="C141" s="143" t="s">
        <v>36</v>
      </c>
      <c r="D141" s="143" t="s">
        <v>7</v>
      </c>
      <c r="E141" s="142"/>
      <c r="F141" s="142"/>
      <c r="G141" s="113"/>
      <c r="H141" s="113"/>
    </row>
    <row r="142" spans="1:8" s="298" customFormat="1" x14ac:dyDescent="0.25">
      <c r="A142" s="141">
        <v>349</v>
      </c>
      <c r="B142" s="142" t="s">
        <v>121</v>
      </c>
      <c r="C142" s="143" t="s">
        <v>32</v>
      </c>
      <c r="D142" s="143" t="s">
        <v>154</v>
      </c>
      <c r="E142" s="142"/>
      <c r="F142" s="142"/>
      <c r="G142" s="113"/>
      <c r="H142" s="113"/>
    </row>
    <row r="143" spans="1:8" s="298" customFormat="1" x14ac:dyDescent="0.25">
      <c r="A143" s="141">
        <v>350</v>
      </c>
      <c r="B143" s="142" t="s">
        <v>1660</v>
      </c>
      <c r="C143" s="143" t="s">
        <v>122</v>
      </c>
      <c r="D143" s="143" t="s">
        <v>150</v>
      </c>
      <c r="E143" s="142"/>
      <c r="F143" s="142"/>
      <c r="G143" s="113"/>
      <c r="H143" s="113"/>
    </row>
    <row r="144" spans="1:8" s="298" customFormat="1" ht="26.25" x14ac:dyDescent="0.25">
      <c r="A144" s="141">
        <v>351</v>
      </c>
      <c r="B144" s="142" t="s">
        <v>1661</v>
      </c>
      <c r="C144" s="143" t="s">
        <v>22</v>
      </c>
      <c r="D144" s="143" t="s">
        <v>11</v>
      </c>
      <c r="E144" s="142"/>
      <c r="F144" s="142"/>
      <c r="G144" s="113"/>
      <c r="H144" s="113"/>
    </row>
    <row r="145" spans="1:8" s="298" customFormat="1" x14ac:dyDescent="0.25">
      <c r="A145" s="141">
        <v>352</v>
      </c>
      <c r="B145" s="142" t="s">
        <v>123</v>
      </c>
      <c r="C145" s="143" t="s">
        <v>122</v>
      </c>
      <c r="D145" s="143" t="s">
        <v>124</v>
      </c>
      <c r="E145" s="142"/>
      <c r="F145" s="142"/>
      <c r="G145" s="113"/>
      <c r="H145" s="113"/>
    </row>
    <row r="146" spans="1:8" s="298" customFormat="1" x14ac:dyDescent="0.25">
      <c r="A146" s="141">
        <v>357</v>
      </c>
      <c r="B146" s="142" t="s">
        <v>126</v>
      </c>
      <c r="C146" s="143" t="s">
        <v>47</v>
      </c>
      <c r="D146" s="143" t="s">
        <v>7</v>
      </c>
      <c r="E146" s="142"/>
      <c r="F146" s="142"/>
      <c r="G146" s="113"/>
      <c r="H146" s="113"/>
    </row>
    <row r="147" spans="1:8" s="298" customFormat="1" ht="26.25" x14ac:dyDescent="0.25">
      <c r="A147" s="141">
        <v>359</v>
      </c>
      <c r="B147" s="142" t="s">
        <v>127</v>
      </c>
      <c r="C147" s="143" t="s">
        <v>44</v>
      </c>
      <c r="D147" s="143" t="s">
        <v>1662</v>
      </c>
      <c r="E147" s="142"/>
      <c r="F147" s="142"/>
      <c r="G147" s="113"/>
      <c r="H147" s="113"/>
    </row>
    <row r="148" spans="1:8" s="298" customFormat="1" ht="26.25" x14ac:dyDescent="0.25">
      <c r="A148" s="141">
        <v>362</v>
      </c>
      <c r="B148" s="142" t="s">
        <v>128</v>
      </c>
      <c r="C148" s="143" t="s">
        <v>5</v>
      </c>
      <c r="D148" s="143" t="s">
        <v>11</v>
      </c>
      <c r="E148" s="142"/>
      <c r="F148" s="142"/>
      <c r="G148" s="113"/>
      <c r="H148" s="113"/>
    </row>
    <row r="149" spans="1:8" s="113" customFormat="1" ht="26.25" x14ac:dyDescent="0.25">
      <c r="A149" s="141">
        <v>363</v>
      </c>
      <c r="B149" s="142" t="s">
        <v>1663</v>
      </c>
      <c r="C149" s="143" t="s">
        <v>5</v>
      </c>
      <c r="D149" s="143" t="s">
        <v>154</v>
      </c>
      <c r="E149" s="142"/>
      <c r="F149" s="142"/>
    </row>
    <row r="150" spans="1:8" s="113" customFormat="1" ht="26.25" x14ac:dyDescent="0.25">
      <c r="A150" s="141">
        <v>365</v>
      </c>
      <c r="B150" s="142" t="s">
        <v>1664</v>
      </c>
      <c r="C150" s="143" t="s">
        <v>2583</v>
      </c>
      <c r="D150" s="143" t="s">
        <v>242</v>
      </c>
      <c r="E150" s="142"/>
      <c r="F150" s="142"/>
    </row>
    <row r="151" spans="1:8" s="113" customFormat="1" x14ac:dyDescent="0.25">
      <c r="A151" s="141">
        <v>368</v>
      </c>
      <c r="B151" s="142" t="s">
        <v>1665</v>
      </c>
      <c r="C151" s="143" t="s">
        <v>24</v>
      </c>
      <c r="D151" s="143" t="s">
        <v>14</v>
      </c>
      <c r="E151" s="142"/>
      <c r="F151" s="142"/>
    </row>
    <row r="152" spans="1:8" s="113" customFormat="1" x14ac:dyDescent="0.25">
      <c r="A152" s="141">
        <v>369</v>
      </c>
      <c r="B152" s="142" t="s">
        <v>129</v>
      </c>
      <c r="C152" s="143" t="s">
        <v>47</v>
      </c>
      <c r="D152" s="143" t="s">
        <v>7</v>
      </c>
      <c r="E152" s="142"/>
      <c r="F152" s="142"/>
    </row>
    <row r="153" spans="1:8" s="113" customFormat="1" x14ac:dyDescent="0.25">
      <c r="A153" s="141">
        <v>374</v>
      </c>
      <c r="B153" s="142" t="s">
        <v>130</v>
      </c>
      <c r="C153" s="143" t="s">
        <v>24</v>
      </c>
      <c r="D153" s="143" t="s">
        <v>80</v>
      </c>
      <c r="E153" s="142"/>
      <c r="F153" s="142"/>
    </row>
    <row r="154" spans="1:8" s="113" customFormat="1" x14ac:dyDescent="0.25">
      <c r="A154" s="141">
        <v>375</v>
      </c>
      <c r="B154" s="142" t="s">
        <v>131</v>
      </c>
      <c r="C154" s="143" t="s">
        <v>24</v>
      </c>
      <c r="D154" s="143" t="s">
        <v>80</v>
      </c>
      <c r="E154" s="142"/>
      <c r="F154" s="142"/>
    </row>
    <row r="155" spans="1:8" s="113" customFormat="1" x14ac:dyDescent="0.25">
      <c r="A155" s="141">
        <v>377</v>
      </c>
      <c r="B155" s="142" t="s">
        <v>1666</v>
      </c>
      <c r="C155" s="143" t="s">
        <v>24</v>
      </c>
      <c r="D155" s="143" t="s">
        <v>11</v>
      </c>
      <c r="E155" s="142"/>
      <c r="F155" s="142"/>
    </row>
    <row r="156" spans="1:8" s="113" customFormat="1" x14ac:dyDescent="0.25">
      <c r="A156" s="141">
        <v>379</v>
      </c>
      <c r="B156" s="142" t="s">
        <v>1667</v>
      </c>
      <c r="C156" s="143" t="s">
        <v>24</v>
      </c>
      <c r="D156" s="143" t="s">
        <v>80</v>
      </c>
      <c r="E156" s="142"/>
      <c r="F156" s="142"/>
    </row>
    <row r="157" spans="1:8" s="113" customFormat="1" ht="26.25" x14ac:dyDescent="0.25">
      <c r="A157" s="141">
        <v>380</v>
      </c>
      <c r="B157" s="142" t="s">
        <v>132</v>
      </c>
      <c r="C157" s="143" t="s">
        <v>3</v>
      </c>
      <c r="D157" s="143" t="s">
        <v>154</v>
      </c>
      <c r="E157" s="142"/>
      <c r="F157" s="142"/>
    </row>
    <row r="158" spans="1:8" s="113" customFormat="1" x14ac:dyDescent="0.25">
      <c r="A158" s="141">
        <v>383</v>
      </c>
      <c r="B158" s="142" t="s">
        <v>1668</v>
      </c>
      <c r="C158" s="143" t="s">
        <v>24</v>
      </c>
      <c r="D158" s="143" t="s">
        <v>37</v>
      </c>
      <c r="E158" s="142"/>
      <c r="F158" s="142"/>
    </row>
    <row r="159" spans="1:8" s="113" customFormat="1" x14ac:dyDescent="0.25">
      <c r="A159" s="141">
        <v>384</v>
      </c>
      <c r="B159" s="142" t="s">
        <v>133</v>
      </c>
      <c r="C159" s="143" t="s">
        <v>24</v>
      </c>
      <c r="D159" s="143" t="s">
        <v>37</v>
      </c>
      <c r="E159" s="142"/>
      <c r="F159" s="142"/>
    </row>
    <row r="160" spans="1:8" s="113" customFormat="1" x14ac:dyDescent="0.25">
      <c r="A160" s="141">
        <v>385</v>
      </c>
      <c r="B160" s="142" t="s">
        <v>1669</v>
      </c>
      <c r="C160" s="143" t="s">
        <v>24</v>
      </c>
      <c r="D160" s="143" t="s">
        <v>37</v>
      </c>
      <c r="E160" s="142"/>
      <c r="F160" s="142"/>
    </row>
    <row r="161" spans="1:6" s="113" customFormat="1" x14ac:dyDescent="0.25">
      <c r="A161" s="141">
        <v>386</v>
      </c>
      <c r="B161" s="142" t="s">
        <v>1670</v>
      </c>
      <c r="C161" s="143" t="s">
        <v>24</v>
      </c>
      <c r="D161" s="143" t="s">
        <v>80</v>
      </c>
      <c r="E161" s="142"/>
      <c r="F161" s="142"/>
    </row>
    <row r="162" spans="1:6" s="113" customFormat="1" ht="26.25" x14ac:dyDescent="0.25">
      <c r="A162" s="141">
        <v>387</v>
      </c>
      <c r="B162" s="142" t="s">
        <v>1671</v>
      </c>
      <c r="C162" s="143" t="s">
        <v>22</v>
      </c>
      <c r="D162" s="143" t="s">
        <v>154</v>
      </c>
      <c r="E162" s="142"/>
      <c r="F162" s="142"/>
    </row>
    <row r="163" spans="1:6" s="113" customFormat="1" x14ac:dyDescent="0.25">
      <c r="A163" s="141">
        <v>388</v>
      </c>
      <c r="B163" s="142" t="s">
        <v>1672</v>
      </c>
      <c r="C163" s="143" t="s">
        <v>24</v>
      </c>
      <c r="D163" s="143" t="s">
        <v>7</v>
      </c>
      <c r="E163" s="142"/>
      <c r="F163" s="142"/>
    </row>
    <row r="164" spans="1:6" s="113" customFormat="1" x14ac:dyDescent="0.25">
      <c r="A164" s="141">
        <v>389</v>
      </c>
      <c r="B164" s="142" t="s">
        <v>134</v>
      </c>
      <c r="C164" s="143" t="s">
        <v>24</v>
      </c>
      <c r="D164" s="143" t="s">
        <v>80</v>
      </c>
      <c r="E164" s="142"/>
      <c r="F164" s="142"/>
    </row>
    <row r="165" spans="1:6" s="113" customFormat="1" ht="26.25" x14ac:dyDescent="0.25">
      <c r="A165" s="141">
        <v>391</v>
      </c>
      <c r="B165" s="142" t="s">
        <v>1673</v>
      </c>
      <c r="C165" s="143" t="s">
        <v>3</v>
      </c>
      <c r="D165" s="143" t="s">
        <v>7</v>
      </c>
      <c r="E165" s="142"/>
      <c r="F165" s="142"/>
    </row>
    <row r="166" spans="1:6" s="113" customFormat="1" ht="26.25" x14ac:dyDescent="0.25">
      <c r="A166" s="141">
        <v>392</v>
      </c>
      <c r="B166" s="142" t="s">
        <v>1674</v>
      </c>
      <c r="C166" s="143" t="s">
        <v>2583</v>
      </c>
      <c r="D166" s="143" t="s">
        <v>7</v>
      </c>
      <c r="E166" s="142"/>
      <c r="F166" s="142"/>
    </row>
    <row r="167" spans="1:6" s="113" customFormat="1" x14ac:dyDescent="0.25">
      <c r="A167" s="141">
        <v>394</v>
      </c>
      <c r="B167" s="142" t="s">
        <v>1675</v>
      </c>
      <c r="C167" s="143" t="s">
        <v>24</v>
      </c>
      <c r="D167" s="143" t="s">
        <v>80</v>
      </c>
      <c r="E167" s="142"/>
      <c r="F167" s="142"/>
    </row>
    <row r="168" spans="1:6" s="113" customFormat="1" ht="26.25" x14ac:dyDescent="0.25">
      <c r="A168" s="141">
        <v>395</v>
      </c>
      <c r="B168" s="142" t="s">
        <v>135</v>
      </c>
      <c r="C168" s="143" t="s">
        <v>1676</v>
      </c>
      <c r="D168" s="143" t="s">
        <v>11</v>
      </c>
      <c r="E168" s="142"/>
      <c r="F168" s="142"/>
    </row>
    <row r="169" spans="1:6" s="113" customFormat="1" x14ac:dyDescent="0.25">
      <c r="A169" s="141">
        <v>396</v>
      </c>
      <c r="B169" s="142" t="s">
        <v>136</v>
      </c>
      <c r="C169" s="143" t="s">
        <v>24</v>
      </c>
      <c r="D169" s="143" t="s">
        <v>415</v>
      </c>
      <c r="E169" s="142"/>
      <c r="F169" s="142"/>
    </row>
    <row r="170" spans="1:6" s="113" customFormat="1" ht="26.25" x14ac:dyDescent="0.25">
      <c r="A170" s="141">
        <v>397</v>
      </c>
      <c r="B170" s="142" t="s">
        <v>137</v>
      </c>
      <c r="C170" s="143" t="s">
        <v>8</v>
      </c>
      <c r="D170" s="143" t="s">
        <v>11</v>
      </c>
      <c r="E170" s="142"/>
      <c r="F170" s="142"/>
    </row>
    <row r="171" spans="1:6" s="113" customFormat="1" ht="26.25" x14ac:dyDescent="0.25">
      <c r="A171" s="141">
        <v>398</v>
      </c>
      <c r="B171" s="142" t="s">
        <v>1677</v>
      </c>
      <c r="C171" s="143" t="s">
        <v>2583</v>
      </c>
      <c r="D171" s="143" t="s">
        <v>45</v>
      </c>
      <c r="E171" s="142"/>
      <c r="F171" s="142"/>
    </row>
    <row r="172" spans="1:6" s="113" customFormat="1" ht="26.25" x14ac:dyDescent="0.25">
      <c r="A172" s="141">
        <v>400</v>
      </c>
      <c r="B172" s="142" t="s">
        <v>1678</v>
      </c>
      <c r="C172" s="143" t="s">
        <v>6</v>
      </c>
      <c r="D172" s="143" t="s">
        <v>116</v>
      </c>
      <c r="E172" s="142"/>
      <c r="F172" s="142"/>
    </row>
    <row r="173" spans="1:6" s="113" customFormat="1" x14ac:dyDescent="0.25">
      <c r="A173" s="141">
        <v>401</v>
      </c>
      <c r="B173" s="142" t="s">
        <v>138</v>
      </c>
      <c r="C173" s="143" t="s">
        <v>44</v>
      </c>
      <c r="D173" s="143" t="s">
        <v>109</v>
      </c>
      <c r="E173" s="142"/>
      <c r="F173" s="142"/>
    </row>
    <row r="174" spans="1:6" s="113" customFormat="1" x14ac:dyDescent="0.25">
      <c r="A174" s="141">
        <v>402</v>
      </c>
      <c r="B174" s="142" t="s">
        <v>1679</v>
      </c>
      <c r="C174" s="143" t="s">
        <v>73</v>
      </c>
      <c r="D174" s="143" t="s">
        <v>11</v>
      </c>
      <c r="E174" s="142"/>
      <c r="F174" s="142"/>
    </row>
    <row r="175" spans="1:6" s="113" customFormat="1" ht="26.25" x14ac:dyDescent="0.25">
      <c r="A175" s="141">
        <v>407</v>
      </c>
      <c r="B175" s="142" t="s">
        <v>1680</v>
      </c>
      <c r="C175" s="143" t="s">
        <v>20</v>
      </c>
      <c r="D175" s="143" t="s">
        <v>150</v>
      </c>
      <c r="E175" s="142"/>
      <c r="F175" s="142"/>
    </row>
    <row r="176" spans="1:6" s="113" customFormat="1" x14ac:dyDescent="0.25">
      <c r="A176" s="141">
        <v>411</v>
      </c>
      <c r="B176" s="142" t="s">
        <v>139</v>
      </c>
      <c r="C176" s="143" t="s">
        <v>36</v>
      </c>
      <c r="D176" s="143" t="s">
        <v>11</v>
      </c>
      <c r="E176" s="142"/>
      <c r="F176" s="142"/>
    </row>
    <row r="177" spans="1:6" s="113" customFormat="1" ht="39" x14ac:dyDescent="0.25">
      <c r="A177" s="141">
        <v>412</v>
      </c>
      <c r="B177" s="142" t="s">
        <v>1681</v>
      </c>
      <c r="C177" s="143" t="s">
        <v>1398</v>
      </c>
      <c r="D177" s="143" t="s">
        <v>14</v>
      </c>
      <c r="E177" s="142"/>
      <c r="F177" s="142"/>
    </row>
    <row r="178" spans="1:6" s="113" customFormat="1" x14ac:dyDescent="0.25">
      <c r="A178" s="141">
        <v>414</v>
      </c>
      <c r="B178" s="142" t="s">
        <v>1682</v>
      </c>
      <c r="C178" s="143" t="s">
        <v>140</v>
      </c>
      <c r="D178" s="143" t="s">
        <v>14</v>
      </c>
      <c r="E178" s="142"/>
      <c r="F178" s="142"/>
    </row>
    <row r="179" spans="1:6" s="113" customFormat="1" x14ac:dyDescent="0.25">
      <c r="A179" s="141">
        <v>416</v>
      </c>
      <c r="B179" s="142" t="s">
        <v>141</v>
      </c>
      <c r="C179" s="143" t="s">
        <v>30</v>
      </c>
      <c r="D179" s="143" t="s">
        <v>242</v>
      </c>
      <c r="E179" s="142"/>
      <c r="F179" s="142"/>
    </row>
    <row r="180" spans="1:6" s="113" customFormat="1" ht="26.25" x14ac:dyDescent="0.25">
      <c r="A180" s="141">
        <v>417</v>
      </c>
      <c r="B180" s="142" t="s">
        <v>142</v>
      </c>
      <c r="C180" s="143" t="s">
        <v>914</v>
      </c>
      <c r="D180" s="143" t="s">
        <v>154</v>
      </c>
      <c r="E180" s="142"/>
      <c r="F180" s="142"/>
    </row>
    <row r="181" spans="1:6" s="113" customFormat="1" x14ac:dyDescent="0.25">
      <c r="A181" s="141">
        <v>420</v>
      </c>
      <c r="B181" s="142" t="s">
        <v>1683</v>
      </c>
      <c r="C181" s="149" t="s">
        <v>67</v>
      </c>
      <c r="D181" s="143" t="s">
        <v>242</v>
      </c>
      <c r="E181" s="142"/>
      <c r="F181" s="142"/>
    </row>
    <row r="182" spans="1:6" s="113" customFormat="1" ht="26.25" x14ac:dyDescent="0.25">
      <c r="A182" s="141">
        <v>421</v>
      </c>
      <c r="B182" s="142" t="s">
        <v>1684</v>
      </c>
      <c r="C182" s="143" t="s">
        <v>22</v>
      </c>
      <c r="D182" s="143" t="s">
        <v>242</v>
      </c>
      <c r="E182" s="142"/>
      <c r="F182" s="142"/>
    </row>
    <row r="183" spans="1:6" s="113" customFormat="1" x14ac:dyDescent="0.25">
      <c r="A183" s="141">
        <v>423</v>
      </c>
      <c r="B183" s="142" t="s">
        <v>1685</v>
      </c>
      <c r="C183" s="143" t="s">
        <v>38</v>
      </c>
      <c r="D183" s="143" t="s">
        <v>148</v>
      </c>
      <c r="E183" s="142"/>
      <c r="F183" s="142"/>
    </row>
    <row r="184" spans="1:6" s="113" customFormat="1" ht="26.25" x14ac:dyDescent="0.25">
      <c r="A184" s="141">
        <v>424</v>
      </c>
      <c r="B184" s="142" t="s">
        <v>1686</v>
      </c>
      <c r="C184" s="143" t="s">
        <v>22</v>
      </c>
      <c r="D184" s="143" t="s">
        <v>7</v>
      </c>
      <c r="E184" s="142"/>
      <c r="F184" s="142"/>
    </row>
    <row r="185" spans="1:6" s="113" customFormat="1" x14ac:dyDescent="0.25">
      <c r="A185" s="141">
        <v>426</v>
      </c>
      <c r="B185" s="142" t="s">
        <v>1687</v>
      </c>
      <c r="C185" s="143" t="s">
        <v>47</v>
      </c>
      <c r="D185" s="143" t="s">
        <v>7</v>
      </c>
      <c r="E185" s="142"/>
      <c r="F185" s="142"/>
    </row>
    <row r="186" spans="1:6" s="113" customFormat="1" ht="26.25" x14ac:dyDescent="0.25">
      <c r="A186" s="141">
        <v>434</v>
      </c>
      <c r="B186" s="142" t="s">
        <v>1688</v>
      </c>
      <c r="C186" s="143" t="s">
        <v>22</v>
      </c>
      <c r="D186" s="143" t="s">
        <v>1591</v>
      </c>
      <c r="E186" s="142"/>
      <c r="F186" s="142"/>
    </row>
    <row r="187" spans="1:6" s="113" customFormat="1" x14ac:dyDescent="0.25">
      <c r="A187" s="141">
        <v>442</v>
      </c>
      <c r="B187" s="142" t="s">
        <v>1689</v>
      </c>
      <c r="C187" s="143" t="s">
        <v>9</v>
      </c>
      <c r="D187" s="143" t="s">
        <v>1105</v>
      </c>
      <c r="E187" s="142"/>
      <c r="F187" s="142"/>
    </row>
    <row r="188" spans="1:6" s="113" customFormat="1" x14ac:dyDescent="0.25">
      <c r="A188" s="141">
        <v>444</v>
      </c>
      <c r="B188" s="142" t="s">
        <v>1690</v>
      </c>
      <c r="C188" s="143" t="s">
        <v>38</v>
      </c>
      <c r="D188" s="143" t="s">
        <v>109</v>
      </c>
      <c r="E188" s="142"/>
      <c r="F188" s="142"/>
    </row>
    <row r="189" spans="1:6" s="113" customFormat="1" x14ac:dyDescent="0.25">
      <c r="A189" s="141">
        <v>448</v>
      </c>
      <c r="B189" s="142" t="s">
        <v>145</v>
      </c>
      <c r="C189" s="143" t="s">
        <v>38</v>
      </c>
      <c r="D189" s="143" t="s">
        <v>109</v>
      </c>
      <c r="E189" s="142"/>
      <c r="F189" s="142"/>
    </row>
    <row r="190" spans="1:6" s="113" customFormat="1" x14ac:dyDescent="0.25">
      <c r="A190" s="141">
        <v>450</v>
      </c>
      <c r="B190" s="142" t="s">
        <v>1691</v>
      </c>
      <c r="C190" s="143" t="s">
        <v>47</v>
      </c>
      <c r="D190" s="143" t="s">
        <v>11</v>
      </c>
      <c r="E190" s="142"/>
      <c r="F190" s="142"/>
    </row>
    <row r="191" spans="1:6" s="113" customFormat="1" ht="26.25" x14ac:dyDescent="0.25">
      <c r="A191" s="141">
        <v>453</v>
      </c>
      <c r="B191" s="142" t="s">
        <v>146</v>
      </c>
      <c r="C191" s="143" t="s">
        <v>1173</v>
      </c>
      <c r="D191" s="143" t="s">
        <v>242</v>
      </c>
      <c r="E191" s="142"/>
      <c r="F191" s="142"/>
    </row>
    <row r="192" spans="1:6" s="113" customFormat="1" x14ac:dyDescent="0.25">
      <c r="A192" s="150">
        <v>455</v>
      </c>
      <c r="B192" s="126" t="s">
        <v>147</v>
      </c>
      <c r="C192" s="151" t="s">
        <v>1692</v>
      </c>
      <c r="D192" s="151"/>
      <c r="E192" s="139"/>
      <c r="F192" s="126"/>
    </row>
    <row r="193" spans="1:6" s="113" customFormat="1" ht="26.25" x14ac:dyDescent="0.25">
      <c r="A193" s="141">
        <v>471</v>
      </c>
      <c r="B193" s="142" t="s">
        <v>149</v>
      </c>
      <c r="C193" s="143" t="s">
        <v>20</v>
      </c>
      <c r="D193" s="251" t="s">
        <v>302</v>
      </c>
      <c r="E193" s="142"/>
      <c r="F193" s="142"/>
    </row>
    <row r="194" spans="1:6" s="113" customFormat="1" x14ac:dyDescent="0.25">
      <c r="A194" s="141">
        <v>473</v>
      </c>
      <c r="B194" s="142" t="s">
        <v>151</v>
      </c>
      <c r="C194" s="143" t="s">
        <v>12</v>
      </c>
      <c r="D194" s="143" t="s">
        <v>1105</v>
      </c>
      <c r="E194" s="142"/>
      <c r="F194" s="142"/>
    </row>
    <row r="195" spans="1:6" s="113" customFormat="1" x14ac:dyDescent="0.25">
      <c r="A195" s="141">
        <v>482</v>
      </c>
      <c r="B195" s="142" t="s">
        <v>1693</v>
      </c>
      <c r="C195" s="143" t="s">
        <v>63</v>
      </c>
      <c r="D195" s="143" t="s">
        <v>242</v>
      </c>
      <c r="E195" s="142"/>
      <c r="F195" s="142"/>
    </row>
    <row r="196" spans="1:6" s="113" customFormat="1" x14ac:dyDescent="0.25">
      <c r="A196" s="141">
        <v>487</v>
      </c>
      <c r="B196" s="142" t="s">
        <v>1694</v>
      </c>
      <c r="C196" s="143" t="s">
        <v>64</v>
      </c>
      <c r="D196" s="143" t="s">
        <v>152</v>
      </c>
      <c r="E196" s="142"/>
      <c r="F196" s="142"/>
    </row>
    <row r="197" spans="1:6" s="113" customFormat="1" x14ac:dyDescent="0.25">
      <c r="A197" s="141">
        <v>491</v>
      </c>
      <c r="B197" s="142" t="s">
        <v>1695</v>
      </c>
      <c r="C197" s="143" t="s">
        <v>9</v>
      </c>
      <c r="D197" s="143" t="s">
        <v>1696</v>
      </c>
      <c r="E197" s="142"/>
      <c r="F197" s="142"/>
    </row>
    <row r="198" spans="1:6" s="113" customFormat="1" x14ac:dyDescent="0.25">
      <c r="A198" s="141">
        <v>493</v>
      </c>
      <c r="B198" s="142" t="s">
        <v>1697</v>
      </c>
      <c r="C198" s="143" t="s">
        <v>1455</v>
      </c>
      <c r="D198" s="143" t="s">
        <v>415</v>
      </c>
      <c r="E198" s="142"/>
      <c r="F198" s="142"/>
    </row>
    <row r="199" spans="1:6" s="113" customFormat="1" x14ac:dyDescent="0.25">
      <c r="A199" s="141">
        <v>494</v>
      </c>
      <c r="B199" s="142" t="s">
        <v>1698</v>
      </c>
      <c r="C199" s="143" t="s">
        <v>12</v>
      </c>
      <c r="D199" s="143" t="s">
        <v>1696</v>
      </c>
      <c r="E199" s="142"/>
      <c r="F199" s="142"/>
    </row>
    <row r="200" spans="1:6" s="113" customFormat="1" x14ac:dyDescent="0.25">
      <c r="A200" s="141">
        <v>502</v>
      </c>
      <c r="B200" s="142" t="s">
        <v>153</v>
      </c>
      <c r="C200" s="143" t="s">
        <v>64</v>
      </c>
      <c r="D200" s="143" t="s">
        <v>11</v>
      </c>
      <c r="E200" s="142"/>
      <c r="F200" s="142"/>
    </row>
    <row r="201" spans="1:6" s="113" customFormat="1" ht="26.25" x14ac:dyDescent="0.25">
      <c r="A201" s="141">
        <v>504</v>
      </c>
      <c r="B201" s="142" t="s">
        <v>1699</v>
      </c>
      <c r="C201" s="143" t="s">
        <v>3</v>
      </c>
      <c r="D201" s="143" t="s">
        <v>154</v>
      </c>
      <c r="E201" s="142"/>
      <c r="F201" s="142"/>
    </row>
    <row r="202" spans="1:6" s="113" customFormat="1" ht="26.25" x14ac:dyDescent="0.25">
      <c r="A202" s="141">
        <v>505</v>
      </c>
      <c r="B202" s="142" t="s">
        <v>1700</v>
      </c>
      <c r="C202" s="143" t="s">
        <v>4</v>
      </c>
      <c r="D202" s="143" t="s">
        <v>116</v>
      </c>
      <c r="E202" s="142"/>
      <c r="F202" s="142"/>
    </row>
    <row r="203" spans="1:6" s="113" customFormat="1" ht="26.25" x14ac:dyDescent="0.25">
      <c r="A203" s="141">
        <v>509</v>
      </c>
      <c r="B203" s="142" t="s">
        <v>1701</v>
      </c>
      <c r="C203" s="143" t="s">
        <v>3</v>
      </c>
      <c r="D203" s="143" t="s">
        <v>116</v>
      </c>
      <c r="E203" s="142"/>
      <c r="F203" s="142"/>
    </row>
    <row r="204" spans="1:6" s="113" customFormat="1" x14ac:dyDescent="0.25">
      <c r="A204" s="141">
        <v>513</v>
      </c>
      <c r="B204" s="142" t="s">
        <v>155</v>
      </c>
      <c r="C204" s="143" t="s">
        <v>12</v>
      </c>
      <c r="D204" s="143" t="s">
        <v>1460</v>
      </c>
      <c r="E204" s="142"/>
      <c r="F204" s="142"/>
    </row>
    <row r="205" spans="1:6" s="113" customFormat="1" x14ac:dyDescent="0.25">
      <c r="A205" s="141">
        <v>515</v>
      </c>
      <c r="B205" s="142" t="s">
        <v>1702</v>
      </c>
      <c r="C205" s="143" t="s">
        <v>64</v>
      </c>
      <c r="D205" s="143" t="s">
        <v>156</v>
      </c>
      <c r="E205" s="142"/>
      <c r="F205" s="142"/>
    </row>
    <row r="206" spans="1:6" s="113" customFormat="1" ht="26.25" x14ac:dyDescent="0.25">
      <c r="A206" s="141">
        <v>517</v>
      </c>
      <c r="B206" s="142" t="s">
        <v>1703</v>
      </c>
      <c r="C206" s="143" t="s">
        <v>157</v>
      </c>
      <c r="D206" s="143" t="s">
        <v>154</v>
      </c>
      <c r="E206" s="142"/>
      <c r="F206" s="142"/>
    </row>
    <row r="207" spans="1:6" s="113" customFormat="1" x14ac:dyDescent="0.25">
      <c r="A207" s="141">
        <v>519</v>
      </c>
      <c r="B207" s="142" t="s">
        <v>158</v>
      </c>
      <c r="C207" s="143" t="s">
        <v>9</v>
      </c>
      <c r="D207" s="143" t="s">
        <v>116</v>
      </c>
      <c r="E207" s="142"/>
      <c r="F207" s="142"/>
    </row>
    <row r="208" spans="1:6" s="113" customFormat="1" x14ac:dyDescent="0.25">
      <c r="A208" s="141">
        <v>521</v>
      </c>
      <c r="B208" s="142" t="s">
        <v>1704</v>
      </c>
      <c r="C208" s="143" t="s">
        <v>9</v>
      </c>
      <c r="D208" s="143" t="s">
        <v>116</v>
      </c>
      <c r="E208" s="142"/>
      <c r="F208" s="142"/>
    </row>
    <row r="209" spans="1:6" s="113" customFormat="1" x14ac:dyDescent="0.25">
      <c r="A209" s="141">
        <v>522</v>
      </c>
      <c r="B209" s="142" t="s">
        <v>1705</v>
      </c>
      <c r="C209" s="143" t="s">
        <v>41</v>
      </c>
      <c r="D209" s="143" t="s">
        <v>154</v>
      </c>
      <c r="E209" s="142"/>
      <c r="F209" s="142"/>
    </row>
    <row r="210" spans="1:6" s="113" customFormat="1" x14ac:dyDescent="0.25">
      <c r="A210" s="141">
        <v>533</v>
      </c>
      <c r="B210" s="142" t="s">
        <v>160</v>
      </c>
      <c r="C210" s="149" t="s">
        <v>67</v>
      </c>
      <c r="D210" s="143" t="s">
        <v>161</v>
      </c>
      <c r="E210" s="142"/>
      <c r="F210" s="142"/>
    </row>
    <row r="211" spans="1:6" s="113" customFormat="1" x14ac:dyDescent="0.25">
      <c r="A211" s="141">
        <v>540</v>
      </c>
      <c r="B211" s="142" t="s">
        <v>162</v>
      </c>
      <c r="C211" s="149" t="s">
        <v>67</v>
      </c>
      <c r="D211" s="143" t="s">
        <v>161</v>
      </c>
      <c r="E211" s="142"/>
      <c r="F211" s="142"/>
    </row>
    <row r="212" spans="1:6" s="113" customFormat="1" ht="26.25" x14ac:dyDescent="0.25">
      <c r="A212" s="141">
        <v>545</v>
      </c>
      <c r="B212" s="142" t="s">
        <v>164</v>
      </c>
      <c r="C212" s="143" t="s">
        <v>49</v>
      </c>
      <c r="D212" s="143" t="s">
        <v>14</v>
      </c>
      <c r="E212" s="142"/>
      <c r="F212" s="142"/>
    </row>
    <row r="213" spans="1:6" s="113" customFormat="1" ht="26.25" x14ac:dyDescent="0.25">
      <c r="A213" s="141">
        <v>547</v>
      </c>
      <c r="B213" s="142" t="s">
        <v>1706</v>
      </c>
      <c r="C213" s="143" t="s">
        <v>157</v>
      </c>
      <c r="D213" s="143" t="s">
        <v>11</v>
      </c>
      <c r="E213" s="142"/>
      <c r="F213" s="142"/>
    </row>
    <row r="214" spans="1:6" s="113" customFormat="1" x14ac:dyDescent="0.25">
      <c r="A214" s="141">
        <v>550</v>
      </c>
      <c r="B214" s="142" t="s">
        <v>165</v>
      </c>
      <c r="C214" s="143" t="s">
        <v>47</v>
      </c>
      <c r="D214" s="143" t="s">
        <v>7</v>
      </c>
      <c r="E214" s="142"/>
      <c r="F214" s="142"/>
    </row>
    <row r="215" spans="1:6" s="113" customFormat="1" x14ac:dyDescent="0.25">
      <c r="A215" s="141">
        <v>553</v>
      </c>
      <c r="B215" s="142" t="s">
        <v>166</v>
      </c>
      <c r="C215" s="143" t="s">
        <v>167</v>
      </c>
      <c r="D215" s="143" t="s">
        <v>21</v>
      </c>
      <c r="E215" s="142"/>
      <c r="F215" s="142"/>
    </row>
    <row r="216" spans="1:6" s="113" customFormat="1" x14ac:dyDescent="0.25">
      <c r="A216" s="141">
        <v>555</v>
      </c>
      <c r="B216" s="142" t="s">
        <v>1707</v>
      </c>
      <c r="C216" s="143" t="s">
        <v>140</v>
      </c>
      <c r="D216" s="143" t="s">
        <v>109</v>
      </c>
      <c r="E216" s="142"/>
      <c r="F216" s="142"/>
    </row>
    <row r="217" spans="1:6" s="113" customFormat="1" x14ac:dyDescent="0.25">
      <c r="A217" s="247">
        <v>561</v>
      </c>
      <c r="B217" s="250" t="s">
        <v>1561</v>
      </c>
      <c r="C217" s="143" t="s">
        <v>47</v>
      </c>
      <c r="D217" s="148" t="s">
        <v>159</v>
      </c>
      <c r="E217" s="250"/>
      <c r="F217" s="250"/>
    </row>
    <row r="218" spans="1:6" s="113" customFormat="1" x14ac:dyDescent="0.25">
      <c r="A218" s="141">
        <v>562</v>
      </c>
      <c r="B218" s="142" t="s">
        <v>168</v>
      </c>
      <c r="C218" s="143" t="s">
        <v>38</v>
      </c>
      <c r="D218" s="143" t="s">
        <v>109</v>
      </c>
      <c r="E218" s="142"/>
      <c r="F218" s="142"/>
    </row>
    <row r="219" spans="1:6" s="113" customFormat="1" ht="26.25" x14ac:dyDescent="0.25">
      <c r="A219" s="141">
        <v>564</v>
      </c>
      <c r="B219" s="142" t="s">
        <v>1708</v>
      </c>
      <c r="C219" s="143" t="s">
        <v>417</v>
      </c>
      <c r="D219" s="143" t="s">
        <v>242</v>
      </c>
      <c r="E219" s="142"/>
      <c r="F219" s="142"/>
    </row>
    <row r="220" spans="1:6" s="113" customFormat="1" x14ac:dyDescent="0.25">
      <c r="A220" s="141">
        <v>566</v>
      </c>
      <c r="B220" s="142" t="s">
        <v>169</v>
      </c>
      <c r="C220" s="143" t="s">
        <v>24</v>
      </c>
      <c r="D220" s="143" t="s">
        <v>37</v>
      </c>
      <c r="E220" s="142"/>
      <c r="F220" s="142"/>
    </row>
    <row r="221" spans="1:6" s="113" customFormat="1" x14ac:dyDescent="0.25">
      <c r="A221" s="141">
        <v>567</v>
      </c>
      <c r="B221" s="142" t="s">
        <v>170</v>
      </c>
      <c r="C221" s="143" t="s">
        <v>44</v>
      </c>
      <c r="D221" s="143" t="s">
        <v>50</v>
      </c>
      <c r="E221" s="142"/>
      <c r="F221" s="142"/>
    </row>
    <row r="222" spans="1:6" s="113" customFormat="1" ht="26.25" x14ac:dyDescent="0.25">
      <c r="A222" s="141">
        <v>568</v>
      </c>
      <c r="B222" s="142" t="s">
        <v>1709</v>
      </c>
      <c r="C222" s="143" t="s">
        <v>144</v>
      </c>
      <c r="D222" s="143" t="s">
        <v>171</v>
      </c>
      <c r="E222" s="142"/>
      <c r="F222" s="142"/>
    </row>
    <row r="223" spans="1:6" s="113" customFormat="1" x14ac:dyDescent="0.25">
      <c r="A223" s="141">
        <v>569</v>
      </c>
      <c r="B223" s="142" t="s">
        <v>172</v>
      </c>
      <c r="C223" s="143" t="s">
        <v>38</v>
      </c>
      <c r="D223" s="143" t="s">
        <v>11</v>
      </c>
      <c r="E223" s="142"/>
      <c r="F223" s="142"/>
    </row>
    <row r="224" spans="1:6" s="113" customFormat="1" ht="26.25" x14ac:dyDescent="0.25">
      <c r="A224" s="141">
        <v>571</v>
      </c>
      <c r="B224" s="142" t="s">
        <v>174</v>
      </c>
      <c r="C224" s="143" t="s">
        <v>38</v>
      </c>
      <c r="D224" s="143" t="s">
        <v>1710</v>
      </c>
      <c r="E224" s="142"/>
      <c r="F224" s="142"/>
    </row>
    <row r="225" spans="1:6" s="113" customFormat="1" ht="26.25" x14ac:dyDescent="0.25">
      <c r="A225" s="141">
        <v>572</v>
      </c>
      <c r="B225" s="142" t="s">
        <v>175</v>
      </c>
      <c r="C225" s="143" t="s">
        <v>38</v>
      </c>
      <c r="D225" s="143" t="s">
        <v>1591</v>
      </c>
      <c r="E225" s="142"/>
      <c r="F225" s="142"/>
    </row>
    <row r="226" spans="1:6" s="113" customFormat="1" x14ac:dyDescent="0.25">
      <c r="A226" s="141">
        <v>574</v>
      </c>
      <c r="B226" s="142" t="s">
        <v>1711</v>
      </c>
      <c r="C226" s="143" t="s">
        <v>84</v>
      </c>
      <c r="D226" s="143" t="s">
        <v>1313</v>
      </c>
      <c r="E226" s="142"/>
      <c r="F226" s="142"/>
    </row>
    <row r="227" spans="1:6" s="113" customFormat="1" ht="26.25" x14ac:dyDescent="0.25">
      <c r="A227" s="141">
        <v>576</v>
      </c>
      <c r="B227" s="142" t="s">
        <v>176</v>
      </c>
      <c r="C227" s="143" t="s">
        <v>144</v>
      </c>
      <c r="D227" s="143" t="s">
        <v>11</v>
      </c>
      <c r="E227" s="142"/>
      <c r="F227" s="142"/>
    </row>
    <row r="228" spans="1:6" s="113" customFormat="1" x14ac:dyDescent="0.25">
      <c r="A228" s="141">
        <v>577</v>
      </c>
      <c r="B228" s="142" t="s">
        <v>1712</v>
      </c>
      <c r="C228" s="143" t="s">
        <v>38</v>
      </c>
      <c r="D228" s="143" t="s">
        <v>11</v>
      </c>
      <c r="E228" s="142"/>
      <c r="F228" s="142"/>
    </row>
    <row r="229" spans="1:6" s="113" customFormat="1" x14ac:dyDescent="0.25">
      <c r="A229" s="141">
        <v>578</v>
      </c>
      <c r="B229" s="142" t="s">
        <v>177</v>
      </c>
      <c r="C229" s="143" t="s">
        <v>73</v>
      </c>
      <c r="D229" s="143" t="s">
        <v>154</v>
      </c>
      <c r="E229" s="142"/>
      <c r="F229" s="142"/>
    </row>
    <row r="230" spans="1:6" s="113" customFormat="1" x14ac:dyDescent="0.25">
      <c r="A230" s="141">
        <v>579</v>
      </c>
      <c r="B230" s="142" t="s">
        <v>178</v>
      </c>
      <c r="C230" s="143" t="s">
        <v>140</v>
      </c>
      <c r="D230" s="143" t="s">
        <v>11</v>
      </c>
      <c r="E230" s="142"/>
      <c r="F230" s="142"/>
    </row>
    <row r="231" spans="1:6" s="113" customFormat="1" x14ac:dyDescent="0.25">
      <c r="A231" s="141">
        <v>581</v>
      </c>
      <c r="B231" s="142" t="s">
        <v>1713</v>
      </c>
      <c r="C231" s="143" t="s">
        <v>47</v>
      </c>
      <c r="D231" s="143" t="s">
        <v>159</v>
      </c>
      <c r="E231" s="142"/>
      <c r="F231" s="142"/>
    </row>
    <row r="232" spans="1:6" s="113" customFormat="1" x14ac:dyDescent="0.25">
      <c r="A232" s="141">
        <v>583</v>
      </c>
      <c r="B232" s="142" t="s">
        <v>180</v>
      </c>
      <c r="C232" s="143" t="s">
        <v>38</v>
      </c>
      <c r="D232" s="251" t="s">
        <v>453</v>
      </c>
      <c r="E232" s="142"/>
      <c r="F232" s="142"/>
    </row>
    <row r="233" spans="1:6" s="113" customFormat="1" x14ac:dyDescent="0.25">
      <c r="A233" s="141">
        <v>584</v>
      </c>
      <c r="B233" s="142" t="s">
        <v>1714</v>
      </c>
      <c r="C233" s="143" t="s">
        <v>38</v>
      </c>
      <c r="D233" s="143" t="s">
        <v>109</v>
      </c>
      <c r="E233" s="142"/>
      <c r="F233" s="142"/>
    </row>
    <row r="234" spans="1:6" s="113" customFormat="1" x14ac:dyDescent="0.25">
      <c r="A234" s="141">
        <v>585</v>
      </c>
      <c r="B234" s="142" t="s">
        <v>1345</v>
      </c>
      <c r="C234" s="143" t="s">
        <v>36</v>
      </c>
      <c r="D234" s="251" t="s">
        <v>11</v>
      </c>
      <c r="E234" s="142"/>
      <c r="F234" s="142"/>
    </row>
    <row r="235" spans="1:6" s="113" customFormat="1" x14ac:dyDescent="0.25">
      <c r="A235" s="141">
        <v>586</v>
      </c>
      <c r="B235" s="142" t="s">
        <v>181</v>
      </c>
      <c r="C235" s="143" t="s">
        <v>36</v>
      </c>
      <c r="D235" s="143" t="s">
        <v>154</v>
      </c>
      <c r="E235" s="142"/>
      <c r="F235" s="142"/>
    </row>
    <row r="236" spans="1:6" s="113" customFormat="1" ht="26.25" x14ac:dyDescent="0.25">
      <c r="A236" s="141">
        <v>588</v>
      </c>
      <c r="B236" s="142" t="s">
        <v>182</v>
      </c>
      <c r="C236" s="143" t="s">
        <v>144</v>
      </c>
      <c r="D236" s="143" t="s">
        <v>7</v>
      </c>
      <c r="E236" s="142"/>
      <c r="F236" s="142"/>
    </row>
    <row r="237" spans="1:6" s="113" customFormat="1" ht="26.25" x14ac:dyDescent="0.25">
      <c r="A237" s="141">
        <v>589</v>
      </c>
      <c r="B237" s="142" t="s">
        <v>183</v>
      </c>
      <c r="C237" s="143" t="s">
        <v>22</v>
      </c>
      <c r="D237" s="143" t="s">
        <v>501</v>
      </c>
      <c r="E237" s="142"/>
      <c r="F237" s="142"/>
    </row>
    <row r="238" spans="1:6" s="113" customFormat="1" x14ac:dyDescent="0.25">
      <c r="A238" s="141">
        <v>590</v>
      </c>
      <c r="B238" s="142" t="s">
        <v>184</v>
      </c>
      <c r="C238" s="143" t="s">
        <v>32</v>
      </c>
      <c r="D238" s="143" t="s">
        <v>154</v>
      </c>
      <c r="E238" s="142"/>
      <c r="F238" s="142"/>
    </row>
    <row r="239" spans="1:6" s="113" customFormat="1" x14ac:dyDescent="0.25">
      <c r="A239" s="141">
        <v>592</v>
      </c>
      <c r="B239" s="142" t="s">
        <v>185</v>
      </c>
      <c r="C239" s="149" t="s">
        <v>67</v>
      </c>
      <c r="D239" s="143" t="s">
        <v>37</v>
      </c>
      <c r="E239" s="142"/>
      <c r="F239" s="142"/>
    </row>
    <row r="240" spans="1:6" s="113" customFormat="1" ht="39" x14ac:dyDescent="0.25">
      <c r="A240" s="141">
        <v>595</v>
      </c>
      <c r="B240" s="142" t="s">
        <v>186</v>
      </c>
      <c r="C240" s="143" t="s">
        <v>1590</v>
      </c>
      <c r="D240" s="143" t="s">
        <v>1591</v>
      </c>
      <c r="E240" s="142"/>
      <c r="F240" s="142"/>
    </row>
    <row r="241" spans="1:6" s="113" customFormat="1" ht="26.25" x14ac:dyDescent="0.25">
      <c r="A241" s="141">
        <v>596</v>
      </c>
      <c r="B241" s="142" t="s">
        <v>1715</v>
      </c>
      <c r="C241" s="143" t="s">
        <v>27</v>
      </c>
      <c r="D241" s="143" t="s">
        <v>242</v>
      </c>
      <c r="E241" s="142"/>
      <c r="F241" s="142"/>
    </row>
    <row r="242" spans="1:6" s="113" customFormat="1" ht="26.25" x14ac:dyDescent="0.25">
      <c r="A242" s="141">
        <v>598</v>
      </c>
      <c r="B242" s="142" t="s">
        <v>187</v>
      </c>
      <c r="C242" s="143" t="s">
        <v>6</v>
      </c>
      <c r="D242" s="143" t="s">
        <v>7</v>
      </c>
      <c r="E242" s="142"/>
      <c r="F242" s="142"/>
    </row>
    <row r="243" spans="1:6" s="113" customFormat="1" x14ac:dyDescent="0.25">
      <c r="A243" s="141">
        <v>599</v>
      </c>
      <c r="B243" s="142" t="s">
        <v>1716</v>
      </c>
      <c r="C243" s="143" t="s">
        <v>38</v>
      </c>
      <c r="D243" s="143" t="s">
        <v>7</v>
      </c>
      <c r="E243" s="142"/>
      <c r="F243" s="142"/>
    </row>
    <row r="244" spans="1:6" s="113" customFormat="1" x14ac:dyDescent="0.25">
      <c r="A244" s="141">
        <v>600</v>
      </c>
      <c r="B244" s="142" t="s">
        <v>188</v>
      </c>
      <c r="C244" s="143" t="s">
        <v>140</v>
      </c>
      <c r="D244" s="143" t="s">
        <v>11</v>
      </c>
      <c r="E244" s="142"/>
      <c r="F244" s="142"/>
    </row>
    <row r="245" spans="1:6" s="113" customFormat="1" ht="26.25" x14ac:dyDescent="0.25">
      <c r="A245" s="141">
        <v>602</v>
      </c>
      <c r="B245" s="142" t="s">
        <v>189</v>
      </c>
      <c r="C245" s="143" t="s">
        <v>20</v>
      </c>
      <c r="D245" s="143" t="s">
        <v>11</v>
      </c>
      <c r="E245" s="142"/>
      <c r="F245" s="142"/>
    </row>
    <row r="246" spans="1:6" s="113" customFormat="1" x14ac:dyDescent="0.25">
      <c r="A246" s="141">
        <v>603</v>
      </c>
      <c r="B246" s="142" t="s">
        <v>190</v>
      </c>
      <c r="C246" s="143" t="s">
        <v>140</v>
      </c>
      <c r="D246" s="143" t="s">
        <v>11</v>
      </c>
      <c r="E246" s="142"/>
      <c r="F246" s="142"/>
    </row>
    <row r="247" spans="1:6" s="113" customFormat="1" ht="26.25" x14ac:dyDescent="0.25">
      <c r="A247" s="141">
        <v>604</v>
      </c>
      <c r="B247" s="142" t="s">
        <v>191</v>
      </c>
      <c r="C247" s="143" t="s">
        <v>20</v>
      </c>
      <c r="D247" s="143" t="s">
        <v>1591</v>
      </c>
      <c r="E247" s="142"/>
      <c r="F247" s="142"/>
    </row>
    <row r="248" spans="1:6" s="113" customFormat="1" x14ac:dyDescent="0.25">
      <c r="A248" s="141">
        <v>609</v>
      </c>
      <c r="B248" s="142" t="s">
        <v>192</v>
      </c>
      <c r="C248" s="143" t="s">
        <v>30</v>
      </c>
      <c r="D248" s="143" t="s">
        <v>302</v>
      </c>
      <c r="E248" s="142"/>
      <c r="F248" s="142"/>
    </row>
    <row r="249" spans="1:6" s="113" customFormat="1" x14ac:dyDescent="0.25">
      <c r="A249" s="141">
        <v>610</v>
      </c>
      <c r="B249" s="142" t="s">
        <v>1717</v>
      </c>
      <c r="C249" s="143" t="s">
        <v>38</v>
      </c>
      <c r="D249" s="143" t="s">
        <v>148</v>
      </c>
      <c r="E249" s="142"/>
      <c r="F249" s="142"/>
    </row>
    <row r="250" spans="1:6" s="113" customFormat="1" ht="26.25" x14ac:dyDescent="0.25">
      <c r="A250" s="141">
        <v>611</v>
      </c>
      <c r="B250" s="142" t="s">
        <v>1718</v>
      </c>
      <c r="C250" s="143" t="s">
        <v>144</v>
      </c>
      <c r="D250" s="143" t="s">
        <v>143</v>
      </c>
      <c r="E250" s="142"/>
      <c r="F250" s="142"/>
    </row>
    <row r="251" spans="1:6" s="113" customFormat="1" x14ac:dyDescent="0.25">
      <c r="A251" s="141">
        <v>612</v>
      </c>
      <c r="B251" s="142" t="s">
        <v>193</v>
      </c>
      <c r="C251" s="143" t="s">
        <v>38</v>
      </c>
      <c r="D251" s="143" t="s">
        <v>40</v>
      </c>
      <c r="E251" s="142"/>
      <c r="F251" s="142"/>
    </row>
    <row r="252" spans="1:6" s="113" customFormat="1" x14ac:dyDescent="0.25">
      <c r="A252" s="141">
        <v>613</v>
      </c>
      <c r="B252" s="142" t="s">
        <v>1719</v>
      </c>
      <c r="C252" s="143" t="s">
        <v>38</v>
      </c>
      <c r="D252" s="143" t="s">
        <v>453</v>
      </c>
      <c r="E252" s="142"/>
      <c r="F252" s="142"/>
    </row>
    <row r="253" spans="1:6" s="113" customFormat="1" x14ac:dyDescent="0.25">
      <c r="A253" s="141">
        <v>614</v>
      </c>
      <c r="B253" s="142" t="s">
        <v>1720</v>
      </c>
      <c r="C253" s="143" t="s">
        <v>38</v>
      </c>
      <c r="D253" s="143" t="s">
        <v>453</v>
      </c>
      <c r="E253" s="142"/>
      <c r="F253" s="142"/>
    </row>
    <row r="254" spans="1:6" s="113" customFormat="1" x14ac:dyDescent="0.25">
      <c r="A254" s="141">
        <v>615</v>
      </c>
      <c r="B254" s="142" t="s">
        <v>1721</v>
      </c>
      <c r="C254" s="143" t="s">
        <v>38</v>
      </c>
      <c r="D254" s="143" t="s">
        <v>109</v>
      </c>
      <c r="E254" s="142"/>
      <c r="F254" s="142"/>
    </row>
    <row r="255" spans="1:6" s="113" customFormat="1" ht="26.25" x14ac:dyDescent="0.25">
      <c r="A255" s="141">
        <v>616</v>
      </c>
      <c r="B255" s="142" t="s">
        <v>194</v>
      </c>
      <c r="C255" s="143" t="s">
        <v>144</v>
      </c>
      <c r="D255" s="143" t="s">
        <v>109</v>
      </c>
      <c r="E255" s="142"/>
      <c r="F255" s="142"/>
    </row>
    <row r="256" spans="1:6" s="113" customFormat="1" x14ac:dyDescent="0.25">
      <c r="A256" s="141">
        <v>618</v>
      </c>
      <c r="B256" s="142" t="s">
        <v>1722</v>
      </c>
      <c r="C256" s="143" t="s">
        <v>195</v>
      </c>
      <c r="D256" s="143" t="s">
        <v>45</v>
      </c>
      <c r="E256" s="142"/>
      <c r="F256" s="142"/>
    </row>
    <row r="257" spans="1:6" s="113" customFormat="1" x14ac:dyDescent="0.25">
      <c r="A257" s="141">
        <v>619</v>
      </c>
      <c r="B257" s="142" t="s">
        <v>196</v>
      </c>
      <c r="C257" s="143" t="s">
        <v>167</v>
      </c>
      <c r="D257" s="143" t="s">
        <v>21</v>
      </c>
      <c r="E257" s="142"/>
      <c r="F257" s="142"/>
    </row>
    <row r="258" spans="1:6" s="113" customFormat="1" ht="26.25" x14ac:dyDescent="0.25">
      <c r="A258" s="141">
        <v>620</v>
      </c>
      <c r="B258" s="142" t="s">
        <v>197</v>
      </c>
      <c r="C258" s="143" t="s">
        <v>144</v>
      </c>
      <c r="D258" s="143" t="s">
        <v>21</v>
      </c>
      <c r="E258" s="142"/>
      <c r="F258" s="142"/>
    </row>
    <row r="259" spans="1:6" s="113" customFormat="1" ht="26.25" x14ac:dyDescent="0.25">
      <c r="A259" s="141">
        <v>621</v>
      </c>
      <c r="B259" s="142" t="s">
        <v>1723</v>
      </c>
      <c r="C259" s="143" t="s">
        <v>22</v>
      </c>
      <c r="D259" s="143" t="s">
        <v>11</v>
      </c>
      <c r="E259" s="142"/>
      <c r="F259" s="142"/>
    </row>
    <row r="260" spans="1:6" s="113" customFormat="1" x14ac:dyDescent="0.25">
      <c r="A260" s="141">
        <v>623</v>
      </c>
      <c r="B260" s="142" t="s">
        <v>198</v>
      </c>
      <c r="C260" s="143" t="s">
        <v>38</v>
      </c>
      <c r="D260" s="143" t="s">
        <v>109</v>
      </c>
      <c r="E260" s="142"/>
      <c r="F260" s="142"/>
    </row>
    <row r="261" spans="1:6" s="113" customFormat="1" x14ac:dyDescent="0.25">
      <c r="A261" s="141">
        <v>624</v>
      </c>
      <c r="B261" s="142" t="s">
        <v>199</v>
      </c>
      <c r="C261" s="143" t="s">
        <v>167</v>
      </c>
      <c r="D261" s="143" t="s">
        <v>109</v>
      </c>
      <c r="E261" s="142"/>
      <c r="F261" s="142"/>
    </row>
    <row r="262" spans="1:6" s="113" customFormat="1" x14ac:dyDescent="0.25">
      <c r="A262" s="141">
        <v>625</v>
      </c>
      <c r="B262" s="142" t="s">
        <v>1724</v>
      </c>
      <c r="C262" s="143" t="s">
        <v>107</v>
      </c>
      <c r="D262" s="143" t="s">
        <v>1725</v>
      </c>
      <c r="E262" s="142"/>
      <c r="F262" s="142"/>
    </row>
    <row r="263" spans="1:6" s="113" customFormat="1" x14ac:dyDescent="0.25">
      <c r="A263" s="141">
        <v>626</v>
      </c>
      <c r="B263" s="142" t="s">
        <v>200</v>
      </c>
      <c r="C263" s="143" t="s">
        <v>38</v>
      </c>
      <c r="D263" s="143" t="s">
        <v>7</v>
      </c>
      <c r="E263" s="142"/>
      <c r="F263" s="142"/>
    </row>
    <row r="264" spans="1:6" s="113" customFormat="1" x14ac:dyDescent="0.25">
      <c r="A264" s="141">
        <v>629</v>
      </c>
      <c r="B264" s="142" t="s">
        <v>201</v>
      </c>
      <c r="C264" s="143" t="s">
        <v>140</v>
      </c>
      <c r="D264" s="143" t="s">
        <v>11</v>
      </c>
      <c r="E264" s="142"/>
      <c r="F264" s="142"/>
    </row>
    <row r="265" spans="1:6" s="113" customFormat="1" x14ac:dyDescent="0.25">
      <c r="A265" s="141">
        <v>630</v>
      </c>
      <c r="B265" s="142" t="s">
        <v>1726</v>
      </c>
      <c r="C265" s="143" t="s">
        <v>38</v>
      </c>
      <c r="D265" s="143" t="s">
        <v>109</v>
      </c>
      <c r="E265" s="142"/>
      <c r="F265" s="142"/>
    </row>
    <row r="266" spans="1:6" s="113" customFormat="1" x14ac:dyDescent="0.25">
      <c r="A266" s="141">
        <v>631</v>
      </c>
      <c r="B266" s="142" t="s">
        <v>1727</v>
      </c>
      <c r="C266" s="143" t="s">
        <v>38</v>
      </c>
      <c r="D266" s="143" t="s">
        <v>453</v>
      </c>
      <c r="E266" s="142"/>
      <c r="F266" s="142"/>
    </row>
    <row r="267" spans="1:6" s="113" customFormat="1" x14ac:dyDescent="0.25">
      <c r="A267" s="141">
        <v>632</v>
      </c>
      <c r="B267" s="142" t="s">
        <v>202</v>
      </c>
      <c r="C267" s="143" t="s">
        <v>38</v>
      </c>
      <c r="D267" s="143" t="s">
        <v>148</v>
      </c>
      <c r="E267" s="142"/>
      <c r="F267" s="142"/>
    </row>
    <row r="268" spans="1:6" s="113" customFormat="1" ht="26.25" x14ac:dyDescent="0.25">
      <c r="A268" s="141">
        <v>633</v>
      </c>
      <c r="B268" s="142" t="s">
        <v>1728</v>
      </c>
      <c r="C268" s="143" t="s">
        <v>144</v>
      </c>
      <c r="D268" s="143" t="s">
        <v>7</v>
      </c>
      <c r="E268" s="142"/>
      <c r="F268" s="142"/>
    </row>
    <row r="269" spans="1:6" s="113" customFormat="1" x14ac:dyDescent="0.25">
      <c r="A269" s="141">
        <v>634</v>
      </c>
      <c r="B269" s="142" t="s">
        <v>203</v>
      </c>
      <c r="C269" s="143" t="s">
        <v>38</v>
      </c>
      <c r="D269" s="143" t="s">
        <v>7</v>
      </c>
      <c r="E269" s="142"/>
      <c r="F269" s="142"/>
    </row>
    <row r="270" spans="1:6" s="113" customFormat="1" ht="26.25" x14ac:dyDescent="0.25">
      <c r="A270" s="141">
        <v>636</v>
      </c>
      <c r="B270" s="142" t="s">
        <v>204</v>
      </c>
      <c r="C270" s="143" t="s">
        <v>144</v>
      </c>
      <c r="D270" s="143" t="s">
        <v>21</v>
      </c>
      <c r="E270" s="142"/>
      <c r="F270" s="142"/>
    </row>
    <row r="271" spans="1:6" s="113" customFormat="1" ht="26.25" x14ac:dyDescent="0.25">
      <c r="A271" s="141">
        <v>637</v>
      </c>
      <c r="B271" s="142" t="s">
        <v>1729</v>
      </c>
      <c r="C271" s="143" t="s">
        <v>144</v>
      </c>
      <c r="D271" s="143" t="s">
        <v>173</v>
      </c>
      <c r="E271" s="142"/>
      <c r="F271" s="142"/>
    </row>
    <row r="272" spans="1:6" s="113" customFormat="1" x14ac:dyDescent="0.25">
      <c r="A272" s="141">
        <v>639</v>
      </c>
      <c r="B272" s="142" t="s">
        <v>205</v>
      </c>
      <c r="C272" s="143" t="s">
        <v>64</v>
      </c>
      <c r="D272" s="143" t="s">
        <v>50</v>
      </c>
      <c r="E272" s="142"/>
      <c r="F272" s="142"/>
    </row>
    <row r="273" spans="1:6" s="113" customFormat="1" x14ac:dyDescent="0.25">
      <c r="A273" s="141">
        <v>640</v>
      </c>
      <c r="B273" s="142" t="s">
        <v>1730</v>
      </c>
      <c r="C273" s="143" t="s">
        <v>10</v>
      </c>
      <c r="D273" s="143" t="s">
        <v>154</v>
      </c>
      <c r="E273" s="142"/>
      <c r="F273" s="142"/>
    </row>
    <row r="274" spans="1:6" s="113" customFormat="1" x14ac:dyDescent="0.25">
      <c r="A274" s="141">
        <v>642</v>
      </c>
      <c r="B274" s="142" t="s">
        <v>1731</v>
      </c>
      <c r="C274" s="143" t="s">
        <v>140</v>
      </c>
      <c r="D274" s="143" t="s">
        <v>50</v>
      </c>
      <c r="E274" s="142"/>
      <c r="F274" s="142"/>
    </row>
    <row r="275" spans="1:6" s="113" customFormat="1" x14ac:dyDescent="0.25">
      <c r="A275" s="141">
        <v>643</v>
      </c>
      <c r="B275" s="142" t="s">
        <v>1732</v>
      </c>
      <c r="C275" s="143" t="s">
        <v>167</v>
      </c>
      <c r="D275" s="143" t="s">
        <v>109</v>
      </c>
      <c r="E275" s="142"/>
      <c r="F275" s="142"/>
    </row>
    <row r="276" spans="1:6" s="113" customFormat="1" x14ac:dyDescent="0.25">
      <c r="A276" s="141">
        <v>644</v>
      </c>
      <c r="B276" s="142" t="s">
        <v>206</v>
      </c>
      <c r="C276" s="143" t="s">
        <v>167</v>
      </c>
      <c r="D276" s="143" t="s">
        <v>7</v>
      </c>
      <c r="E276" s="142"/>
      <c r="F276" s="142"/>
    </row>
    <row r="277" spans="1:6" s="113" customFormat="1" x14ac:dyDescent="0.25">
      <c r="A277" s="141">
        <v>645</v>
      </c>
      <c r="B277" s="142" t="s">
        <v>207</v>
      </c>
      <c r="C277" s="143" t="s">
        <v>140</v>
      </c>
      <c r="D277" s="143" t="s">
        <v>7</v>
      </c>
      <c r="E277" s="142"/>
      <c r="F277" s="142"/>
    </row>
    <row r="278" spans="1:6" s="113" customFormat="1" x14ac:dyDescent="0.25">
      <c r="A278" s="141">
        <v>646</v>
      </c>
      <c r="B278" s="142" t="s">
        <v>208</v>
      </c>
      <c r="C278" s="143" t="s">
        <v>38</v>
      </c>
      <c r="D278" s="143" t="s">
        <v>453</v>
      </c>
      <c r="E278" s="142"/>
      <c r="F278" s="142"/>
    </row>
    <row r="279" spans="1:6" s="113" customFormat="1" ht="26.25" x14ac:dyDescent="0.25">
      <c r="A279" s="141">
        <v>648</v>
      </c>
      <c r="B279" s="142" t="s">
        <v>209</v>
      </c>
      <c r="C279" s="143" t="s">
        <v>47</v>
      </c>
      <c r="D279" s="143" t="s">
        <v>1591</v>
      </c>
      <c r="E279" s="142"/>
      <c r="F279" s="142"/>
    </row>
    <row r="280" spans="1:6" s="113" customFormat="1" x14ac:dyDescent="0.25">
      <c r="A280" s="141">
        <v>656</v>
      </c>
      <c r="B280" s="142" t="s">
        <v>1733</v>
      </c>
      <c r="C280" s="143" t="s">
        <v>64</v>
      </c>
      <c r="D280" s="143" t="s">
        <v>11</v>
      </c>
      <c r="E280" s="142"/>
      <c r="F280" s="142"/>
    </row>
    <row r="281" spans="1:6" s="113" customFormat="1" x14ac:dyDescent="0.25">
      <c r="A281" s="141">
        <v>658</v>
      </c>
      <c r="B281" s="142" t="s">
        <v>1734</v>
      </c>
      <c r="C281" s="143" t="s">
        <v>140</v>
      </c>
      <c r="D281" s="143" t="s">
        <v>109</v>
      </c>
      <c r="E281" s="142"/>
      <c r="F281" s="142"/>
    </row>
    <row r="282" spans="1:6" s="113" customFormat="1" x14ac:dyDescent="0.25">
      <c r="A282" s="141">
        <v>659</v>
      </c>
      <c r="B282" s="142" t="s">
        <v>211</v>
      </c>
      <c r="C282" s="143" t="s">
        <v>38</v>
      </c>
      <c r="D282" s="143" t="s">
        <v>150</v>
      </c>
      <c r="E282" s="142"/>
      <c r="F282" s="142"/>
    </row>
    <row r="283" spans="1:6" s="113" customFormat="1" x14ac:dyDescent="0.25">
      <c r="A283" s="141">
        <v>662</v>
      </c>
      <c r="B283" s="142" t="s">
        <v>1735</v>
      </c>
      <c r="C283" s="143" t="s">
        <v>140</v>
      </c>
      <c r="D283" s="143" t="s">
        <v>109</v>
      </c>
      <c r="E283" s="142"/>
      <c r="F283" s="142"/>
    </row>
    <row r="284" spans="1:6" s="113" customFormat="1" x14ac:dyDescent="0.25">
      <c r="A284" s="141">
        <v>665</v>
      </c>
      <c r="B284" s="142" t="s">
        <v>1736</v>
      </c>
      <c r="C284" s="143" t="s">
        <v>167</v>
      </c>
      <c r="D284" s="143" t="s">
        <v>109</v>
      </c>
      <c r="E284" s="142"/>
      <c r="F284" s="142"/>
    </row>
    <row r="285" spans="1:6" s="113" customFormat="1" ht="26.25" x14ac:dyDescent="0.25">
      <c r="A285" s="141">
        <v>666</v>
      </c>
      <c r="B285" s="142" t="s">
        <v>212</v>
      </c>
      <c r="C285" s="143" t="s">
        <v>144</v>
      </c>
      <c r="D285" s="143" t="s">
        <v>7</v>
      </c>
      <c r="E285" s="142"/>
      <c r="F285" s="142"/>
    </row>
    <row r="286" spans="1:6" s="113" customFormat="1" x14ac:dyDescent="0.25">
      <c r="A286" s="141">
        <v>668</v>
      </c>
      <c r="B286" s="142" t="s">
        <v>1737</v>
      </c>
      <c r="C286" s="143" t="s">
        <v>1455</v>
      </c>
      <c r="D286" s="143" t="s">
        <v>415</v>
      </c>
      <c r="E286" s="142"/>
      <c r="F286" s="142"/>
    </row>
    <row r="287" spans="1:6" s="113" customFormat="1" x14ac:dyDescent="0.25">
      <c r="A287" s="141">
        <v>669</v>
      </c>
      <c r="B287" s="142" t="s">
        <v>1738</v>
      </c>
      <c r="C287" s="143" t="s">
        <v>34</v>
      </c>
      <c r="D287" s="143" t="s">
        <v>242</v>
      </c>
      <c r="E287" s="142"/>
      <c r="F287" s="142"/>
    </row>
    <row r="288" spans="1:6" s="113" customFormat="1" x14ac:dyDescent="0.25">
      <c r="A288" s="141">
        <v>670</v>
      </c>
      <c r="B288" s="142" t="s">
        <v>213</v>
      </c>
      <c r="C288" s="143" t="s">
        <v>38</v>
      </c>
      <c r="D288" s="143" t="s">
        <v>148</v>
      </c>
      <c r="E288" s="142"/>
      <c r="F288" s="142"/>
    </row>
    <row r="289" spans="1:6" s="113" customFormat="1" x14ac:dyDescent="0.25">
      <c r="A289" s="141">
        <v>671</v>
      </c>
      <c r="B289" s="142" t="s">
        <v>214</v>
      </c>
      <c r="C289" s="143" t="s">
        <v>38</v>
      </c>
      <c r="D289" s="143" t="s">
        <v>11</v>
      </c>
      <c r="E289" s="142"/>
      <c r="F289" s="142"/>
    </row>
    <row r="290" spans="1:6" s="113" customFormat="1" x14ac:dyDescent="0.25">
      <c r="A290" s="141">
        <v>682</v>
      </c>
      <c r="B290" s="142" t="s">
        <v>1739</v>
      </c>
      <c r="C290" s="149" t="s">
        <v>67</v>
      </c>
      <c r="D290" s="143" t="s">
        <v>551</v>
      </c>
      <c r="E290" s="142"/>
      <c r="F290" s="142"/>
    </row>
    <row r="291" spans="1:6" s="113" customFormat="1" x14ac:dyDescent="0.25">
      <c r="A291" s="141">
        <v>683</v>
      </c>
      <c r="B291" s="142" t="s">
        <v>215</v>
      </c>
      <c r="C291" s="149" t="s">
        <v>67</v>
      </c>
      <c r="D291" s="143" t="s">
        <v>551</v>
      </c>
      <c r="E291" s="142"/>
      <c r="F291" s="142"/>
    </row>
    <row r="292" spans="1:6" s="113" customFormat="1" x14ac:dyDescent="0.25">
      <c r="A292" s="141">
        <v>686</v>
      </c>
      <c r="B292" s="142" t="s">
        <v>1740</v>
      </c>
      <c r="C292" s="143" t="s">
        <v>216</v>
      </c>
      <c r="D292" s="143" t="s">
        <v>124</v>
      </c>
      <c r="E292" s="142"/>
      <c r="F292" s="142"/>
    </row>
    <row r="293" spans="1:6" s="113" customFormat="1" ht="26.25" x14ac:dyDescent="0.25">
      <c r="A293" s="141">
        <v>687</v>
      </c>
      <c r="B293" s="142" t="s">
        <v>217</v>
      </c>
      <c r="C293" s="143" t="s">
        <v>3</v>
      </c>
      <c r="D293" s="143" t="s">
        <v>154</v>
      </c>
      <c r="E293" s="142"/>
      <c r="F293" s="142"/>
    </row>
    <row r="294" spans="1:6" s="113" customFormat="1" ht="26.25" x14ac:dyDescent="0.25">
      <c r="A294" s="141">
        <v>689</v>
      </c>
      <c r="B294" s="142" t="s">
        <v>1741</v>
      </c>
      <c r="C294" s="143" t="s">
        <v>144</v>
      </c>
      <c r="D294" s="143" t="s">
        <v>173</v>
      </c>
      <c r="E294" s="142"/>
      <c r="F294" s="142"/>
    </row>
    <row r="295" spans="1:6" s="113" customFormat="1" ht="26.25" x14ac:dyDescent="0.25">
      <c r="A295" s="141">
        <v>690</v>
      </c>
      <c r="B295" s="142" t="s">
        <v>218</v>
      </c>
      <c r="C295" s="143" t="s">
        <v>157</v>
      </c>
      <c r="D295" s="143" t="s">
        <v>154</v>
      </c>
      <c r="E295" s="142"/>
      <c r="F295" s="142"/>
    </row>
    <row r="296" spans="1:6" s="113" customFormat="1" x14ac:dyDescent="0.25">
      <c r="A296" s="141">
        <v>693</v>
      </c>
      <c r="B296" s="142" t="s">
        <v>1742</v>
      </c>
      <c r="C296" s="143" t="s">
        <v>32</v>
      </c>
      <c r="D296" s="143" t="s">
        <v>551</v>
      </c>
      <c r="E296" s="142"/>
      <c r="F296" s="142"/>
    </row>
    <row r="297" spans="1:6" s="113" customFormat="1" ht="26.25" x14ac:dyDescent="0.25">
      <c r="A297" s="141">
        <v>695</v>
      </c>
      <c r="B297" s="142" t="s">
        <v>219</v>
      </c>
      <c r="C297" s="143" t="s">
        <v>3</v>
      </c>
      <c r="D297" s="143" t="s">
        <v>68</v>
      </c>
      <c r="E297" s="142"/>
      <c r="F297" s="142"/>
    </row>
    <row r="298" spans="1:6" s="113" customFormat="1" ht="39" x14ac:dyDescent="0.25">
      <c r="A298" s="141">
        <v>698</v>
      </c>
      <c r="B298" s="142" t="s">
        <v>220</v>
      </c>
      <c r="C298" s="143" t="s">
        <v>1590</v>
      </c>
      <c r="D298" s="143" t="s">
        <v>154</v>
      </c>
      <c r="E298" s="142"/>
      <c r="F298" s="142"/>
    </row>
    <row r="299" spans="1:6" s="113" customFormat="1" x14ac:dyDescent="0.25">
      <c r="A299" s="190">
        <v>700</v>
      </c>
      <c r="B299" s="188" t="s">
        <v>2503</v>
      </c>
      <c r="C299" s="606"/>
      <c r="D299" s="606"/>
      <c r="E299" s="606"/>
      <c r="F299" s="187"/>
    </row>
    <row r="300" spans="1:6" s="113" customFormat="1" x14ac:dyDescent="0.25">
      <c r="A300" s="150">
        <v>701</v>
      </c>
      <c r="B300" s="126" t="s">
        <v>221</v>
      </c>
      <c r="C300" s="151" t="s">
        <v>1692</v>
      </c>
      <c r="D300" s="151"/>
      <c r="E300" s="126"/>
      <c r="F300" s="126"/>
    </row>
    <row r="301" spans="1:6" s="113" customFormat="1" ht="26.25" x14ac:dyDescent="0.25">
      <c r="A301" s="141">
        <v>702</v>
      </c>
      <c r="B301" s="142" t="s">
        <v>222</v>
      </c>
      <c r="C301" s="143" t="s">
        <v>3</v>
      </c>
      <c r="D301" s="143" t="s">
        <v>302</v>
      </c>
      <c r="E301" s="142"/>
      <c r="F301" s="142"/>
    </row>
    <row r="302" spans="1:6" s="113" customFormat="1" ht="26.25" x14ac:dyDescent="0.25">
      <c r="A302" s="141">
        <v>703</v>
      </c>
      <c r="B302" s="142" t="s">
        <v>223</v>
      </c>
      <c r="C302" s="143" t="s">
        <v>22</v>
      </c>
      <c r="D302" s="143" t="s">
        <v>154</v>
      </c>
      <c r="E302" s="142"/>
      <c r="F302" s="142"/>
    </row>
    <row r="303" spans="1:6" s="113" customFormat="1" ht="26.25" x14ac:dyDescent="0.25">
      <c r="A303" s="141">
        <v>704</v>
      </c>
      <c r="B303" s="142" t="s">
        <v>224</v>
      </c>
      <c r="C303" s="143" t="s">
        <v>27</v>
      </c>
      <c r="D303" s="143" t="s">
        <v>116</v>
      </c>
      <c r="E303" s="142"/>
      <c r="F303" s="142"/>
    </row>
    <row r="304" spans="1:6" s="113" customFormat="1" x14ac:dyDescent="0.25">
      <c r="A304" s="141">
        <v>705</v>
      </c>
      <c r="B304" s="142" t="s">
        <v>1743</v>
      </c>
      <c r="C304" s="143" t="s">
        <v>140</v>
      </c>
      <c r="D304" s="143" t="s">
        <v>7</v>
      </c>
      <c r="E304" s="142"/>
      <c r="F304" s="142"/>
    </row>
    <row r="305" spans="1:6" s="113" customFormat="1" ht="26.25" x14ac:dyDescent="0.25">
      <c r="A305" s="141">
        <v>706</v>
      </c>
      <c r="B305" s="142" t="s">
        <v>225</v>
      </c>
      <c r="C305" s="143" t="s">
        <v>3</v>
      </c>
      <c r="D305" s="143" t="s">
        <v>116</v>
      </c>
      <c r="E305" s="142"/>
      <c r="F305" s="142"/>
    </row>
    <row r="306" spans="1:6" s="113" customFormat="1" x14ac:dyDescent="0.25">
      <c r="A306" s="141">
        <v>708</v>
      </c>
      <c r="B306" s="142" t="s">
        <v>226</v>
      </c>
      <c r="C306" s="143" t="s">
        <v>38</v>
      </c>
      <c r="D306" s="143" t="s">
        <v>150</v>
      </c>
      <c r="E306" s="142"/>
      <c r="F306" s="142"/>
    </row>
    <row r="307" spans="1:6" s="113" customFormat="1" x14ac:dyDescent="0.25">
      <c r="A307" s="141">
        <v>709</v>
      </c>
      <c r="B307" s="142" t="s">
        <v>227</v>
      </c>
      <c r="C307" s="143" t="s">
        <v>64</v>
      </c>
      <c r="D307" s="143" t="s">
        <v>237</v>
      </c>
      <c r="E307" s="142"/>
      <c r="F307" s="142"/>
    </row>
    <row r="308" spans="1:6" s="113" customFormat="1" ht="26.25" x14ac:dyDescent="0.25">
      <c r="A308" s="141">
        <v>711</v>
      </c>
      <c r="B308" s="142" t="s">
        <v>229</v>
      </c>
      <c r="C308" s="143" t="s">
        <v>4</v>
      </c>
      <c r="D308" s="143" t="s">
        <v>148</v>
      </c>
      <c r="E308" s="142"/>
      <c r="F308" s="142"/>
    </row>
    <row r="309" spans="1:6" s="113" customFormat="1" ht="26.25" x14ac:dyDescent="0.25">
      <c r="A309" s="141">
        <v>712</v>
      </c>
      <c r="B309" s="142" t="s">
        <v>1744</v>
      </c>
      <c r="C309" s="143" t="s">
        <v>22</v>
      </c>
      <c r="D309" s="143" t="s">
        <v>154</v>
      </c>
      <c r="E309" s="142"/>
      <c r="F309" s="142"/>
    </row>
    <row r="310" spans="1:6" s="113" customFormat="1" x14ac:dyDescent="0.25">
      <c r="A310" s="141">
        <v>716</v>
      </c>
      <c r="B310" s="142" t="s">
        <v>1745</v>
      </c>
      <c r="C310" s="143" t="s">
        <v>38</v>
      </c>
      <c r="D310" s="143" t="s">
        <v>109</v>
      </c>
      <c r="E310" s="142"/>
      <c r="F310" s="142"/>
    </row>
    <row r="311" spans="1:6" s="113" customFormat="1" x14ac:dyDescent="0.25">
      <c r="A311" s="141">
        <v>717</v>
      </c>
      <c r="B311" s="142" t="s">
        <v>230</v>
      </c>
      <c r="C311" s="143" t="s">
        <v>41</v>
      </c>
      <c r="D311" s="143" t="s">
        <v>242</v>
      </c>
      <c r="E311" s="142"/>
      <c r="F311" s="142"/>
    </row>
    <row r="312" spans="1:6" s="113" customFormat="1" ht="26.25" x14ac:dyDescent="0.25">
      <c r="A312" s="153">
        <v>719</v>
      </c>
      <c r="B312" s="154" t="s">
        <v>1746</v>
      </c>
      <c r="C312" s="143" t="s">
        <v>1478</v>
      </c>
      <c r="D312" s="143" t="s">
        <v>45</v>
      </c>
      <c r="E312" s="142"/>
      <c r="F312" s="142"/>
    </row>
    <row r="313" spans="1:6" s="113" customFormat="1" x14ac:dyDescent="0.25">
      <c r="A313" s="141">
        <v>720</v>
      </c>
      <c r="B313" s="142" t="s">
        <v>1747</v>
      </c>
      <c r="C313" s="143" t="s">
        <v>38</v>
      </c>
      <c r="D313" s="143" t="s">
        <v>150</v>
      </c>
      <c r="E313" s="142"/>
      <c r="F313" s="142"/>
    </row>
    <row r="314" spans="1:6" s="113" customFormat="1" ht="26.25" x14ac:dyDescent="0.25">
      <c r="A314" s="141">
        <v>721</v>
      </c>
      <c r="B314" s="142" t="s">
        <v>1748</v>
      </c>
      <c r="C314" s="143" t="s">
        <v>144</v>
      </c>
      <c r="D314" s="143" t="s">
        <v>171</v>
      </c>
      <c r="E314" s="142"/>
      <c r="F314" s="142"/>
    </row>
    <row r="315" spans="1:6" s="113" customFormat="1" x14ac:dyDescent="0.25">
      <c r="A315" s="141">
        <v>723</v>
      </c>
      <c r="B315" s="142" t="s">
        <v>1749</v>
      </c>
      <c r="C315" s="143" t="s">
        <v>73</v>
      </c>
      <c r="D315" s="143" t="s">
        <v>11</v>
      </c>
      <c r="E315" s="142"/>
      <c r="F315" s="142"/>
    </row>
    <row r="316" spans="1:6" s="113" customFormat="1" ht="26.25" x14ac:dyDescent="0.25">
      <c r="A316" s="141">
        <v>724</v>
      </c>
      <c r="B316" s="142" t="s">
        <v>1750</v>
      </c>
      <c r="C316" s="143" t="s">
        <v>20</v>
      </c>
      <c r="D316" s="143" t="s">
        <v>302</v>
      </c>
      <c r="E316" s="142"/>
      <c r="F316" s="142"/>
    </row>
    <row r="317" spans="1:6" s="113" customFormat="1" ht="26.25" x14ac:dyDescent="0.25">
      <c r="A317" s="141">
        <v>727</v>
      </c>
      <c r="B317" s="142" t="s">
        <v>231</v>
      </c>
      <c r="C317" s="143" t="s">
        <v>6</v>
      </c>
      <c r="D317" s="143" t="s">
        <v>11</v>
      </c>
      <c r="E317" s="142"/>
      <c r="F317" s="142"/>
    </row>
    <row r="318" spans="1:6" s="113" customFormat="1" ht="26.25" x14ac:dyDescent="0.25">
      <c r="A318" s="141">
        <v>730</v>
      </c>
      <c r="B318" s="142" t="s">
        <v>1751</v>
      </c>
      <c r="C318" s="143" t="s">
        <v>16</v>
      </c>
      <c r="D318" s="143" t="s">
        <v>7</v>
      </c>
      <c r="E318" s="142"/>
      <c r="F318" s="142"/>
    </row>
    <row r="319" spans="1:6" s="113" customFormat="1" ht="26.25" x14ac:dyDescent="0.25">
      <c r="A319" s="141">
        <v>737</v>
      </c>
      <c r="B319" s="142" t="s">
        <v>232</v>
      </c>
      <c r="C319" s="143" t="s">
        <v>6</v>
      </c>
      <c r="D319" s="143" t="s">
        <v>154</v>
      </c>
      <c r="E319" s="142"/>
      <c r="F319" s="142"/>
    </row>
    <row r="320" spans="1:6" s="113" customFormat="1" ht="26.25" x14ac:dyDescent="0.25">
      <c r="A320" s="141">
        <v>738</v>
      </c>
      <c r="B320" s="142" t="s">
        <v>233</v>
      </c>
      <c r="C320" s="143" t="s">
        <v>6</v>
      </c>
      <c r="D320" s="143" t="s">
        <v>242</v>
      </c>
      <c r="E320" s="142"/>
      <c r="F320" s="142"/>
    </row>
    <row r="321" spans="1:6" s="113" customFormat="1" x14ac:dyDescent="0.25">
      <c r="A321" s="141">
        <v>742</v>
      </c>
      <c r="B321" s="142" t="s">
        <v>234</v>
      </c>
      <c r="C321" s="143" t="s">
        <v>38</v>
      </c>
      <c r="D321" s="143" t="s">
        <v>109</v>
      </c>
      <c r="E321" s="142"/>
      <c r="F321" s="142"/>
    </row>
    <row r="322" spans="1:6" s="113" customFormat="1" x14ac:dyDescent="0.25">
      <c r="A322" s="141">
        <v>743</v>
      </c>
      <c r="B322" s="142" t="s">
        <v>235</v>
      </c>
      <c r="C322" s="143" t="s">
        <v>38</v>
      </c>
      <c r="D322" s="143" t="s">
        <v>148</v>
      </c>
      <c r="E322" s="142"/>
      <c r="F322" s="142"/>
    </row>
    <row r="323" spans="1:6" s="113" customFormat="1" ht="26.25" x14ac:dyDescent="0.25">
      <c r="A323" s="141">
        <v>745</v>
      </c>
      <c r="B323" s="142" t="s">
        <v>1752</v>
      </c>
      <c r="C323" s="143" t="s">
        <v>22</v>
      </c>
      <c r="D323" s="143" t="s">
        <v>154</v>
      </c>
      <c r="E323" s="142"/>
      <c r="F323" s="142"/>
    </row>
    <row r="324" spans="1:6" s="113" customFormat="1" x14ac:dyDescent="0.25">
      <c r="A324" s="141">
        <v>746</v>
      </c>
      <c r="B324" s="142" t="s">
        <v>236</v>
      </c>
      <c r="C324" s="143" t="s">
        <v>38</v>
      </c>
      <c r="D324" s="143" t="s">
        <v>109</v>
      </c>
      <c r="E324" s="142"/>
      <c r="F324" s="142"/>
    </row>
    <row r="325" spans="1:6" s="113" customFormat="1" ht="26.25" x14ac:dyDescent="0.25">
      <c r="A325" s="141">
        <v>748</v>
      </c>
      <c r="B325" s="142" t="s">
        <v>238</v>
      </c>
      <c r="C325" s="143" t="s">
        <v>6</v>
      </c>
      <c r="D325" s="143" t="s">
        <v>154</v>
      </c>
      <c r="E325" s="142"/>
      <c r="F325" s="142"/>
    </row>
    <row r="326" spans="1:6" s="113" customFormat="1" ht="26.25" x14ac:dyDescent="0.25">
      <c r="A326" s="141">
        <v>751</v>
      </c>
      <c r="B326" s="142" t="s">
        <v>239</v>
      </c>
      <c r="C326" s="143" t="s">
        <v>16</v>
      </c>
      <c r="D326" s="143" t="s">
        <v>154</v>
      </c>
      <c r="E326" s="142"/>
      <c r="F326" s="142"/>
    </row>
    <row r="327" spans="1:6" s="113" customFormat="1" x14ac:dyDescent="0.25">
      <c r="A327" s="141">
        <v>752</v>
      </c>
      <c r="B327" s="142" t="s">
        <v>1753</v>
      </c>
      <c r="C327" s="143" t="s">
        <v>32</v>
      </c>
      <c r="D327" s="143" t="s">
        <v>302</v>
      </c>
      <c r="E327" s="142"/>
      <c r="F327" s="142"/>
    </row>
    <row r="328" spans="1:6" s="113" customFormat="1" x14ac:dyDescent="0.25">
      <c r="A328" s="141">
        <v>753</v>
      </c>
      <c r="B328" s="142" t="s">
        <v>240</v>
      </c>
      <c r="C328" s="143" t="s">
        <v>38</v>
      </c>
      <c r="D328" s="143" t="s">
        <v>7</v>
      </c>
      <c r="E328" s="142"/>
      <c r="F328" s="142"/>
    </row>
    <row r="329" spans="1:6" s="113" customFormat="1" x14ac:dyDescent="0.25">
      <c r="A329" s="141">
        <v>754</v>
      </c>
      <c r="B329" s="142" t="s">
        <v>241</v>
      </c>
      <c r="C329" s="143" t="s">
        <v>1455</v>
      </c>
      <c r="D329" s="143" t="s">
        <v>415</v>
      </c>
      <c r="E329" s="142"/>
      <c r="F329" s="142"/>
    </row>
    <row r="330" spans="1:6" s="113" customFormat="1" x14ac:dyDescent="0.25">
      <c r="A330" s="141">
        <v>755</v>
      </c>
      <c r="B330" s="142" t="s">
        <v>1754</v>
      </c>
      <c r="C330" s="143" t="s">
        <v>32</v>
      </c>
      <c r="D330" s="143" t="s">
        <v>242</v>
      </c>
      <c r="E330" s="142"/>
      <c r="F330" s="142"/>
    </row>
    <row r="331" spans="1:6" s="113" customFormat="1" ht="26.25" x14ac:dyDescent="0.25">
      <c r="A331" s="141">
        <v>757</v>
      </c>
      <c r="B331" s="142" t="s">
        <v>243</v>
      </c>
      <c r="C331" s="143" t="s">
        <v>20</v>
      </c>
      <c r="D331" s="143" t="s">
        <v>116</v>
      </c>
      <c r="E331" s="142"/>
      <c r="F331" s="142"/>
    </row>
    <row r="332" spans="1:6" s="113" customFormat="1" ht="26.25" x14ac:dyDescent="0.25">
      <c r="A332" s="141">
        <v>760</v>
      </c>
      <c r="B332" s="142" t="s">
        <v>1755</v>
      </c>
      <c r="C332" s="143" t="s">
        <v>5</v>
      </c>
      <c r="D332" s="143" t="s">
        <v>302</v>
      </c>
      <c r="E332" s="142"/>
      <c r="F332" s="142"/>
    </row>
    <row r="333" spans="1:6" s="113" customFormat="1" x14ac:dyDescent="0.25">
      <c r="A333" s="141">
        <v>761</v>
      </c>
      <c r="B333" s="142" t="s">
        <v>1756</v>
      </c>
      <c r="C333" s="143" t="s">
        <v>140</v>
      </c>
      <c r="D333" s="143" t="s">
        <v>11</v>
      </c>
      <c r="E333" s="142"/>
      <c r="F333" s="142"/>
    </row>
    <row r="334" spans="1:6" s="113" customFormat="1" x14ac:dyDescent="0.25">
      <c r="A334" s="141">
        <v>763</v>
      </c>
      <c r="B334" s="142" t="s">
        <v>1757</v>
      </c>
      <c r="C334" s="143" t="s">
        <v>36</v>
      </c>
      <c r="D334" s="143" t="s">
        <v>154</v>
      </c>
      <c r="E334" s="142"/>
      <c r="F334" s="142"/>
    </row>
    <row r="335" spans="1:6" s="113" customFormat="1" ht="26.25" x14ac:dyDescent="0.25">
      <c r="A335" s="141">
        <v>765</v>
      </c>
      <c r="B335" s="142" t="s">
        <v>244</v>
      </c>
      <c r="C335" s="143" t="s">
        <v>144</v>
      </c>
      <c r="D335" s="143" t="s">
        <v>7</v>
      </c>
      <c r="E335" s="142"/>
      <c r="F335" s="142"/>
    </row>
    <row r="336" spans="1:6" s="113" customFormat="1" ht="26.25" x14ac:dyDescent="0.25">
      <c r="A336" s="141">
        <v>769</v>
      </c>
      <c r="B336" s="142" t="s">
        <v>1758</v>
      </c>
      <c r="C336" s="143" t="s">
        <v>20</v>
      </c>
      <c r="D336" s="143" t="s">
        <v>116</v>
      </c>
      <c r="E336" s="142"/>
      <c r="F336" s="142"/>
    </row>
    <row r="337" spans="1:6" s="113" customFormat="1" ht="26.25" x14ac:dyDescent="0.25">
      <c r="A337" s="141">
        <v>772</v>
      </c>
      <c r="B337" s="142" t="s">
        <v>1759</v>
      </c>
      <c r="C337" s="143" t="s">
        <v>144</v>
      </c>
      <c r="D337" s="143" t="s">
        <v>173</v>
      </c>
      <c r="E337" s="142"/>
      <c r="F337" s="142"/>
    </row>
    <row r="338" spans="1:6" s="113" customFormat="1" ht="26.25" x14ac:dyDescent="0.25">
      <c r="A338" s="141">
        <v>774</v>
      </c>
      <c r="B338" s="142" t="s">
        <v>245</v>
      </c>
      <c r="C338" s="143" t="s">
        <v>27</v>
      </c>
      <c r="D338" s="143" t="s">
        <v>116</v>
      </c>
      <c r="E338" s="142"/>
      <c r="F338" s="142"/>
    </row>
    <row r="339" spans="1:6" s="113" customFormat="1" x14ac:dyDescent="0.25">
      <c r="A339" s="141">
        <v>776</v>
      </c>
      <c r="B339" s="142" t="s">
        <v>1760</v>
      </c>
      <c r="C339" s="143" t="s">
        <v>47</v>
      </c>
      <c r="D339" s="143" t="s">
        <v>11</v>
      </c>
      <c r="E339" s="142"/>
      <c r="F339" s="142"/>
    </row>
    <row r="340" spans="1:6" s="113" customFormat="1" x14ac:dyDescent="0.25">
      <c r="A340" s="141">
        <v>778</v>
      </c>
      <c r="B340" s="142" t="s">
        <v>3534</v>
      </c>
      <c r="C340" s="143" t="s">
        <v>38</v>
      </c>
      <c r="D340" s="143" t="s">
        <v>453</v>
      </c>
      <c r="E340" s="142"/>
      <c r="F340" s="142"/>
    </row>
    <row r="341" spans="1:6" s="113" customFormat="1" ht="26.25" x14ac:dyDescent="0.25">
      <c r="A341" s="141">
        <v>781</v>
      </c>
      <c r="B341" s="142" t="s">
        <v>1761</v>
      </c>
      <c r="C341" s="143" t="s">
        <v>16</v>
      </c>
      <c r="D341" s="143" t="s">
        <v>11</v>
      </c>
      <c r="E341" s="142"/>
      <c r="F341" s="142"/>
    </row>
    <row r="342" spans="1:6" s="113" customFormat="1" ht="26.25" x14ac:dyDescent="0.25">
      <c r="A342" s="141">
        <v>783</v>
      </c>
      <c r="B342" s="142" t="s">
        <v>246</v>
      </c>
      <c r="C342" s="143" t="s">
        <v>16</v>
      </c>
      <c r="D342" s="143" t="s">
        <v>7</v>
      </c>
      <c r="E342" s="142"/>
      <c r="F342" s="142"/>
    </row>
    <row r="343" spans="1:6" s="113" customFormat="1" ht="26.25" x14ac:dyDescent="0.25">
      <c r="A343" s="141">
        <v>785</v>
      </c>
      <c r="B343" s="142" t="s">
        <v>247</v>
      </c>
      <c r="C343" s="143" t="s">
        <v>16</v>
      </c>
      <c r="D343" s="251" t="s">
        <v>11</v>
      </c>
      <c r="E343" s="142"/>
      <c r="F343" s="142"/>
    </row>
    <row r="344" spans="1:6" s="113" customFormat="1" ht="26.25" x14ac:dyDescent="0.25">
      <c r="A344" s="141">
        <v>788</v>
      </c>
      <c r="B344" s="142" t="s">
        <v>1762</v>
      </c>
      <c r="C344" s="143" t="s">
        <v>16</v>
      </c>
      <c r="D344" s="143" t="s">
        <v>154</v>
      </c>
      <c r="E344" s="142"/>
      <c r="F344" s="142"/>
    </row>
    <row r="345" spans="1:6" s="113" customFormat="1" ht="26.25" x14ac:dyDescent="0.25">
      <c r="A345" s="141">
        <v>790</v>
      </c>
      <c r="B345" s="142" t="s">
        <v>248</v>
      </c>
      <c r="C345" s="143" t="s">
        <v>16</v>
      </c>
      <c r="D345" s="143" t="s">
        <v>154</v>
      </c>
      <c r="E345" s="142"/>
      <c r="F345" s="142"/>
    </row>
    <row r="346" spans="1:6" s="113" customFormat="1" ht="26.25" x14ac:dyDescent="0.25">
      <c r="A346" s="141">
        <v>794</v>
      </c>
      <c r="B346" s="142" t="s">
        <v>249</v>
      </c>
      <c r="C346" s="143" t="s">
        <v>16</v>
      </c>
      <c r="D346" s="143" t="s">
        <v>154</v>
      </c>
      <c r="E346" s="142"/>
      <c r="F346" s="142"/>
    </row>
    <row r="347" spans="1:6" s="113" customFormat="1" ht="26.25" x14ac:dyDescent="0.25">
      <c r="A347" s="141">
        <v>796</v>
      </c>
      <c r="B347" s="142" t="s">
        <v>250</v>
      </c>
      <c r="C347" s="143" t="s">
        <v>16</v>
      </c>
      <c r="D347" s="143" t="s">
        <v>242</v>
      </c>
      <c r="E347" s="142"/>
      <c r="F347" s="142"/>
    </row>
    <row r="348" spans="1:6" s="113" customFormat="1" ht="26.25" x14ac:dyDescent="0.25">
      <c r="A348" s="141">
        <v>798</v>
      </c>
      <c r="B348" s="142" t="s">
        <v>251</v>
      </c>
      <c r="C348" s="143" t="s">
        <v>16</v>
      </c>
      <c r="D348" s="143" t="s">
        <v>154</v>
      </c>
      <c r="E348" s="142"/>
      <c r="F348" s="142"/>
    </row>
    <row r="349" spans="1:6" s="113" customFormat="1" ht="26.25" x14ac:dyDescent="0.25">
      <c r="A349" s="141">
        <v>800</v>
      </c>
      <c r="B349" s="142" t="s">
        <v>1763</v>
      </c>
      <c r="C349" s="143" t="s">
        <v>16</v>
      </c>
      <c r="D349" s="143" t="s">
        <v>154</v>
      </c>
      <c r="E349" s="142"/>
      <c r="F349" s="142"/>
    </row>
    <row r="350" spans="1:6" s="113" customFormat="1" ht="26.25" x14ac:dyDescent="0.25">
      <c r="A350" s="141">
        <v>803</v>
      </c>
      <c r="B350" s="142" t="s">
        <v>252</v>
      </c>
      <c r="C350" s="143" t="s">
        <v>16</v>
      </c>
      <c r="D350" s="143" t="s">
        <v>302</v>
      </c>
      <c r="E350" s="142"/>
      <c r="F350" s="142"/>
    </row>
    <row r="351" spans="1:6" s="113" customFormat="1" ht="26.25" x14ac:dyDescent="0.25">
      <c r="A351" s="141">
        <v>804</v>
      </c>
      <c r="B351" s="142" t="s">
        <v>253</v>
      </c>
      <c r="C351" s="143" t="s">
        <v>16</v>
      </c>
      <c r="D351" s="143" t="s">
        <v>154</v>
      </c>
      <c r="E351" s="142"/>
      <c r="F351" s="142"/>
    </row>
    <row r="352" spans="1:6" s="113" customFormat="1" x14ac:dyDescent="0.25">
      <c r="A352" s="141">
        <v>805</v>
      </c>
      <c r="B352" s="142" t="s">
        <v>254</v>
      </c>
      <c r="C352" s="143" t="s">
        <v>38</v>
      </c>
      <c r="D352" s="143" t="s">
        <v>109</v>
      </c>
      <c r="E352" s="142"/>
      <c r="F352" s="142"/>
    </row>
    <row r="353" spans="1:6" s="113" customFormat="1" ht="26.25" x14ac:dyDescent="0.25">
      <c r="A353" s="141">
        <v>809</v>
      </c>
      <c r="B353" s="142" t="s">
        <v>255</v>
      </c>
      <c r="C353" s="143" t="s">
        <v>16</v>
      </c>
      <c r="D353" s="143" t="s">
        <v>302</v>
      </c>
      <c r="E353" s="142"/>
      <c r="F353" s="142"/>
    </row>
    <row r="354" spans="1:6" s="113" customFormat="1" ht="26.25" x14ac:dyDescent="0.25">
      <c r="A354" s="141">
        <v>813</v>
      </c>
      <c r="B354" s="142" t="s">
        <v>256</v>
      </c>
      <c r="C354" s="143" t="s">
        <v>27</v>
      </c>
      <c r="D354" s="143" t="s">
        <v>242</v>
      </c>
      <c r="E354" s="142"/>
      <c r="F354" s="142"/>
    </row>
    <row r="355" spans="1:6" s="113" customFormat="1" x14ac:dyDescent="0.25">
      <c r="A355" s="141">
        <v>819</v>
      </c>
      <c r="B355" s="142" t="s">
        <v>1764</v>
      </c>
      <c r="C355" s="149" t="s">
        <v>67</v>
      </c>
      <c r="D355" s="143" t="s">
        <v>551</v>
      </c>
      <c r="E355" s="142"/>
      <c r="F355" s="142"/>
    </row>
    <row r="356" spans="1:6" s="113" customFormat="1" ht="26.25" x14ac:dyDescent="0.25">
      <c r="A356" s="141">
        <v>820</v>
      </c>
      <c r="B356" s="142" t="s">
        <v>257</v>
      </c>
      <c r="C356" s="143" t="s">
        <v>16</v>
      </c>
      <c r="D356" s="143" t="s">
        <v>154</v>
      </c>
      <c r="E356" s="142"/>
      <c r="F356" s="142"/>
    </row>
    <row r="357" spans="1:6" s="113" customFormat="1" x14ac:dyDescent="0.25">
      <c r="A357" s="141">
        <v>822</v>
      </c>
      <c r="B357" s="142" t="s">
        <v>258</v>
      </c>
      <c r="C357" s="143" t="s">
        <v>38</v>
      </c>
      <c r="D357" s="143" t="s">
        <v>453</v>
      </c>
      <c r="E357" s="142"/>
      <c r="F357" s="142"/>
    </row>
    <row r="358" spans="1:6" s="113" customFormat="1" x14ac:dyDescent="0.25">
      <c r="A358" s="141">
        <v>825</v>
      </c>
      <c r="B358" s="142" t="s">
        <v>1765</v>
      </c>
      <c r="C358" s="143" t="s">
        <v>64</v>
      </c>
      <c r="D358" s="143" t="s">
        <v>37</v>
      </c>
      <c r="E358" s="142"/>
      <c r="F358" s="142"/>
    </row>
    <row r="359" spans="1:6" s="113" customFormat="1" ht="26.25" x14ac:dyDescent="0.25">
      <c r="A359" s="141">
        <v>826</v>
      </c>
      <c r="B359" s="142" t="s">
        <v>1766</v>
      </c>
      <c r="C359" s="143" t="s">
        <v>16</v>
      </c>
      <c r="D359" s="143" t="s">
        <v>242</v>
      </c>
      <c r="E359" s="142"/>
      <c r="F359" s="142"/>
    </row>
    <row r="360" spans="1:6" s="113" customFormat="1" ht="26.25" x14ac:dyDescent="0.25">
      <c r="A360" s="141">
        <v>828</v>
      </c>
      <c r="B360" s="142" t="s">
        <v>1767</v>
      </c>
      <c r="C360" s="143" t="s">
        <v>16</v>
      </c>
      <c r="D360" s="143" t="s">
        <v>154</v>
      </c>
      <c r="E360" s="142"/>
      <c r="F360" s="142"/>
    </row>
    <row r="361" spans="1:6" s="113" customFormat="1" x14ac:dyDescent="0.25">
      <c r="A361" s="141">
        <v>832</v>
      </c>
      <c r="B361" s="142" t="s">
        <v>1768</v>
      </c>
      <c r="C361" s="143" t="s">
        <v>64</v>
      </c>
      <c r="D361" s="143" t="s">
        <v>237</v>
      </c>
      <c r="E361" s="142"/>
      <c r="F361" s="142"/>
    </row>
    <row r="362" spans="1:6" s="113" customFormat="1" x14ac:dyDescent="0.25">
      <c r="A362" s="141">
        <v>834</v>
      </c>
      <c r="B362" s="142" t="s">
        <v>259</v>
      </c>
      <c r="C362" s="143" t="s">
        <v>32</v>
      </c>
      <c r="D362" s="143" t="s">
        <v>154</v>
      </c>
      <c r="E362" s="142"/>
      <c r="F362" s="142"/>
    </row>
    <row r="363" spans="1:6" s="113" customFormat="1" ht="26.25" x14ac:dyDescent="0.25">
      <c r="A363" s="141">
        <v>835</v>
      </c>
      <c r="B363" s="142" t="s">
        <v>1769</v>
      </c>
      <c r="C363" s="143" t="s">
        <v>1478</v>
      </c>
      <c r="D363" s="143" t="s">
        <v>11</v>
      </c>
      <c r="E363" s="142"/>
      <c r="F363" s="142"/>
    </row>
    <row r="364" spans="1:6" s="113" customFormat="1" x14ac:dyDescent="0.25">
      <c r="A364" s="141">
        <v>836</v>
      </c>
      <c r="B364" s="142" t="s">
        <v>1770</v>
      </c>
      <c r="C364" s="143" t="s">
        <v>47</v>
      </c>
      <c r="D364" s="143" t="s">
        <v>179</v>
      </c>
      <c r="E364" s="142"/>
      <c r="F364" s="142"/>
    </row>
    <row r="365" spans="1:6" s="113" customFormat="1" x14ac:dyDescent="0.25">
      <c r="A365" s="141">
        <v>837</v>
      </c>
      <c r="B365" s="142" t="s">
        <v>1771</v>
      </c>
      <c r="C365" s="143" t="s">
        <v>101</v>
      </c>
      <c r="D365" s="143" t="s">
        <v>21</v>
      </c>
      <c r="E365" s="142"/>
      <c r="F365" s="142"/>
    </row>
    <row r="366" spans="1:6" s="113" customFormat="1" ht="26.25" x14ac:dyDescent="0.25">
      <c r="A366" s="141">
        <v>838</v>
      </c>
      <c r="B366" s="142" t="s">
        <v>260</v>
      </c>
      <c r="C366" s="143" t="s">
        <v>6</v>
      </c>
      <c r="D366" s="143" t="s">
        <v>11</v>
      </c>
      <c r="E366" s="142"/>
      <c r="F366" s="142"/>
    </row>
    <row r="367" spans="1:6" s="113" customFormat="1" x14ac:dyDescent="0.25">
      <c r="A367" s="141">
        <v>839</v>
      </c>
      <c r="B367" s="142" t="s">
        <v>1772</v>
      </c>
      <c r="C367" s="143" t="s">
        <v>167</v>
      </c>
      <c r="D367" s="143" t="s">
        <v>109</v>
      </c>
      <c r="E367" s="142"/>
      <c r="F367" s="142"/>
    </row>
    <row r="368" spans="1:6" s="113" customFormat="1" x14ac:dyDescent="0.25">
      <c r="A368" s="141">
        <v>840</v>
      </c>
      <c r="B368" s="142" t="s">
        <v>261</v>
      </c>
      <c r="C368" s="143" t="s">
        <v>64</v>
      </c>
      <c r="D368" s="251" t="s">
        <v>7</v>
      </c>
      <c r="E368" s="142"/>
      <c r="F368" s="142"/>
    </row>
    <row r="369" spans="1:6" s="113" customFormat="1" x14ac:dyDescent="0.25">
      <c r="A369" s="141">
        <v>843</v>
      </c>
      <c r="B369" s="142" t="s">
        <v>1773</v>
      </c>
      <c r="C369" s="143" t="s">
        <v>41</v>
      </c>
      <c r="D369" s="143" t="s">
        <v>154</v>
      </c>
      <c r="E369" s="142"/>
      <c r="F369" s="142"/>
    </row>
    <row r="370" spans="1:6" s="113" customFormat="1" ht="26.25" x14ac:dyDescent="0.25">
      <c r="A370" s="141">
        <v>844</v>
      </c>
      <c r="B370" s="142" t="s">
        <v>262</v>
      </c>
      <c r="C370" s="143" t="s">
        <v>144</v>
      </c>
      <c r="D370" s="143" t="s">
        <v>173</v>
      </c>
      <c r="E370" s="142"/>
      <c r="F370" s="142"/>
    </row>
    <row r="371" spans="1:6" s="113" customFormat="1" x14ac:dyDescent="0.25">
      <c r="A371" s="141">
        <v>845</v>
      </c>
      <c r="B371" s="142" t="s">
        <v>263</v>
      </c>
      <c r="C371" s="143" t="s">
        <v>10</v>
      </c>
      <c r="D371" s="143" t="s">
        <v>242</v>
      </c>
      <c r="E371" s="142"/>
      <c r="F371" s="142"/>
    </row>
    <row r="372" spans="1:6" s="113" customFormat="1" x14ac:dyDescent="0.25">
      <c r="A372" s="141">
        <v>846</v>
      </c>
      <c r="B372" s="142" t="s">
        <v>1774</v>
      </c>
      <c r="C372" s="143" t="s">
        <v>167</v>
      </c>
      <c r="D372" s="143" t="s">
        <v>173</v>
      </c>
      <c r="E372" s="142"/>
      <c r="F372" s="142"/>
    </row>
    <row r="373" spans="1:6" s="113" customFormat="1" ht="26.25" x14ac:dyDescent="0.25">
      <c r="A373" s="141">
        <v>847</v>
      </c>
      <c r="B373" s="142" t="s">
        <v>264</v>
      </c>
      <c r="C373" s="143" t="s">
        <v>144</v>
      </c>
      <c r="D373" s="143" t="s">
        <v>173</v>
      </c>
      <c r="E373" s="142"/>
      <c r="F373" s="142"/>
    </row>
    <row r="374" spans="1:6" s="113" customFormat="1" x14ac:dyDescent="0.25">
      <c r="A374" s="141">
        <v>849</v>
      </c>
      <c r="B374" s="142" t="s">
        <v>265</v>
      </c>
      <c r="C374" s="143" t="s">
        <v>38</v>
      </c>
      <c r="D374" s="143" t="s">
        <v>7</v>
      </c>
      <c r="E374" s="142"/>
      <c r="F374" s="142"/>
    </row>
    <row r="375" spans="1:6" s="113" customFormat="1" x14ac:dyDescent="0.25">
      <c r="A375" s="141">
        <v>850</v>
      </c>
      <c r="B375" s="142" t="s">
        <v>266</v>
      </c>
      <c r="C375" s="143" t="s">
        <v>44</v>
      </c>
      <c r="D375" s="143" t="s">
        <v>148</v>
      </c>
      <c r="E375" s="142"/>
      <c r="F375" s="142"/>
    </row>
    <row r="376" spans="1:6" s="113" customFormat="1" x14ac:dyDescent="0.25">
      <c r="A376" s="141">
        <v>852</v>
      </c>
      <c r="B376" s="142" t="s">
        <v>267</v>
      </c>
      <c r="C376" s="143" t="s">
        <v>64</v>
      </c>
      <c r="D376" s="143" t="s">
        <v>156</v>
      </c>
      <c r="E376" s="142"/>
      <c r="F376" s="142"/>
    </row>
    <row r="377" spans="1:6" s="113" customFormat="1" x14ac:dyDescent="0.25">
      <c r="A377" s="141">
        <v>853</v>
      </c>
      <c r="B377" s="142" t="s">
        <v>1775</v>
      </c>
      <c r="C377" s="143" t="s">
        <v>41</v>
      </c>
      <c r="D377" s="143" t="s">
        <v>11</v>
      </c>
      <c r="E377" s="142"/>
      <c r="F377" s="142"/>
    </row>
    <row r="378" spans="1:6" s="113" customFormat="1" x14ac:dyDescent="0.25">
      <c r="A378" s="141">
        <v>854</v>
      </c>
      <c r="B378" s="142" t="s">
        <v>1776</v>
      </c>
      <c r="C378" s="143" t="s">
        <v>24</v>
      </c>
      <c r="D378" s="143" t="s">
        <v>288</v>
      </c>
      <c r="E378" s="142"/>
      <c r="F378" s="142"/>
    </row>
    <row r="379" spans="1:6" s="113" customFormat="1" ht="26.25" x14ac:dyDescent="0.25">
      <c r="A379" s="141">
        <v>855</v>
      </c>
      <c r="B379" s="142" t="s">
        <v>1777</v>
      </c>
      <c r="C379" s="143" t="s">
        <v>16</v>
      </c>
      <c r="D379" s="143" t="s">
        <v>154</v>
      </c>
      <c r="E379" s="142"/>
      <c r="F379" s="142"/>
    </row>
    <row r="380" spans="1:6" s="113" customFormat="1" x14ac:dyDescent="0.25">
      <c r="A380" s="141">
        <v>858</v>
      </c>
      <c r="B380" s="142" t="s">
        <v>1778</v>
      </c>
      <c r="C380" s="143" t="s">
        <v>38</v>
      </c>
      <c r="D380" s="143" t="s">
        <v>148</v>
      </c>
      <c r="E380" s="142"/>
      <c r="F380" s="142"/>
    </row>
    <row r="381" spans="1:6" s="113" customFormat="1" ht="26.25" x14ac:dyDescent="0.25">
      <c r="A381" s="141">
        <v>861</v>
      </c>
      <c r="B381" s="142" t="s">
        <v>1779</v>
      </c>
      <c r="C381" s="143" t="s">
        <v>16</v>
      </c>
      <c r="D381" s="143" t="s">
        <v>154</v>
      </c>
      <c r="E381" s="142"/>
      <c r="F381" s="142"/>
    </row>
    <row r="382" spans="1:6" s="113" customFormat="1" ht="26.25" x14ac:dyDescent="0.25">
      <c r="A382" s="141">
        <v>862</v>
      </c>
      <c r="B382" s="142" t="s">
        <v>1780</v>
      </c>
      <c r="C382" s="143" t="s">
        <v>6</v>
      </c>
      <c r="D382" s="143" t="s">
        <v>154</v>
      </c>
      <c r="E382" s="142"/>
      <c r="F382" s="142"/>
    </row>
    <row r="383" spans="1:6" s="113" customFormat="1" x14ac:dyDescent="0.25">
      <c r="A383" s="141">
        <v>863</v>
      </c>
      <c r="B383" s="142" t="s">
        <v>1781</v>
      </c>
      <c r="C383" s="143" t="s">
        <v>63</v>
      </c>
      <c r="D383" s="143" t="s">
        <v>242</v>
      </c>
      <c r="E383" s="142"/>
      <c r="F383" s="142"/>
    </row>
    <row r="384" spans="1:6" s="113" customFormat="1" ht="26.25" x14ac:dyDescent="0.25">
      <c r="A384" s="141">
        <v>865</v>
      </c>
      <c r="B384" s="142" t="s">
        <v>270</v>
      </c>
      <c r="C384" s="143" t="s">
        <v>157</v>
      </c>
      <c r="D384" s="143" t="s">
        <v>7</v>
      </c>
      <c r="E384" s="142"/>
      <c r="F384" s="142"/>
    </row>
    <row r="385" spans="1:6" s="113" customFormat="1" x14ac:dyDescent="0.25">
      <c r="A385" s="141">
        <v>866</v>
      </c>
      <c r="B385" s="142" t="s">
        <v>271</v>
      </c>
      <c r="C385" s="143" t="s">
        <v>140</v>
      </c>
      <c r="D385" s="143" t="s">
        <v>7</v>
      </c>
      <c r="E385" s="142"/>
      <c r="F385" s="142"/>
    </row>
    <row r="386" spans="1:6" s="113" customFormat="1" x14ac:dyDescent="0.25">
      <c r="A386" s="141">
        <v>867</v>
      </c>
      <c r="B386" s="142" t="s">
        <v>1782</v>
      </c>
      <c r="C386" s="143" t="s">
        <v>41</v>
      </c>
      <c r="D386" s="143" t="s">
        <v>154</v>
      </c>
      <c r="E386" s="142"/>
      <c r="F386" s="142"/>
    </row>
    <row r="387" spans="1:6" s="113" customFormat="1" x14ac:dyDescent="0.25">
      <c r="A387" s="141">
        <v>868</v>
      </c>
      <c r="B387" s="142" t="s">
        <v>1783</v>
      </c>
      <c r="C387" s="143" t="s">
        <v>44</v>
      </c>
      <c r="D387" s="143" t="s">
        <v>148</v>
      </c>
      <c r="E387" s="142"/>
      <c r="F387" s="142"/>
    </row>
    <row r="388" spans="1:6" s="113" customFormat="1" ht="26.25" x14ac:dyDescent="0.25">
      <c r="A388" s="141">
        <v>869</v>
      </c>
      <c r="B388" s="142" t="s">
        <v>1784</v>
      </c>
      <c r="C388" s="143" t="s">
        <v>144</v>
      </c>
      <c r="D388" s="143" t="s">
        <v>173</v>
      </c>
      <c r="E388" s="142"/>
      <c r="F388" s="142"/>
    </row>
    <row r="389" spans="1:6" s="113" customFormat="1" ht="26.25" x14ac:dyDescent="0.25">
      <c r="A389" s="141">
        <v>870</v>
      </c>
      <c r="B389" s="142" t="s">
        <v>1785</v>
      </c>
      <c r="C389" s="143" t="s">
        <v>914</v>
      </c>
      <c r="D389" s="143" t="s">
        <v>242</v>
      </c>
      <c r="E389" s="142"/>
      <c r="F389" s="142"/>
    </row>
    <row r="390" spans="1:6" s="113" customFormat="1" x14ac:dyDescent="0.25">
      <c r="A390" s="190">
        <v>872</v>
      </c>
      <c r="B390" s="188" t="s">
        <v>2564</v>
      </c>
      <c r="C390" s="606"/>
      <c r="D390" s="606"/>
      <c r="E390" s="606"/>
      <c r="F390" s="606"/>
    </row>
    <row r="391" spans="1:6" s="113" customFormat="1" x14ac:dyDescent="0.25">
      <c r="A391" s="141">
        <v>873</v>
      </c>
      <c r="B391" s="142" t="s">
        <v>1786</v>
      </c>
      <c r="C391" s="149" t="s">
        <v>67</v>
      </c>
      <c r="D391" s="143" t="s">
        <v>242</v>
      </c>
      <c r="E391" s="142"/>
      <c r="F391" s="142"/>
    </row>
    <row r="392" spans="1:6" s="113" customFormat="1" x14ac:dyDescent="0.25">
      <c r="A392" s="141">
        <v>874</v>
      </c>
      <c r="B392" s="142" t="s">
        <v>272</v>
      </c>
      <c r="C392" s="149" t="s">
        <v>67</v>
      </c>
      <c r="D392" s="143" t="s">
        <v>7</v>
      </c>
      <c r="E392" s="142"/>
      <c r="F392" s="142"/>
    </row>
    <row r="393" spans="1:6" s="113" customFormat="1" ht="26.25" x14ac:dyDescent="0.25">
      <c r="A393" s="141">
        <v>875</v>
      </c>
      <c r="B393" s="142" t="s">
        <v>273</v>
      </c>
      <c r="C393" s="143" t="s">
        <v>64</v>
      </c>
      <c r="D393" s="143" t="s">
        <v>1787</v>
      </c>
      <c r="E393" s="142"/>
      <c r="F393" s="142"/>
    </row>
    <row r="394" spans="1:6" s="113" customFormat="1" x14ac:dyDescent="0.25">
      <c r="A394" s="141">
        <v>880</v>
      </c>
      <c r="B394" s="142" t="s">
        <v>274</v>
      </c>
      <c r="C394" s="149" t="s">
        <v>67</v>
      </c>
      <c r="D394" s="143" t="s">
        <v>150</v>
      </c>
      <c r="E394" s="142"/>
      <c r="F394" s="142"/>
    </row>
    <row r="395" spans="1:6" s="113" customFormat="1" x14ac:dyDescent="0.25">
      <c r="A395" s="141">
        <v>881</v>
      </c>
      <c r="B395" s="142" t="s">
        <v>275</v>
      </c>
      <c r="C395" s="143" t="s">
        <v>44</v>
      </c>
      <c r="D395" s="143" t="s">
        <v>148</v>
      </c>
      <c r="E395" s="142"/>
      <c r="F395" s="142"/>
    </row>
    <row r="396" spans="1:6" s="113" customFormat="1" x14ac:dyDescent="0.25">
      <c r="A396" s="141">
        <v>882</v>
      </c>
      <c r="B396" s="142" t="s">
        <v>1788</v>
      </c>
      <c r="C396" s="143" t="s">
        <v>12</v>
      </c>
      <c r="D396" s="143" t="s">
        <v>1105</v>
      </c>
      <c r="E396" s="142"/>
      <c r="F396" s="142"/>
    </row>
    <row r="397" spans="1:6" s="113" customFormat="1" x14ac:dyDescent="0.25">
      <c r="A397" s="141">
        <v>883</v>
      </c>
      <c r="B397" s="142" t="s">
        <v>276</v>
      </c>
      <c r="C397" s="143" t="s">
        <v>44</v>
      </c>
      <c r="D397" s="143" t="s">
        <v>11</v>
      </c>
      <c r="E397" s="142"/>
      <c r="F397" s="142"/>
    </row>
    <row r="398" spans="1:6" s="113" customFormat="1" x14ac:dyDescent="0.25">
      <c r="A398" s="141">
        <v>884</v>
      </c>
      <c r="B398" s="142" t="s">
        <v>1789</v>
      </c>
      <c r="C398" s="143" t="s">
        <v>38</v>
      </c>
      <c r="D398" s="143" t="s">
        <v>109</v>
      </c>
      <c r="E398" s="142"/>
      <c r="F398" s="142"/>
    </row>
    <row r="399" spans="1:6" s="113" customFormat="1" x14ac:dyDescent="0.25">
      <c r="A399" s="141">
        <v>885</v>
      </c>
      <c r="B399" s="142" t="s">
        <v>277</v>
      </c>
      <c r="C399" s="143" t="s">
        <v>140</v>
      </c>
      <c r="D399" s="143" t="s">
        <v>148</v>
      </c>
      <c r="E399" s="142"/>
      <c r="F399" s="142"/>
    </row>
    <row r="400" spans="1:6" s="113" customFormat="1" ht="26.25" x14ac:dyDescent="0.25">
      <c r="A400" s="141">
        <v>891</v>
      </c>
      <c r="B400" s="142" t="s">
        <v>278</v>
      </c>
      <c r="C400" s="143" t="s">
        <v>16</v>
      </c>
      <c r="D400" s="143" t="s">
        <v>302</v>
      </c>
      <c r="E400" s="142"/>
      <c r="F400" s="142"/>
    </row>
    <row r="401" spans="1:6" s="113" customFormat="1" x14ac:dyDescent="0.25">
      <c r="A401" s="141">
        <v>892</v>
      </c>
      <c r="B401" s="142" t="s">
        <v>1790</v>
      </c>
      <c r="C401" s="143" t="s">
        <v>38</v>
      </c>
      <c r="D401" s="143" t="s">
        <v>453</v>
      </c>
      <c r="E401" s="142"/>
      <c r="F401" s="142"/>
    </row>
    <row r="402" spans="1:6" s="113" customFormat="1" ht="26.25" x14ac:dyDescent="0.25">
      <c r="A402" s="141">
        <v>893</v>
      </c>
      <c r="B402" s="142" t="s">
        <v>1791</v>
      </c>
      <c r="C402" s="143" t="s">
        <v>16</v>
      </c>
      <c r="D402" s="143" t="s">
        <v>154</v>
      </c>
      <c r="E402" s="142"/>
      <c r="F402" s="142"/>
    </row>
    <row r="403" spans="1:6" s="113" customFormat="1" ht="26.25" x14ac:dyDescent="0.25">
      <c r="A403" s="141">
        <v>894</v>
      </c>
      <c r="B403" s="142" t="s">
        <v>279</v>
      </c>
      <c r="C403" s="143" t="s">
        <v>16</v>
      </c>
      <c r="D403" s="143" t="s">
        <v>302</v>
      </c>
      <c r="E403" s="142"/>
      <c r="F403" s="142"/>
    </row>
    <row r="404" spans="1:6" s="113" customFormat="1" ht="26.25" x14ac:dyDescent="0.25">
      <c r="A404" s="141">
        <v>898</v>
      </c>
      <c r="B404" s="142" t="s">
        <v>280</v>
      </c>
      <c r="C404" s="143" t="s">
        <v>16</v>
      </c>
      <c r="D404" s="143" t="s">
        <v>154</v>
      </c>
      <c r="E404" s="142"/>
      <c r="F404" s="142"/>
    </row>
    <row r="405" spans="1:6" s="113" customFormat="1" x14ac:dyDescent="0.25">
      <c r="A405" s="141">
        <v>905</v>
      </c>
      <c r="B405" s="142" t="s">
        <v>1792</v>
      </c>
      <c r="C405" s="143" t="s">
        <v>38</v>
      </c>
      <c r="D405" s="143" t="s">
        <v>11</v>
      </c>
      <c r="E405" s="142"/>
      <c r="F405" s="142"/>
    </row>
    <row r="406" spans="1:6" s="113" customFormat="1" x14ac:dyDescent="0.25">
      <c r="A406" s="141">
        <v>906</v>
      </c>
      <c r="B406" s="142" t="s">
        <v>1793</v>
      </c>
      <c r="C406" s="143" t="s">
        <v>64</v>
      </c>
      <c r="D406" s="143" t="s">
        <v>228</v>
      </c>
      <c r="E406" s="142"/>
      <c r="F406" s="142"/>
    </row>
    <row r="407" spans="1:6" s="113" customFormat="1" x14ac:dyDescent="0.25">
      <c r="A407" s="141">
        <v>907</v>
      </c>
      <c r="B407" s="142" t="s">
        <v>281</v>
      </c>
      <c r="C407" s="143" t="s">
        <v>17</v>
      </c>
      <c r="D407" s="143" t="s">
        <v>116</v>
      </c>
      <c r="E407" s="142"/>
      <c r="F407" s="142"/>
    </row>
    <row r="408" spans="1:6" s="113" customFormat="1" ht="26.25" x14ac:dyDescent="0.25">
      <c r="A408" s="141">
        <v>909</v>
      </c>
      <c r="B408" s="142" t="s">
        <v>282</v>
      </c>
      <c r="C408" s="143" t="s">
        <v>914</v>
      </c>
      <c r="D408" s="143" t="s">
        <v>116</v>
      </c>
      <c r="E408" s="142"/>
      <c r="F408" s="142"/>
    </row>
    <row r="409" spans="1:6" s="113" customFormat="1" x14ac:dyDescent="0.25">
      <c r="A409" s="141">
        <v>910</v>
      </c>
      <c r="B409" s="142" t="s">
        <v>283</v>
      </c>
      <c r="C409" s="149" t="s">
        <v>67</v>
      </c>
      <c r="D409" s="143" t="s">
        <v>1794</v>
      </c>
      <c r="E409" s="142"/>
      <c r="F409" s="142"/>
    </row>
    <row r="410" spans="1:6" s="113" customFormat="1" x14ac:dyDescent="0.25">
      <c r="A410" s="141">
        <v>911</v>
      </c>
      <c r="B410" s="142" t="s">
        <v>284</v>
      </c>
      <c r="C410" s="143" t="s">
        <v>47</v>
      </c>
      <c r="D410" s="143" t="s">
        <v>179</v>
      </c>
      <c r="E410" s="142"/>
      <c r="F410" s="142"/>
    </row>
    <row r="411" spans="1:6" s="113" customFormat="1" x14ac:dyDescent="0.25">
      <c r="A411" s="141">
        <v>912</v>
      </c>
      <c r="B411" s="142" t="s">
        <v>285</v>
      </c>
      <c r="C411" s="143" t="s">
        <v>24</v>
      </c>
      <c r="D411" s="143" t="s">
        <v>268</v>
      </c>
      <c r="E411" s="142"/>
      <c r="F411" s="142"/>
    </row>
    <row r="412" spans="1:6" s="113" customFormat="1" ht="26.25" x14ac:dyDescent="0.25">
      <c r="A412" s="141">
        <v>916</v>
      </c>
      <c r="B412" s="142" t="s">
        <v>1795</v>
      </c>
      <c r="C412" s="143" t="s">
        <v>8</v>
      </c>
      <c r="D412" s="143" t="s">
        <v>7</v>
      </c>
      <c r="E412" s="142"/>
      <c r="F412" s="142"/>
    </row>
    <row r="413" spans="1:6" s="113" customFormat="1" ht="26.25" x14ac:dyDescent="0.25">
      <c r="A413" s="141">
        <v>921</v>
      </c>
      <c r="B413" s="142" t="s">
        <v>286</v>
      </c>
      <c r="C413" s="143" t="s">
        <v>16</v>
      </c>
      <c r="D413" s="143" t="s">
        <v>302</v>
      </c>
      <c r="E413" s="142"/>
      <c r="F413" s="142"/>
    </row>
    <row r="414" spans="1:6" s="113" customFormat="1" x14ac:dyDescent="0.25">
      <c r="A414" s="141">
        <v>922</v>
      </c>
      <c r="B414" s="142" t="s">
        <v>1796</v>
      </c>
      <c r="C414" s="143" t="s">
        <v>64</v>
      </c>
      <c r="D414" s="143" t="s">
        <v>228</v>
      </c>
      <c r="E414" s="142"/>
      <c r="F414" s="142"/>
    </row>
    <row r="415" spans="1:6" s="113" customFormat="1" x14ac:dyDescent="0.25">
      <c r="A415" s="141">
        <v>923</v>
      </c>
      <c r="B415" s="142" t="s">
        <v>287</v>
      </c>
      <c r="C415" s="143" t="s">
        <v>38</v>
      </c>
      <c r="D415" s="143" t="s">
        <v>7</v>
      </c>
      <c r="E415" s="142"/>
      <c r="F415" s="142"/>
    </row>
    <row r="416" spans="1:6" s="113" customFormat="1" x14ac:dyDescent="0.25">
      <c r="A416" s="141">
        <v>926</v>
      </c>
      <c r="B416" s="142" t="s">
        <v>1797</v>
      </c>
      <c r="C416" s="143" t="s">
        <v>140</v>
      </c>
      <c r="D416" s="143" t="s">
        <v>109</v>
      </c>
      <c r="E416" s="142"/>
      <c r="F416" s="142"/>
    </row>
    <row r="417" spans="1:8" s="113" customFormat="1" x14ac:dyDescent="0.25">
      <c r="A417" s="141">
        <v>930</v>
      </c>
      <c r="B417" s="142" t="s">
        <v>1798</v>
      </c>
      <c r="C417" s="143" t="s">
        <v>1455</v>
      </c>
      <c r="D417" s="143" t="s">
        <v>150</v>
      </c>
      <c r="E417" s="250"/>
      <c r="F417" s="250"/>
    </row>
    <row r="418" spans="1:8" s="113" customFormat="1" ht="26.25" x14ac:dyDescent="0.25">
      <c r="A418" s="141">
        <v>934</v>
      </c>
      <c r="B418" s="142" t="s">
        <v>1799</v>
      </c>
      <c r="C418" s="143" t="s">
        <v>22</v>
      </c>
      <c r="D418" s="143" t="s">
        <v>268</v>
      </c>
      <c r="E418" s="142"/>
      <c r="F418" s="142"/>
    </row>
    <row r="419" spans="1:8" s="113" customFormat="1" ht="26.25" x14ac:dyDescent="0.25">
      <c r="A419" s="141">
        <v>935</v>
      </c>
      <c r="B419" s="142" t="s">
        <v>1800</v>
      </c>
      <c r="C419" s="143" t="s">
        <v>6</v>
      </c>
      <c r="D419" s="143" t="s">
        <v>154</v>
      </c>
      <c r="E419" s="142"/>
      <c r="F419" s="142"/>
    </row>
    <row r="420" spans="1:8" s="113" customFormat="1" ht="26.25" x14ac:dyDescent="0.25">
      <c r="A420" s="141">
        <v>936</v>
      </c>
      <c r="B420" s="142" t="s">
        <v>289</v>
      </c>
      <c r="C420" s="143" t="s">
        <v>6</v>
      </c>
      <c r="D420" s="143" t="s">
        <v>11</v>
      </c>
      <c r="E420" s="142"/>
      <c r="F420" s="142"/>
    </row>
    <row r="421" spans="1:8" s="113" customFormat="1" x14ac:dyDescent="0.25">
      <c r="A421" s="141">
        <v>938</v>
      </c>
      <c r="B421" s="142" t="s">
        <v>291</v>
      </c>
      <c r="C421" s="143" t="s">
        <v>24</v>
      </c>
      <c r="D421" s="143" t="s">
        <v>268</v>
      </c>
      <c r="E421" s="142"/>
      <c r="F421" s="142"/>
    </row>
    <row r="422" spans="1:8" s="113" customFormat="1" x14ac:dyDescent="0.25">
      <c r="A422" s="141">
        <v>939</v>
      </c>
      <c r="B422" s="142" t="s">
        <v>1801</v>
      </c>
      <c r="C422" s="143" t="s">
        <v>47</v>
      </c>
      <c r="D422" s="143" t="s">
        <v>179</v>
      </c>
      <c r="E422" s="142"/>
      <c r="F422" s="142"/>
    </row>
    <row r="423" spans="1:8" s="113" customFormat="1" x14ac:dyDescent="0.25">
      <c r="A423" s="141">
        <v>940</v>
      </c>
      <c r="B423" s="142" t="s">
        <v>1802</v>
      </c>
      <c r="C423" s="143" t="s">
        <v>38</v>
      </c>
      <c r="D423" s="143" t="s">
        <v>7</v>
      </c>
      <c r="E423" s="142"/>
      <c r="F423" s="142"/>
    </row>
    <row r="424" spans="1:8" s="113" customFormat="1" x14ac:dyDescent="0.25">
      <c r="A424" s="141">
        <v>943</v>
      </c>
      <c r="B424" s="142" t="s">
        <v>1803</v>
      </c>
      <c r="C424" s="143" t="s">
        <v>24</v>
      </c>
      <c r="D424" s="143" t="s">
        <v>268</v>
      </c>
      <c r="E424" s="142"/>
      <c r="F424" s="142"/>
    </row>
    <row r="425" spans="1:8" s="113" customFormat="1" x14ac:dyDescent="0.25">
      <c r="A425" s="141">
        <v>945</v>
      </c>
      <c r="B425" s="142" t="s">
        <v>292</v>
      </c>
      <c r="C425" s="143" t="s">
        <v>38</v>
      </c>
      <c r="D425" s="143" t="s">
        <v>148</v>
      </c>
      <c r="E425" s="142"/>
      <c r="F425" s="142"/>
    </row>
    <row r="426" spans="1:8" s="113" customFormat="1" x14ac:dyDescent="0.25">
      <c r="A426" s="141">
        <v>949</v>
      </c>
      <c r="B426" s="142" t="s">
        <v>1804</v>
      </c>
      <c r="C426" s="143" t="s">
        <v>24</v>
      </c>
      <c r="D426" s="143" t="s">
        <v>37</v>
      </c>
      <c r="E426" s="142"/>
      <c r="F426" s="142"/>
    </row>
    <row r="427" spans="1:8" s="113" customFormat="1" x14ac:dyDescent="0.25">
      <c r="A427" s="141">
        <v>950</v>
      </c>
      <c r="B427" s="142" t="s">
        <v>1805</v>
      </c>
      <c r="C427" s="143" t="s">
        <v>64</v>
      </c>
      <c r="D427" s="143" t="s">
        <v>1806</v>
      </c>
      <c r="E427" s="142"/>
      <c r="F427" s="142"/>
    </row>
    <row r="428" spans="1:8" s="113" customFormat="1" x14ac:dyDescent="0.25">
      <c r="A428" s="141">
        <v>953</v>
      </c>
      <c r="B428" s="142" t="s">
        <v>293</v>
      </c>
      <c r="C428" s="149" t="s">
        <v>67</v>
      </c>
      <c r="D428" s="143" t="s">
        <v>415</v>
      </c>
      <c r="E428" s="142"/>
      <c r="F428" s="142"/>
    </row>
    <row r="429" spans="1:8" s="113" customFormat="1" x14ac:dyDescent="0.25">
      <c r="A429" s="141">
        <v>954</v>
      </c>
      <c r="B429" s="142" t="s">
        <v>294</v>
      </c>
      <c r="C429" s="143" t="s">
        <v>73</v>
      </c>
      <c r="D429" s="143" t="s">
        <v>302</v>
      </c>
      <c r="E429" s="142"/>
      <c r="F429" s="142"/>
    </row>
    <row r="430" spans="1:8" s="113" customFormat="1" ht="27" thickBot="1" x14ac:dyDescent="0.3">
      <c r="A430" s="295">
        <v>955</v>
      </c>
      <c r="B430" s="291" t="s">
        <v>295</v>
      </c>
      <c r="C430" s="292" t="s">
        <v>96</v>
      </c>
      <c r="D430" s="292" t="s">
        <v>7</v>
      </c>
      <c r="E430" s="291"/>
      <c r="F430" s="291"/>
    </row>
    <row r="431" spans="1:8" s="113" customFormat="1" x14ac:dyDescent="0.25">
      <c r="A431" s="236">
        <v>956</v>
      </c>
      <c r="B431" s="239" t="s">
        <v>1807</v>
      </c>
      <c r="C431" s="242" t="s">
        <v>63</v>
      </c>
      <c r="D431" s="242" t="s">
        <v>242</v>
      </c>
      <c r="E431" s="239"/>
      <c r="F431" s="239"/>
      <c r="G431" s="277"/>
      <c r="H431" s="252"/>
    </row>
    <row r="432" spans="1:8" s="113" customFormat="1" x14ac:dyDescent="0.25">
      <c r="A432" s="233">
        <v>957</v>
      </c>
      <c r="B432" s="142" t="s">
        <v>296</v>
      </c>
      <c r="C432" s="143" t="s">
        <v>38</v>
      </c>
      <c r="D432" s="251" t="s">
        <v>1808</v>
      </c>
      <c r="E432" s="142"/>
      <c r="F432" s="142"/>
      <c r="G432" s="606"/>
    </row>
    <row r="433" spans="1:8" s="113" customFormat="1" ht="26.25" x14ac:dyDescent="0.25">
      <c r="A433" s="233">
        <v>959</v>
      </c>
      <c r="B433" s="142" t="s">
        <v>1809</v>
      </c>
      <c r="C433" s="143" t="s">
        <v>144</v>
      </c>
      <c r="D433" s="143" t="s">
        <v>7</v>
      </c>
      <c r="E433" s="142"/>
      <c r="F433" s="142"/>
      <c r="G433" s="606"/>
    </row>
    <row r="434" spans="1:8" s="113" customFormat="1" x14ac:dyDescent="0.25">
      <c r="A434" s="233">
        <v>960</v>
      </c>
      <c r="B434" s="142" t="s">
        <v>297</v>
      </c>
      <c r="C434" s="143" t="s">
        <v>140</v>
      </c>
      <c r="D434" s="143" t="s">
        <v>109</v>
      </c>
      <c r="E434" s="142"/>
      <c r="F434" s="142"/>
      <c r="G434" s="606"/>
    </row>
    <row r="435" spans="1:8" s="113" customFormat="1" x14ac:dyDescent="0.25">
      <c r="A435" s="233">
        <v>961</v>
      </c>
      <c r="B435" s="142" t="s">
        <v>1810</v>
      </c>
      <c r="C435" s="143" t="s">
        <v>64</v>
      </c>
      <c r="D435" s="143" t="s">
        <v>228</v>
      </c>
      <c r="E435" s="142"/>
      <c r="F435" s="142"/>
      <c r="G435" s="606"/>
    </row>
    <row r="436" spans="1:8" s="113" customFormat="1" x14ac:dyDescent="0.25">
      <c r="A436" s="233">
        <v>962</v>
      </c>
      <c r="B436" s="142" t="s">
        <v>1811</v>
      </c>
      <c r="C436" s="143" t="s">
        <v>47</v>
      </c>
      <c r="D436" s="143" t="s">
        <v>179</v>
      </c>
      <c r="E436" s="142"/>
      <c r="F436" s="142"/>
      <c r="G436" s="606"/>
    </row>
    <row r="437" spans="1:8" s="113" customFormat="1" x14ac:dyDescent="0.25">
      <c r="A437" s="233">
        <v>964</v>
      </c>
      <c r="B437" s="142" t="s">
        <v>298</v>
      </c>
      <c r="C437" s="143" t="s">
        <v>12</v>
      </c>
      <c r="D437" s="143" t="s">
        <v>1105</v>
      </c>
      <c r="E437" s="142"/>
      <c r="F437" s="142"/>
      <c r="G437" s="606"/>
    </row>
    <row r="438" spans="1:8" s="113" customFormat="1" x14ac:dyDescent="0.25">
      <c r="A438" s="233">
        <v>966</v>
      </c>
      <c r="B438" s="142" t="s">
        <v>1812</v>
      </c>
      <c r="C438" s="143" t="s">
        <v>41</v>
      </c>
      <c r="D438" s="143" t="s">
        <v>11</v>
      </c>
      <c r="E438" s="142"/>
      <c r="F438" s="142"/>
      <c r="G438" s="606"/>
      <c r="H438" s="226"/>
    </row>
    <row r="439" spans="1:8" s="113" customFormat="1" ht="26.25" x14ac:dyDescent="0.25">
      <c r="A439" s="233">
        <v>968</v>
      </c>
      <c r="B439" s="142" t="s">
        <v>1346</v>
      </c>
      <c r="C439" s="143" t="s">
        <v>20</v>
      </c>
      <c r="D439" s="251" t="s">
        <v>11</v>
      </c>
      <c r="E439" s="142"/>
      <c r="F439" s="142"/>
      <c r="G439" s="189"/>
      <c r="H439" s="226"/>
    </row>
    <row r="440" spans="1:8" s="113" customFormat="1" x14ac:dyDescent="0.25">
      <c r="A440" s="233">
        <v>969</v>
      </c>
      <c r="B440" s="142" t="s">
        <v>1813</v>
      </c>
      <c r="C440" s="143" t="s">
        <v>64</v>
      </c>
      <c r="D440" s="143" t="s">
        <v>1133</v>
      </c>
      <c r="E440" s="142"/>
      <c r="F440" s="142"/>
      <c r="G440" s="189"/>
      <c r="H440" s="226"/>
    </row>
    <row r="441" spans="1:8" s="113" customFormat="1" x14ac:dyDescent="0.25">
      <c r="A441" s="233">
        <v>971</v>
      </c>
      <c r="B441" s="142" t="s">
        <v>1814</v>
      </c>
      <c r="C441" s="143" t="s">
        <v>44</v>
      </c>
      <c r="D441" s="143" t="s">
        <v>148</v>
      </c>
      <c r="E441" s="142"/>
      <c r="F441" s="142"/>
      <c r="G441" s="189"/>
      <c r="H441" s="226"/>
    </row>
    <row r="442" spans="1:8" s="113" customFormat="1" x14ac:dyDescent="0.25">
      <c r="A442" s="233">
        <v>972</v>
      </c>
      <c r="B442" s="142" t="s">
        <v>299</v>
      </c>
      <c r="C442" s="143" t="s">
        <v>140</v>
      </c>
      <c r="D442" s="143" t="s">
        <v>453</v>
      </c>
      <c r="E442" s="142"/>
      <c r="F442" s="142"/>
      <c r="G442" s="189"/>
      <c r="H442" s="226"/>
    </row>
    <row r="443" spans="1:8" s="113" customFormat="1" x14ac:dyDescent="0.25">
      <c r="A443" s="296">
        <v>973</v>
      </c>
      <c r="B443" s="187" t="s">
        <v>2698</v>
      </c>
      <c r="C443" s="606"/>
      <c r="D443" s="606"/>
      <c r="E443" s="606"/>
      <c r="F443" s="606"/>
      <c r="G443" s="189"/>
      <c r="H443" s="226"/>
    </row>
    <row r="444" spans="1:8" s="113" customFormat="1" ht="26.25" x14ac:dyDescent="0.25">
      <c r="A444" s="233">
        <v>974</v>
      </c>
      <c r="B444" s="142" t="s">
        <v>300</v>
      </c>
      <c r="C444" s="143" t="s">
        <v>16</v>
      </c>
      <c r="D444" s="143" t="s">
        <v>7</v>
      </c>
      <c r="E444" s="142"/>
      <c r="F444" s="142"/>
      <c r="G444" s="189"/>
      <c r="H444" s="226"/>
    </row>
    <row r="445" spans="1:8" s="113" customFormat="1" ht="27" thickBot="1" x14ac:dyDescent="0.3">
      <c r="A445" s="235">
        <v>975</v>
      </c>
      <c r="B445" s="238" t="s">
        <v>1815</v>
      </c>
      <c r="C445" s="241" t="s">
        <v>101</v>
      </c>
      <c r="D445" s="241" t="s">
        <v>1591</v>
      </c>
      <c r="E445" s="238"/>
      <c r="F445" s="238"/>
      <c r="G445" s="297"/>
      <c r="H445" s="253"/>
    </row>
    <row r="446" spans="1:8" s="113" customFormat="1" ht="26.25" x14ac:dyDescent="0.25">
      <c r="A446" s="234">
        <v>976</v>
      </c>
      <c r="B446" s="237" t="s">
        <v>1816</v>
      </c>
      <c r="C446" s="240" t="s">
        <v>6</v>
      </c>
      <c r="D446" s="240" t="s">
        <v>7</v>
      </c>
      <c r="E446" s="237"/>
      <c r="F446" s="237"/>
      <c r="G446" s="226"/>
      <c r="H446" s="226"/>
    </row>
    <row r="447" spans="1:8" s="113" customFormat="1" ht="26.25" x14ac:dyDescent="0.25">
      <c r="A447" s="141">
        <v>980</v>
      </c>
      <c r="B447" s="142" t="s">
        <v>301</v>
      </c>
      <c r="C447" s="143" t="s">
        <v>20</v>
      </c>
      <c r="D447" s="143" t="s">
        <v>116</v>
      </c>
      <c r="E447" s="142"/>
      <c r="F447" s="142"/>
      <c r="G447" s="226"/>
      <c r="H447" s="226"/>
    </row>
    <row r="448" spans="1:8" s="113" customFormat="1" x14ac:dyDescent="0.25">
      <c r="A448" s="141">
        <v>981</v>
      </c>
      <c r="B448" s="142" t="s">
        <v>1817</v>
      </c>
      <c r="C448" s="143" t="s">
        <v>1455</v>
      </c>
      <c r="D448" s="143" t="s">
        <v>415</v>
      </c>
      <c r="E448" s="142"/>
      <c r="F448" s="142"/>
      <c r="G448" s="226"/>
      <c r="H448" s="226"/>
    </row>
    <row r="449" spans="1:8" s="113" customFormat="1" ht="26.25" x14ac:dyDescent="0.25">
      <c r="A449" s="141">
        <v>983</v>
      </c>
      <c r="B449" s="142" t="s">
        <v>303</v>
      </c>
      <c r="C449" s="143" t="s">
        <v>22</v>
      </c>
      <c r="D449" s="143" t="s">
        <v>501</v>
      </c>
      <c r="E449" s="142"/>
      <c r="F449" s="142"/>
      <c r="G449" s="226"/>
      <c r="H449" s="226"/>
    </row>
    <row r="450" spans="1:8" s="113" customFormat="1" ht="39" x14ac:dyDescent="0.25">
      <c r="A450" s="141">
        <v>984</v>
      </c>
      <c r="B450" s="142" t="s">
        <v>1818</v>
      </c>
      <c r="C450" s="143" t="s">
        <v>1590</v>
      </c>
      <c r="D450" s="143" t="s">
        <v>1819</v>
      </c>
      <c r="E450" s="142"/>
      <c r="F450" s="142"/>
      <c r="G450" s="226"/>
      <c r="H450" s="226"/>
    </row>
    <row r="451" spans="1:8" s="113" customFormat="1" ht="26.25" x14ac:dyDescent="0.25">
      <c r="A451" s="141">
        <v>987</v>
      </c>
      <c r="B451" s="142" t="s">
        <v>304</v>
      </c>
      <c r="C451" s="143" t="s">
        <v>20</v>
      </c>
      <c r="D451" s="143" t="s">
        <v>150</v>
      </c>
      <c r="E451" s="142"/>
      <c r="F451" s="142"/>
      <c r="G451" s="226"/>
      <c r="H451" s="226"/>
    </row>
    <row r="452" spans="1:8" s="113" customFormat="1" x14ac:dyDescent="0.25">
      <c r="A452" s="141">
        <v>988</v>
      </c>
      <c r="B452" s="142" t="s">
        <v>1820</v>
      </c>
      <c r="C452" s="143" t="s">
        <v>47</v>
      </c>
      <c r="D452" s="143" t="s">
        <v>179</v>
      </c>
      <c r="E452" s="142"/>
      <c r="F452" s="142"/>
      <c r="G452" s="226"/>
      <c r="H452" s="226"/>
    </row>
    <row r="453" spans="1:8" s="113" customFormat="1" x14ac:dyDescent="0.25">
      <c r="A453" s="141">
        <v>989</v>
      </c>
      <c r="B453" s="142" t="s">
        <v>2561</v>
      </c>
      <c r="C453" s="149" t="s">
        <v>67</v>
      </c>
      <c r="D453" s="143" t="s">
        <v>37</v>
      </c>
      <c r="E453" s="142"/>
      <c r="F453" s="142"/>
      <c r="H453" s="226"/>
    </row>
    <row r="454" spans="1:8" s="113" customFormat="1" x14ac:dyDescent="0.25">
      <c r="A454" s="141">
        <v>990</v>
      </c>
      <c r="B454" s="142" t="s">
        <v>1821</v>
      </c>
      <c r="C454" s="149" t="s">
        <v>67</v>
      </c>
      <c r="D454" s="143" t="s">
        <v>161</v>
      </c>
      <c r="E454" s="142"/>
      <c r="F454" s="142"/>
    </row>
    <row r="455" spans="1:8" s="113" customFormat="1" x14ac:dyDescent="0.25">
      <c r="A455" s="141">
        <v>992</v>
      </c>
      <c r="B455" s="142" t="s">
        <v>1822</v>
      </c>
      <c r="C455" s="143" t="s">
        <v>64</v>
      </c>
      <c r="D455" s="143" t="s">
        <v>228</v>
      </c>
      <c r="E455" s="142"/>
      <c r="F455" s="142"/>
    </row>
    <row r="456" spans="1:8" s="113" customFormat="1" x14ac:dyDescent="0.25">
      <c r="A456" s="141">
        <v>994</v>
      </c>
      <c r="B456" s="142" t="s">
        <v>305</v>
      </c>
      <c r="C456" s="149" t="s">
        <v>67</v>
      </c>
      <c r="D456" s="143" t="s">
        <v>161</v>
      </c>
      <c r="E456" s="142"/>
      <c r="F456" s="142"/>
      <c r="G456" s="226"/>
    </row>
    <row r="457" spans="1:8" s="113" customFormat="1" x14ac:dyDescent="0.25">
      <c r="A457" s="190">
        <v>995</v>
      </c>
      <c r="B457" s="188" t="s">
        <v>2533</v>
      </c>
      <c r="C457" s="606"/>
      <c r="D457" s="606"/>
      <c r="E457" s="606"/>
      <c r="F457" s="606"/>
      <c r="G457" s="276"/>
    </row>
    <row r="458" spans="1:8" s="113" customFormat="1" x14ac:dyDescent="0.25">
      <c r="A458" s="141">
        <v>996</v>
      </c>
      <c r="B458" s="142" t="s">
        <v>1823</v>
      </c>
      <c r="C458" s="143" t="s">
        <v>64</v>
      </c>
      <c r="D458" s="143" t="s">
        <v>7</v>
      </c>
      <c r="E458" s="142"/>
      <c r="F458" s="142"/>
      <c r="G458" s="276"/>
    </row>
    <row r="459" spans="1:8" s="113" customFormat="1" x14ac:dyDescent="0.25">
      <c r="A459" s="141">
        <v>997</v>
      </c>
      <c r="B459" s="142" t="s">
        <v>306</v>
      </c>
      <c r="C459" s="143" t="s">
        <v>34</v>
      </c>
      <c r="D459" s="143" t="s">
        <v>154</v>
      </c>
      <c r="E459" s="142"/>
      <c r="F459" s="142"/>
      <c r="G459" s="276"/>
    </row>
    <row r="460" spans="1:8" s="113" customFormat="1" x14ac:dyDescent="0.25">
      <c r="A460" s="141">
        <v>1002</v>
      </c>
      <c r="B460" s="142" t="s">
        <v>1824</v>
      </c>
      <c r="C460" s="143" t="s">
        <v>24</v>
      </c>
      <c r="D460" s="143" t="s">
        <v>37</v>
      </c>
      <c r="E460" s="142"/>
      <c r="F460" s="142"/>
      <c r="G460" s="276"/>
    </row>
    <row r="461" spans="1:8" s="113" customFormat="1" ht="26.25" x14ac:dyDescent="0.25">
      <c r="A461" s="141">
        <v>1006</v>
      </c>
      <c r="B461" s="142" t="s">
        <v>1825</v>
      </c>
      <c r="C461" s="143" t="s">
        <v>3</v>
      </c>
      <c r="D461" s="143" t="s">
        <v>7</v>
      </c>
      <c r="E461" s="142"/>
      <c r="F461" s="142"/>
      <c r="G461" s="276"/>
    </row>
    <row r="462" spans="1:8" s="113" customFormat="1" ht="26.25" x14ac:dyDescent="0.25">
      <c r="A462" s="141">
        <v>1007</v>
      </c>
      <c r="B462" s="142" t="s">
        <v>1347</v>
      </c>
      <c r="C462" s="143" t="s">
        <v>144</v>
      </c>
      <c r="D462" s="146" t="s">
        <v>11</v>
      </c>
      <c r="E462" s="142"/>
      <c r="F462" s="142"/>
      <c r="G462" s="276"/>
    </row>
    <row r="463" spans="1:8" s="113" customFormat="1" x14ac:dyDescent="0.25">
      <c r="A463" s="141">
        <v>1012</v>
      </c>
      <c r="B463" s="142" t="s">
        <v>1826</v>
      </c>
      <c r="C463" s="143" t="s">
        <v>167</v>
      </c>
      <c r="D463" s="143" t="s">
        <v>173</v>
      </c>
      <c r="E463" s="142"/>
      <c r="F463" s="142"/>
      <c r="G463" s="276"/>
    </row>
    <row r="464" spans="1:8" s="113" customFormat="1" x14ac:dyDescent="0.25">
      <c r="A464" s="141">
        <v>1013</v>
      </c>
      <c r="B464" s="144" t="s">
        <v>307</v>
      </c>
      <c r="C464" s="149" t="s">
        <v>67</v>
      </c>
      <c r="D464" s="146" t="s">
        <v>161</v>
      </c>
      <c r="E464" s="142"/>
      <c r="F464" s="142"/>
      <c r="G464" s="276"/>
    </row>
    <row r="465" spans="1:7" s="113" customFormat="1" x14ac:dyDescent="0.25">
      <c r="A465" s="141">
        <v>1016</v>
      </c>
      <c r="B465" s="142" t="s">
        <v>308</v>
      </c>
      <c r="C465" s="143" t="s">
        <v>64</v>
      </c>
      <c r="D465" s="143" t="s">
        <v>11</v>
      </c>
      <c r="E465" s="142"/>
      <c r="F465" s="142"/>
      <c r="G465" s="276"/>
    </row>
    <row r="466" spans="1:7" s="113" customFormat="1" ht="26.25" x14ac:dyDescent="0.25">
      <c r="A466" s="141">
        <v>1017</v>
      </c>
      <c r="B466" s="142" t="s">
        <v>309</v>
      </c>
      <c r="C466" s="143" t="s">
        <v>16</v>
      </c>
      <c r="D466" s="143" t="s">
        <v>154</v>
      </c>
      <c r="E466" s="142"/>
      <c r="F466" s="142"/>
      <c r="G466" s="276"/>
    </row>
    <row r="467" spans="1:7" s="113" customFormat="1" x14ac:dyDescent="0.25">
      <c r="A467" s="141">
        <v>1019</v>
      </c>
      <c r="B467" s="142" t="s">
        <v>1827</v>
      </c>
      <c r="C467" s="143" t="s">
        <v>38</v>
      </c>
      <c r="D467" s="143" t="s">
        <v>148</v>
      </c>
      <c r="E467" s="142"/>
      <c r="F467" s="142"/>
      <c r="G467" s="276"/>
    </row>
    <row r="468" spans="1:7" s="113" customFormat="1" ht="26.25" x14ac:dyDescent="0.25">
      <c r="A468" s="141">
        <v>1020</v>
      </c>
      <c r="B468" s="142" t="s">
        <v>310</v>
      </c>
      <c r="C468" s="143" t="s">
        <v>22</v>
      </c>
      <c r="D468" s="143" t="s">
        <v>501</v>
      </c>
      <c r="E468" s="142"/>
      <c r="F468" s="142"/>
      <c r="G468" s="276"/>
    </row>
    <row r="469" spans="1:7" s="113" customFormat="1" ht="26.25" x14ac:dyDescent="0.25">
      <c r="A469" s="141">
        <v>1021</v>
      </c>
      <c r="B469" s="142" t="s">
        <v>1828</v>
      </c>
      <c r="C469" s="143" t="s">
        <v>144</v>
      </c>
      <c r="D469" s="143" t="s">
        <v>173</v>
      </c>
      <c r="E469" s="142"/>
      <c r="F469" s="142"/>
      <c r="G469" s="276"/>
    </row>
    <row r="470" spans="1:7" s="113" customFormat="1" x14ac:dyDescent="0.25">
      <c r="A470" s="141">
        <v>1022</v>
      </c>
      <c r="B470" s="142" t="s">
        <v>311</v>
      </c>
      <c r="C470" s="143" t="s">
        <v>36</v>
      </c>
      <c r="D470" s="143" t="s">
        <v>150</v>
      </c>
      <c r="E470" s="142"/>
      <c r="F470" s="142"/>
      <c r="G470" s="276"/>
    </row>
    <row r="471" spans="1:7" s="113" customFormat="1" x14ac:dyDescent="0.25">
      <c r="A471" s="141">
        <v>1024</v>
      </c>
      <c r="B471" s="142" t="s">
        <v>1829</v>
      </c>
      <c r="C471" s="143" t="s">
        <v>36</v>
      </c>
      <c r="D471" s="143" t="s">
        <v>50</v>
      </c>
      <c r="E471" s="142"/>
      <c r="F471" s="142"/>
      <c r="G471" s="276"/>
    </row>
    <row r="472" spans="1:7" s="113" customFormat="1" x14ac:dyDescent="0.25">
      <c r="A472" s="141">
        <v>1025</v>
      </c>
      <c r="B472" s="142" t="s">
        <v>1830</v>
      </c>
      <c r="C472" s="143" t="s">
        <v>90</v>
      </c>
      <c r="D472" s="143" t="s">
        <v>415</v>
      </c>
      <c r="E472" s="142"/>
      <c r="F472" s="142"/>
    </row>
    <row r="473" spans="1:7" s="113" customFormat="1" x14ac:dyDescent="0.25">
      <c r="A473" s="141">
        <v>1026</v>
      </c>
      <c r="B473" s="142" t="s">
        <v>1831</v>
      </c>
      <c r="C473" s="143" t="s">
        <v>90</v>
      </c>
      <c r="D473" s="143" t="s">
        <v>109</v>
      </c>
      <c r="E473" s="142"/>
      <c r="F473" s="142"/>
    </row>
    <row r="474" spans="1:7" s="113" customFormat="1" x14ac:dyDescent="0.25">
      <c r="A474" s="141">
        <v>1028</v>
      </c>
      <c r="B474" s="142" t="s">
        <v>1832</v>
      </c>
      <c r="C474" s="143" t="s">
        <v>90</v>
      </c>
      <c r="D474" s="143" t="s">
        <v>11</v>
      </c>
      <c r="E474" s="142"/>
      <c r="F474" s="142"/>
    </row>
    <row r="475" spans="1:7" s="113" customFormat="1" x14ac:dyDescent="0.25">
      <c r="A475" s="141">
        <v>1030</v>
      </c>
      <c r="B475" s="142" t="s">
        <v>312</v>
      </c>
      <c r="C475" s="143" t="s">
        <v>90</v>
      </c>
      <c r="D475" s="143" t="s">
        <v>11</v>
      </c>
      <c r="E475" s="142"/>
      <c r="F475" s="142"/>
    </row>
    <row r="476" spans="1:7" s="113" customFormat="1" x14ac:dyDescent="0.25">
      <c r="A476" s="141">
        <v>1032</v>
      </c>
      <c r="B476" s="142" t="s">
        <v>313</v>
      </c>
      <c r="C476" s="143" t="s">
        <v>90</v>
      </c>
      <c r="D476" s="143" t="s">
        <v>11</v>
      </c>
      <c r="E476" s="142"/>
      <c r="F476" s="142"/>
    </row>
    <row r="477" spans="1:7" s="113" customFormat="1" x14ac:dyDescent="0.25">
      <c r="A477" s="141">
        <v>1033</v>
      </c>
      <c r="B477" s="142" t="s">
        <v>314</v>
      </c>
      <c r="C477" s="143" t="s">
        <v>90</v>
      </c>
      <c r="D477" s="143" t="s">
        <v>7</v>
      </c>
      <c r="E477" s="142"/>
      <c r="F477" s="142"/>
    </row>
    <row r="478" spans="1:7" s="113" customFormat="1" ht="26.25" x14ac:dyDescent="0.25">
      <c r="A478" s="141">
        <v>1035</v>
      </c>
      <c r="B478" s="142" t="s">
        <v>315</v>
      </c>
      <c r="C478" s="143" t="s">
        <v>108</v>
      </c>
      <c r="D478" s="143" t="s">
        <v>150</v>
      </c>
      <c r="E478" s="142"/>
      <c r="F478" s="142"/>
    </row>
    <row r="479" spans="1:7" s="113" customFormat="1" x14ac:dyDescent="0.25">
      <c r="A479" s="141">
        <v>1038</v>
      </c>
      <c r="B479" s="142" t="s">
        <v>1833</v>
      </c>
      <c r="C479" s="143" t="s">
        <v>64</v>
      </c>
      <c r="D479" s="143" t="s">
        <v>415</v>
      </c>
      <c r="E479" s="142"/>
      <c r="F479" s="142"/>
    </row>
    <row r="480" spans="1:7" s="113" customFormat="1" x14ac:dyDescent="0.25">
      <c r="A480" s="141">
        <v>1042</v>
      </c>
      <c r="B480" s="142" t="s">
        <v>1834</v>
      </c>
      <c r="C480" s="143" t="s">
        <v>47</v>
      </c>
      <c r="D480" s="143" t="s">
        <v>11</v>
      </c>
      <c r="E480" s="142"/>
      <c r="F480" s="142"/>
    </row>
    <row r="481" spans="1:6" s="113" customFormat="1" ht="26.25" x14ac:dyDescent="0.25">
      <c r="A481" s="141">
        <v>1043</v>
      </c>
      <c r="B481" s="142" t="s">
        <v>316</v>
      </c>
      <c r="C481" s="143" t="s">
        <v>1478</v>
      </c>
      <c r="D481" s="143" t="s">
        <v>173</v>
      </c>
      <c r="E481" s="142"/>
      <c r="F481" s="142"/>
    </row>
    <row r="482" spans="1:6" s="113" customFormat="1" x14ac:dyDescent="0.25">
      <c r="A482" s="141">
        <v>1045</v>
      </c>
      <c r="B482" s="142" t="s">
        <v>317</v>
      </c>
      <c r="C482" s="143" t="s">
        <v>38</v>
      </c>
      <c r="D482" s="143" t="s">
        <v>1835</v>
      </c>
      <c r="E482" s="142"/>
      <c r="F482" s="142"/>
    </row>
    <row r="483" spans="1:6" s="113" customFormat="1" ht="26.25" x14ac:dyDescent="0.25">
      <c r="A483" s="141">
        <v>1046</v>
      </c>
      <c r="B483" s="142" t="s">
        <v>1836</v>
      </c>
      <c r="C483" s="143" t="s">
        <v>8</v>
      </c>
      <c r="D483" s="143" t="s">
        <v>154</v>
      </c>
      <c r="E483" s="142"/>
      <c r="F483" s="142"/>
    </row>
    <row r="484" spans="1:6" s="113" customFormat="1" x14ac:dyDescent="0.25">
      <c r="A484" s="141">
        <v>1048</v>
      </c>
      <c r="B484" s="142" t="s">
        <v>1120</v>
      </c>
      <c r="C484" s="143" t="s">
        <v>64</v>
      </c>
      <c r="D484" s="143" t="s">
        <v>1351</v>
      </c>
      <c r="E484" s="142"/>
      <c r="F484" s="142"/>
    </row>
    <row r="485" spans="1:6" s="113" customFormat="1" ht="26.25" x14ac:dyDescent="0.25">
      <c r="A485" s="141">
        <v>1049</v>
      </c>
      <c r="B485" s="142" t="s">
        <v>318</v>
      </c>
      <c r="C485" s="143" t="s">
        <v>5</v>
      </c>
      <c r="D485" s="143" t="s">
        <v>504</v>
      </c>
      <c r="E485" s="142"/>
      <c r="F485" s="142"/>
    </row>
    <row r="486" spans="1:6" s="113" customFormat="1" x14ac:dyDescent="0.25">
      <c r="A486" s="141">
        <v>1050</v>
      </c>
      <c r="B486" s="142" t="s">
        <v>1837</v>
      </c>
      <c r="C486" s="143" t="s">
        <v>41</v>
      </c>
      <c r="D486" s="143" t="s">
        <v>116</v>
      </c>
      <c r="E486" s="142"/>
      <c r="F486" s="142"/>
    </row>
    <row r="487" spans="1:6" s="113" customFormat="1" ht="26.25" x14ac:dyDescent="0.25">
      <c r="A487" s="141">
        <v>1051</v>
      </c>
      <c r="B487" s="142" t="s">
        <v>1838</v>
      </c>
      <c r="C487" s="143" t="s">
        <v>16</v>
      </c>
      <c r="D487" s="143" t="s">
        <v>154</v>
      </c>
      <c r="E487" s="142"/>
      <c r="F487" s="142"/>
    </row>
    <row r="488" spans="1:6" s="113" customFormat="1" ht="26.25" x14ac:dyDescent="0.25">
      <c r="A488" s="141">
        <v>1052</v>
      </c>
      <c r="B488" s="142" t="s">
        <v>1839</v>
      </c>
      <c r="C488" s="143" t="s">
        <v>16</v>
      </c>
      <c r="D488" s="143" t="s">
        <v>242</v>
      </c>
      <c r="E488" s="142"/>
      <c r="F488" s="142"/>
    </row>
    <row r="489" spans="1:6" s="113" customFormat="1" ht="26.25" x14ac:dyDescent="0.25">
      <c r="A489" s="141">
        <v>1053</v>
      </c>
      <c r="B489" s="142" t="s">
        <v>1840</v>
      </c>
      <c r="C489" s="143" t="s">
        <v>16</v>
      </c>
      <c r="D489" s="143" t="s">
        <v>154</v>
      </c>
      <c r="E489" s="142"/>
      <c r="F489" s="142"/>
    </row>
    <row r="490" spans="1:6" s="113" customFormat="1" ht="26.25" x14ac:dyDescent="0.25">
      <c r="A490" s="141">
        <v>1055</v>
      </c>
      <c r="B490" s="142" t="s">
        <v>1841</v>
      </c>
      <c r="C490" s="143" t="s">
        <v>16</v>
      </c>
      <c r="D490" s="143" t="s">
        <v>302</v>
      </c>
      <c r="E490" s="142"/>
      <c r="F490" s="142"/>
    </row>
    <row r="491" spans="1:6" s="113" customFormat="1" ht="26.25" x14ac:dyDescent="0.25">
      <c r="A491" s="141">
        <v>1057</v>
      </c>
      <c r="B491" s="142" t="s">
        <v>1842</v>
      </c>
      <c r="C491" s="143" t="s">
        <v>16</v>
      </c>
      <c r="D491" s="143" t="s">
        <v>116</v>
      </c>
      <c r="E491" s="142"/>
      <c r="F491" s="142"/>
    </row>
    <row r="492" spans="1:6" s="113" customFormat="1" x14ac:dyDescent="0.25">
      <c r="A492" s="141">
        <v>1058</v>
      </c>
      <c r="B492" s="142" t="s">
        <v>1843</v>
      </c>
      <c r="C492" s="149" t="s">
        <v>67</v>
      </c>
      <c r="D492" s="143" t="s">
        <v>37</v>
      </c>
      <c r="E492" s="142"/>
      <c r="F492" s="142"/>
    </row>
    <row r="493" spans="1:6" s="113" customFormat="1" x14ac:dyDescent="0.25">
      <c r="A493" s="141">
        <v>1059</v>
      </c>
      <c r="B493" s="142" t="s">
        <v>1844</v>
      </c>
      <c r="C493" s="143" t="s">
        <v>38</v>
      </c>
      <c r="D493" s="143" t="s">
        <v>453</v>
      </c>
      <c r="E493" s="142"/>
      <c r="F493" s="142"/>
    </row>
    <row r="494" spans="1:6" s="113" customFormat="1" x14ac:dyDescent="0.25">
      <c r="A494" s="141">
        <v>1060</v>
      </c>
      <c r="B494" s="142" t="s">
        <v>319</v>
      </c>
      <c r="C494" s="143" t="s">
        <v>64</v>
      </c>
      <c r="D494" s="143" t="s">
        <v>237</v>
      </c>
      <c r="E494" s="142"/>
      <c r="F494" s="142"/>
    </row>
    <row r="495" spans="1:6" s="113" customFormat="1" x14ac:dyDescent="0.25">
      <c r="A495" s="141">
        <v>1063</v>
      </c>
      <c r="B495" s="142" t="s">
        <v>320</v>
      </c>
      <c r="C495" s="143" t="s">
        <v>47</v>
      </c>
      <c r="D495" s="143" t="s">
        <v>56</v>
      </c>
      <c r="E495" s="142"/>
      <c r="F495" s="142"/>
    </row>
    <row r="496" spans="1:6" s="113" customFormat="1" ht="26.25" x14ac:dyDescent="0.25">
      <c r="A496" s="141">
        <v>1068</v>
      </c>
      <c r="B496" s="142" t="s">
        <v>321</v>
      </c>
      <c r="C496" s="143" t="s">
        <v>8</v>
      </c>
      <c r="D496" s="143" t="s">
        <v>154</v>
      </c>
      <c r="E496" s="142"/>
      <c r="F496" s="142"/>
    </row>
    <row r="497" spans="1:6" s="113" customFormat="1" ht="26.25" x14ac:dyDescent="0.25">
      <c r="A497" s="141">
        <v>1070</v>
      </c>
      <c r="B497" s="142" t="s">
        <v>1845</v>
      </c>
      <c r="C497" s="143" t="s">
        <v>8</v>
      </c>
      <c r="D497" s="143" t="s">
        <v>242</v>
      </c>
      <c r="E497" s="142"/>
      <c r="F497" s="142"/>
    </row>
    <row r="498" spans="1:6" s="113" customFormat="1" ht="26.25" x14ac:dyDescent="0.25">
      <c r="A498" s="141">
        <v>1071</v>
      </c>
      <c r="B498" s="142" t="s">
        <v>322</v>
      </c>
      <c r="C498" s="143" t="s">
        <v>1478</v>
      </c>
      <c r="D498" s="143" t="s">
        <v>173</v>
      </c>
      <c r="E498" s="142"/>
      <c r="F498" s="142"/>
    </row>
    <row r="499" spans="1:6" s="113" customFormat="1" x14ac:dyDescent="0.25">
      <c r="A499" s="141">
        <v>1074</v>
      </c>
      <c r="B499" s="142" t="s">
        <v>323</v>
      </c>
      <c r="C499" s="143" t="s">
        <v>324</v>
      </c>
      <c r="D499" s="143" t="s">
        <v>21</v>
      </c>
      <c r="E499" s="142"/>
      <c r="F499" s="142"/>
    </row>
    <row r="500" spans="1:6" s="113" customFormat="1" x14ac:dyDescent="0.25">
      <c r="A500" s="141">
        <v>1075</v>
      </c>
      <c r="B500" s="142" t="s">
        <v>1846</v>
      </c>
      <c r="C500" s="143" t="s">
        <v>47</v>
      </c>
      <c r="D500" s="143" t="s">
        <v>7</v>
      </c>
      <c r="E500" s="142"/>
      <c r="F500" s="142"/>
    </row>
    <row r="501" spans="1:6" s="113" customFormat="1" ht="26.25" x14ac:dyDescent="0.25">
      <c r="A501" s="141">
        <v>1078</v>
      </c>
      <c r="B501" s="142" t="s">
        <v>1847</v>
      </c>
      <c r="C501" s="143" t="s">
        <v>96</v>
      </c>
      <c r="D501" s="143" t="s">
        <v>109</v>
      </c>
      <c r="E501" s="142"/>
      <c r="F501" s="142"/>
    </row>
    <row r="502" spans="1:6" s="113" customFormat="1" x14ac:dyDescent="0.25">
      <c r="A502" s="141">
        <v>1079</v>
      </c>
      <c r="B502" s="142" t="s">
        <v>1848</v>
      </c>
      <c r="C502" s="143" t="s">
        <v>122</v>
      </c>
      <c r="D502" s="143" t="s">
        <v>415</v>
      </c>
      <c r="E502" s="142"/>
      <c r="F502" s="142"/>
    </row>
    <row r="503" spans="1:6" s="113" customFormat="1" x14ac:dyDescent="0.25">
      <c r="A503" s="141">
        <v>1082</v>
      </c>
      <c r="B503" s="142" t="s">
        <v>326</v>
      </c>
      <c r="C503" s="143" t="s">
        <v>38</v>
      </c>
      <c r="D503" s="143" t="s">
        <v>148</v>
      </c>
      <c r="E503" s="142"/>
      <c r="F503" s="142"/>
    </row>
    <row r="504" spans="1:6" s="113" customFormat="1" x14ac:dyDescent="0.25">
      <c r="A504" s="141">
        <v>1083</v>
      </c>
      <c r="B504" s="142" t="s">
        <v>1849</v>
      </c>
      <c r="C504" s="143" t="s">
        <v>44</v>
      </c>
      <c r="D504" s="143" t="s">
        <v>148</v>
      </c>
      <c r="E504" s="142"/>
      <c r="F504" s="142"/>
    </row>
    <row r="505" spans="1:6" s="113" customFormat="1" x14ac:dyDescent="0.25">
      <c r="A505" s="141">
        <v>1084</v>
      </c>
      <c r="B505" s="142" t="s">
        <v>1850</v>
      </c>
      <c r="C505" s="143" t="s">
        <v>38</v>
      </c>
      <c r="D505" s="143" t="s">
        <v>150</v>
      </c>
      <c r="E505" s="142"/>
      <c r="F505" s="142"/>
    </row>
    <row r="506" spans="1:6" s="113" customFormat="1" x14ac:dyDescent="0.25">
      <c r="A506" s="141">
        <v>1086</v>
      </c>
      <c r="B506" s="142" t="s">
        <v>1851</v>
      </c>
      <c r="C506" s="143" t="s">
        <v>44</v>
      </c>
      <c r="D506" s="143" t="s">
        <v>56</v>
      </c>
      <c r="E506" s="142"/>
      <c r="F506" s="142"/>
    </row>
    <row r="507" spans="1:6" s="113" customFormat="1" ht="26.25" x14ac:dyDescent="0.25">
      <c r="A507" s="141">
        <v>1088</v>
      </c>
      <c r="B507" s="142" t="s">
        <v>327</v>
      </c>
      <c r="C507" s="143" t="s">
        <v>22</v>
      </c>
      <c r="D507" s="143" t="s">
        <v>501</v>
      </c>
      <c r="E507" s="142"/>
      <c r="F507" s="142"/>
    </row>
    <row r="508" spans="1:6" s="113" customFormat="1" ht="39" x14ac:dyDescent="0.25">
      <c r="A508" s="141">
        <v>1089</v>
      </c>
      <c r="B508" s="142" t="s">
        <v>1852</v>
      </c>
      <c r="C508" s="143" t="s">
        <v>1590</v>
      </c>
      <c r="D508" s="143" t="s">
        <v>242</v>
      </c>
      <c r="E508" s="142"/>
      <c r="F508" s="142"/>
    </row>
    <row r="509" spans="1:6" s="113" customFormat="1" ht="26.25" x14ac:dyDescent="0.25">
      <c r="A509" s="141">
        <v>1091</v>
      </c>
      <c r="B509" s="142" t="s">
        <v>328</v>
      </c>
      <c r="C509" s="143" t="s">
        <v>144</v>
      </c>
      <c r="D509" s="143" t="s">
        <v>1223</v>
      </c>
      <c r="E509" s="142"/>
      <c r="F509" s="142"/>
    </row>
    <row r="510" spans="1:6" s="113" customFormat="1" x14ac:dyDescent="0.25">
      <c r="A510" s="141">
        <v>1093</v>
      </c>
      <c r="B510" s="142" t="s">
        <v>1348</v>
      </c>
      <c r="C510" s="143" t="s">
        <v>38</v>
      </c>
      <c r="D510" s="143" t="s">
        <v>453</v>
      </c>
      <c r="E510" s="142"/>
      <c r="F510" s="142"/>
    </row>
    <row r="511" spans="1:6" s="113" customFormat="1" ht="26.25" x14ac:dyDescent="0.25">
      <c r="A511" s="141">
        <v>1096</v>
      </c>
      <c r="B511" s="142" t="s">
        <v>329</v>
      </c>
      <c r="C511" s="143" t="s">
        <v>22</v>
      </c>
      <c r="D511" s="143" t="s">
        <v>11</v>
      </c>
      <c r="E511" s="142"/>
      <c r="F511" s="142"/>
    </row>
    <row r="512" spans="1:6" s="113" customFormat="1" ht="26.25" x14ac:dyDescent="0.25">
      <c r="A512" s="141">
        <v>1097</v>
      </c>
      <c r="B512" s="142" t="s">
        <v>1349</v>
      </c>
      <c r="C512" s="143" t="s">
        <v>144</v>
      </c>
      <c r="D512" s="143" t="s">
        <v>173</v>
      </c>
      <c r="E512" s="142"/>
      <c r="F512" s="142"/>
    </row>
    <row r="513" spans="1:6" s="113" customFormat="1" ht="26.25" x14ac:dyDescent="0.25">
      <c r="A513" s="141">
        <v>1099</v>
      </c>
      <c r="B513" s="142" t="s">
        <v>1853</v>
      </c>
      <c r="C513" s="143" t="s">
        <v>914</v>
      </c>
      <c r="D513" s="143" t="s">
        <v>116</v>
      </c>
      <c r="E513" s="142"/>
      <c r="F513" s="142"/>
    </row>
    <row r="514" spans="1:6" s="113" customFormat="1" x14ac:dyDescent="0.25">
      <c r="A514" s="141">
        <v>1100</v>
      </c>
      <c r="B514" s="142" t="s">
        <v>1854</v>
      </c>
      <c r="C514" s="143" t="s">
        <v>38</v>
      </c>
      <c r="D514" s="143" t="s">
        <v>148</v>
      </c>
      <c r="E514" s="142"/>
      <c r="F514" s="142"/>
    </row>
    <row r="515" spans="1:6" s="113" customFormat="1" x14ac:dyDescent="0.25">
      <c r="A515" s="187">
        <v>1100</v>
      </c>
      <c r="B515" s="187" t="s">
        <v>1854</v>
      </c>
      <c r="C515" s="187" t="s">
        <v>38</v>
      </c>
      <c r="D515" s="146" t="s">
        <v>109</v>
      </c>
      <c r="E515" s="606"/>
      <c r="F515" s="187"/>
    </row>
    <row r="516" spans="1:6" s="113" customFormat="1" x14ac:dyDescent="0.25">
      <c r="A516" s="141">
        <v>1101</v>
      </c>
      <c r="B516" s="142" t="s">
        <v>330</v>
      </c>
      <c r="C516" s="143" t="s">
        <v>36</v>
      </c>
      <c r="D516" s="143" t="s">
        <v>453</v>
      </c>
      <c r="E516" s="142"/>
      <c r="F516" s="142"/>
    </row>
    <row r="517" spans="1:6" s="113" customFormat="1" ht="26.25" x14ac:dyDescent="0.25">
      <c r="A517" s="141">
        <v>1102</v>
      </c>
      <c r="B517" s="142" t="s">
        <v>1855</v>
      </c>
      <c r="C517" s="143" t="s">
        <v>8</v>
      </c>
      <c r="D517" s="143" t="s">
        <v>242</v>
      </c>
      <c r="E517" s="142"/>
      <c r="F517" s="142"/>
    </row>
    <row r="518" spans="1:6" s="113" customFormat="1" ht="26.25" x14ac:dyDescent="0.25">
      <c r="A518" s="141">
        <v>1103</v>
      </c>
      <c r="B518" s="142" t="s">
        <v>331</v>
      </c>
      <c r="C518" s="143" t="s">
        <v>144</v>
      </c>
      <c r="D518" s="143" t="s">
        <v>173</v>
      </c>
      <c r="E518" s="142"/>
      <c r="F518" s="142"/>
    </row>
    <row r="519" spans="1:6" s="113" customFormat="1" x14ac:dyDescent="0.25">
      <c r="A519" s="141">
        <v>1104</v>
      </c>
      <c r="B519" s="142" t="s">
        <v>332</v>
      </c>
      <c r="C519" s="143" t="s">
        <v>64</v>
      </c>
      <c r="D519" s="143" t="s">
        <v>1351</v>
      </c>
      <c r="E519" s="142"/>
      <c r="F519" s="142"/>
    </row>
    <row r="520" spans="1:6" s="113" customFormat="1" ht="26.25" x14ac:dyDescent="0.25">
      <c r="A520" s="141">
        <v>1105</v>
      </c>
      <c r="B520" s="142" t="s">
        <v>333</v>
      </c>
      <c r="C520" s="143" t="s">
        <v>417</v>
      </c>
      <c r="D520" s="143" t="s">
        <v>504</v>
      </c>
      <c r="E520" s="142"/>
      <c r="F520" s="142"/>
    </row>
    <row r="521" spans="1:6" s="113" customFormat="1" x14ac:dyDescent="0.25">
      <c r="A521" s="141">
        <v>1106</v>
      </c>
      <c r="B521" s="142" t="s">
        <v>334</v>
      </c>
      <c r="C521" s="143" t="s">
        <v>63</v>
      </c>
      <c r="D521" s="143" t="s">
        <v>242</v>
      </c>
      <c r="E521" s="142"/>
      <c r="F521" s="142"/>
    </row>
    <row r="522" spans="1:6" s="113" customFormat="1" ht="26.25" x14ac:dyDescent="0.25">
      <c r="A522" s="141">
        <v>1109</v>
      </c>
      <c r="B522" s="142" t="s">
        <v>1856</v>
      </c>
      <c r="C522" s="143" t="s">
        <v>144</v>
      </c>
      <c r="D522" s="143" t="s">
        <v>171</v>
      </c>
      <c r="E522" s="142"/>
      <c r="F522" s="142"/>
    </row>
    <row r="523" spans="1:6" s="113" customFormat="1" x14ac:dyDescent="0.25">
      <c r="A523" s="141">
        <v>1110</v>
      </c>
      <c r="B523" s="142" t="s">
        <v>335</v>
      </c>
      <c r="C523" s="143" t="s">
        <v>44</v>
      </c>
      <c r="D523" s="143" t="s">
        <v>154</v>
      </c>
      <c r="E523" s="142"/>
      <c r="F523" s="142"/>
    </row>
    <row r="524" spans="1:6" s="113" customFormat="1" x14ac:dyDescent="0.25">
      <c r="A524" s="141">
        <v>1111</v>
      </c>
      <c r="B524" s="142" t="s">
        <v>1857</v>
      </c>
      <c r="C524" s="143" t="s">
        <v>167</v>
      </c>
      <c r="D524" s="143" t="s">
        <v>173</v>
      </c>
      <c r="E524" s="142"/>
      <c r="F524" s="142"/>
    </row>
    <row r="525" spans="1:6" s="113" customFormat="1" ht="26.25" x14ac:dyDescent="0.25">
      <c r="A525" s="141">
        <v>1114</v>
      </c>
      <c r="B525" s="142" t="s">
        <v>1858</v>
      </c>
      <c r="C525" s="143" t="s">
        <v>27</v>
      </c>
      <c r="D525" s="143" t="s">
        <v>116</v>
      </c>
      <c r="E525" s="142"/>
      <c r="F525" s="142"/>
    </row>
    <row r="526" spans="1:6" s="113" customFormat="1" ht="26.25" x14ac:dyDescent="0.25">
      <c r="A526" s="141">
        <v>1115</v>
      </c>
      <c r="B526" s="142" t="s">
        <v>336</v>
      </c>
      <c r="C526" s="143" t="s">
        <v>16</v>
      </c>
      <c r="D526" s="143" t="s">
        <v>154</v>
      </c>
      <c r="E526" s="142"/>
      <c r="F526" s="142"/>
    </row>
    <row r="527" spans="1:6" s="113" customFormat="1" x14ac:dyDescent="0.25">
      <c r="A527" s="141">
        <v>1117</v>
      </c>
      <c r="B527" s="142" t="s">
        <v>1859</v>
      </c>
      <c r="C527" s="143" t="s">
        <v>44</v>
      </c>
      <c r="D527" s="143" t="s">
        <v>453</v>
      </c>
      <c r="E527" s="142"/>
      <c r="F527" s="142"/>
    </row>
    <row r="528" spans="1:6" s="113" customFormat="1" x14ac:dyDescent="0.25">
      <c r="A528" s="141">
        <v>1118</v>
      </c>
      <c r="B528" s="142" t="s">
        <v>1860</v>
      </c>
      <c r="C528" s="143" t="s">
        <v>38</v>
      </c>
      <c r="D528" s="143" t="s">
        <v>148</v>
      </c>
      <c r="E528" s="142"/>
      <c r="F528" s="142"/>
    </row>
    <row r="529" spans="1:6" s="113" customFormat="1" ht="26.25" x14ac:dyDescent="0.25">
      <c r="A529" s="141">
        <v>1120</v>
      </c>
      <c r="B529" s="142" t="s">
        <v>337</v>
      </c>
      <c r="C529" s="143" t="s">
        <v>144</v>
      </c>
      <c r="D529" s="143" t="s">
        <v>1861</v>
      </c>
      <c r="E529" s="142"/>
      <c r="F529" s="142"/>
    </row>
    <row r="530" spans="1:6" s="113" customFormat="1" x14ac:dyDescent="0.25">
      <c r="A530" s="141">
        <v>1121</v>
      </c>
      <c r="B530" s="142" t="s">
        <v>338</v>
      </c>
      <c r="C530" s="143" t="s">
        <v>32</v>
      </c>
      <c r="D530" s="143" t="s">
        <v>242</v>
      </c>
      <c r="E530" s="142"/>
      <c r="F530" s="142"/>
    </row>
    <row r="531" spans="1:6" s="113" customFormat="1" ht="26.25" x14ac:dyDescent="0.25">
      <c r="A531" s="141">
        <v>1123</v>
      </c>
      <c r="B531" s="142" t="s">
        <v>1862</v>
      </c>
      <c r="C531" s="143" t="s">
        <v>914</v>
      </c>
      <c r="D531" s="143" t="s">
        <v>242</v>
      </c>
      <c r="E531" s="142"/>
      <c r="F531" s="142"/>
    </row>
    <row r="532" spans="1:6" s="113" customFormat="1" ht="26.25" x14ac:dyDescent="0.25">
      <c r="A532" s="141">
        <v>1125</v>
      </c>
      <c r="B532" s="142" t="s">
        <v>1863</v>
      </c>
      <c r="C532" s="143" t="s">
        <v>157</v>
      </c>
      <c r="D532" s="143" t="s">
        <v>116</v>
      </c>
      <c r="E532" s="142"/>
      <c r="F532" s="142"/>
    </row>
    <row r="533" spans="1:6" s="113" customFormat="1" x14ac:dyDescent="0.25">
      <c r="A533" s="141">
        <v>1128</v>
      </c>
      <c r="B533" s="142" t="s">
        <v>339</v>
      </c>
      <c r="C533" s="149" t="s">
        <v>67</v>
      </c>
      <c r="D533" s="143" t="s">
        <v>302</v>
      </c>
      <c r="E533" s="142"/>
      <c r="F533" s="142"/>
    </row>
    <row r="534" spans="1:6" s="113" customFormat="1" ht="26.25" x14ac:dyDescent="0.25">
      <c r="A534" s="141">
        <v>1130</v>
      </c>
      <c r="B534" s="142" t="s">
        <v>340</v>
      </c>
      <c r="C534" s="143" t="s">
        <v>20</v>
      </c>
      <c r="D534" s="143" t="s">
        <v>150</v>
      </c>
      <c r="E534" s="142"/>
      <c r="F534" s="142"/>
    </row>
    <row r="535" spans="1:6" s="113" customFormat="1" ht="26.25" x14ac:dyDescent="0.25">
      <c r="A535" s="141">
        <v>1131</v>
      </c>
      <c r="B535" s="142" t="s">
        <v>1864</v>
      </c>
      <c r="C535" s="143" t="s">
        <v>20</v>
      </c>
      <c r="D535" s="143" t="s">
        <v>302</v>
      </c>
      <c r="E535" s="142"/>
      <c r="F535" s="142"/>
    </row>
    <row r="536" spans="1:6" s="113" customFormat="1" ht="26.25" x14ac:dyDescent="0.25">
      <c r="A536" s="141">
        <v>1133</v>
      </c>
      <c r="B536" s="142" t="s">
        <v>1865</v>
      </c>
      <c r="C536" s="143" t="s">
        <v>3</v>
      </c>
      <c r="D536" s="143" t="s">
        <v>116</v>
      </c>
      <c r="E536" s="142"/>
      <c r="F536" s="142"/>
    </row>
    <row r="537" spans="1:6" s="113" customFormat="1" x14ac:dyDescent="0.25">
      <c r="A537" s="141">
        <v>1134</v>
      </c>
      <c r="B537" s="142" t="s">
        <v>1866</v>
      </c>
      <c r="C537" s="143" t="s">
        <v>101</v>
      </c>
      <c r="D537" s="143" t="s">
        <v>415</v>
      </c>
      <c r="E537" s="142"/>
      <c r="F537" s="142"/>
    </row>
    <row r="538" spans="1:6" s="113" customFormat="1" ht="26.25" x14ac:dyDescent="0.25">
      <c r="A538" s="141">
        <v>1136</v>
      </c>
      <c r="B538" s="142" t="s">
        <v>341</v>
      </c>
      <c r="C538" s="143" t="s">
        <v>167</v>
      </c>
      <c r="D538" s="143" t="s">
        <v>1867</v>
      </c>
      <c r="E538" s="142"/>
      <c r="F538" s="142"/>
    </row>
    <row r="539" spans="1:6" s="113" customFormat="1" x14ac:dyDescent="0.25">
      <c r="A539" s="141">
        <v>1138</v>
      </c>
      <c r="B539" s="142" t="s">
        <v>1868</v>
      </c>
      <c r="C539" s="143" t="s">
        <v>32</v>
      </c>
      <c r="D539" s="143" t="s">
        <v>302</v>
      </c>
      <c r="E539" s="142"/>
      <c r="F539" s="142"/>
    </row>
    <row r="540" spans="1:6" s="113" customFormat="1" ht="26.25" x14ac:dyDescent="0.25">
      <c r="A540" s="141">
        <v>1140</v>
      </c>
      <c r="B540" s="142" t="s">
        <v>342</v>
      </c>
      <c r="C540" s="143" t="s">
        <v>96</v>
      </c>
      <c r="D540" s="143" t="s">
        <v>11</v>
      </c>
      <c r="E540" s="142"/>
      <c r="F540" s="142"/>
    </row>
    <row r="541" spans="1:6" s="113" customFormat="1" x14ac:dyDescent="0.25">
      <c r="A541" s="141">
        <v>1141</v>
      </c>
      <c r="B541" s="142" t="s">
        <v>343</v>
      </c>
      <c r="C541" s="143" t="s">
        <v>44</v>
      </c>
      <c r="D541" s="143" t="s">
        <v>453</v>
      </c>
      <c r="E541" s="142"/>
      <c r="F541" s="142"/>
    </row>
    <row r="542" spans="1:6" s="113" customFormat="1" x14ac:dyDescent="0.25">
      <c r="A542" s="141">
        <v>1142</v>
      </c>
      <c r="B542" s="142" t="s">
        <v>1869</v>
      </c>
      <c r="C542" s="143" t="s">
        <v>73</v>
      </c>
      <c r="D542" s="143" t="s">
        <v>116</v>
      </c>
      <c r="E542" s="142"/>
      <c r="F542" s="142"/>
    </row>
    <row r="543" spans="1:6" s="113" customFormat="1" ht="26.25" x14ac:dyDescent="0.25">
      <c r="A543" s="195">
        <v>1144</v>
      </c>
      <c r="B543" s="188" t="s">
        <v>2999</v>
      </c>
      <c r="C543" s="146" t="s">
        <v>1478</v>
      </c>
      <c r="D543" s="146" t="s">
        <v>3000</v>
      </c>
      <c r="E543" s="606"/>
      <c r="F543" s="187"/>
    </row>
    <row r="544" spans="1:6" s="113" customFormat="1" ht="26.25" x14ac:dyDescent="0.25">
      <c r="A544" s="141">
        <v>1146</v>
      </c>
      <c r="B544" s="142" t="s">
        <v>344</v>
      </c>
      <c r="C544" s="143" t="s">
        <v>144</v>
      </c>
      <c r="D544" s="143" t="s">
        <v>11</v>
      </c>
      <c r="E544" s="142"/>
      <c r="F544" s="142"/>
    </row>
    <row r="545" spans="1:6" s="113" customFormat="1" x14ac:dyDescent="0.25">
      <c r="A545" s="141">
        <v>1148</v>
      </c>
      <c r="B545" s="142" t="s">
        <v>345</v>
      </c>
      <c r="C545" s="143" t="s">
        <v>101</v>
      </c>
      <c r="D545" s="143" t="s">
        <v>11</v>
      </c>
      <c r="E545" s="142"/>
      <c r="F545" s="142"/>
    </row>
    <row r="546" spans="1:6" s="113" customFormat="1" ht="26.25" x14ac:dyDescent="0.25">
      <c r="A546" s="141">
        <v>1149</v>
      </c>
      <c r="B546" s="142" t="s">
        <v>1870</v>
      </c>
      <c r="C546" s="143" t="s">
        <v>144</v>
      </c>
      <c r="D546" s="143" t="s">
        <v>7</v>
      </c>
      <c r="E546" s="142"/>
      <c r="F546" s="142"/>
    </row>
    <row r="547" spans="1:6" s="113" customFormat="1" x14ac:dyDescent="0.25">
      <c r="A547" s="141">
        <v>1150</v>
      </c>
      <c r="B547" s="142" t="s">
        <v>1871</v>
      </c>
      <c r="C547" s="143" t="s">
        <v>167</v>
      </c>
      <c r="D547" s="143" t="s">
        <v>109</v>
      </c>
      <c r="E547" s="142"/>
      <c r="F547" s="142"/>
    </row>
    <row r="548" spans="1:6" s="113" customFormat="1" ht="26.25" x14ac:dyDescent="0.25">
      <c r="A548" s="141">
        <v>1151</v>
      </c>
      <c r="B548" s="142" t="s">
        <v>346</v>
      </c>
      <c r="C548" s="143" t="s">
        <v>914</v>
      </c>
      <c r="D548" s="143" t="s">
        <v>302</v>
      </c>
      <c r="E548" s="142"/>
      <c r="F548" s="142"/>
    </row>
    <row r="549" spans="1:6" s="113" customFormat="1" ht="26.25" x14ac:dyDescent="0.25">
      <c r="A549" s="141">
        <v>1152</v>
      </c>
      <c r="B549" s="142" t="s">
        <v>347</v>
      </c>
      <c r="C549" s="143" t="s">
        <v>914</v>
      </c>
      <c r="D549" s="143" t="s">
        <v>11</v>
      </c>
      <c r="E549" s="142"/>
      <c r="F549" s="142"/>
    </row>
    <row r="550" spans="1:6" s="113" customFormat="1" ht="26.25" x14ac:dyDescent="0.25">
      <c r="A550" s="141">
        <v>1157</v>
      </c>
      <c r="B550" s="142" t="s">
        <v>348</v>
      </c>
      <c r="C550" s="143" t="s">
        <v>144</v>
      </c>
      <c r="D550" s="143" t="s">
        <v>1872</v>
      </c>
      <c r="E550" s="142"/>
      <c r="F550" s="142"/>
    </row>
    <row r="551" spans="1:6" s="113" customFormat="1" x14ac:dyDescent="0.25">
      <c r="A551" s="141">
        <v>1158</v>
      </c>
      <c r="B551" s="142" t="s">
        <v>349</v>
      </c>
      <c r="C551" s="143" t="s">
        <v>64</v>
      </c>
      <c r="D551" s="143" t="s">
        <v>1133</v>
      </c>
      <c r="E551" s="142"/>
      <c r="F551" s="142"/>
    </row>
    <row r="552" spans="1:6" s="113" customFormat="1" ht="26.25" x14ac:dyDescent="0.25">
      <c r="A552" s="141">
        <v>1159</v>
      </c>
      <c r="B552" s="142" t="s">
        <v>350</v>
      </c>
      <c r="C552" s="143" t="s">
        <v>49</v>
      </c>
      <c r="D552" s="143" t="s">
        <v>154</v>
      </c>
      <c r="E552" s="142"/>
      <c r="F552" s="142"/>
    </row>
    <row r="553" spans="1:6" s="113" customFormat="1" x14ac:dyDescent="0.25">
      <c r="A553" s="141">
        <v>1160</v>
      </c>
      <c r="B553" s="142" t="s">
        <v>351</v>
      </c>
      <c r="C553" s="143" t="s">
        <v>38</v>
      </c>
      <c r="D553" s="143" t="s">
        <v>109</v>
      </c>
      <c r="E553" s="142"/>
      <c r="F553" s="142"/>
    </row>
    <row r="554" spans="1:6" s="113" customFormat="1" x14ac:dyDescent="0.25">
      <c r="A554" s="141">
        <v>1161</v>
      </c>
      <c r="B554" s="142" t="s">
        <v>1873</v>
      </c>
      <c r="C554" s="143" t="s">
        <v>167</v>
      </c>
      <c r="D554" s="143" t="s">
        <v>21</v>
      </c>
      <c r="E554" s="142"/>
      <c r="F554" s="142"/>
    </row>
    <row r="555" spans="1:6" s="113" customFormat="1" ht="26.25" x14ac:dyDescent="0.25">
      <c r="A555" s="141">
        <v>1162</v>
      </c>
      <c r="B555" s="142" t="s">
        <v>1874</v>
      </c>
      <c r="C555" s="143" t="s">
        <v>1478</v>
      </c>
      <c r="D555" s="143" t="s">
        <v>21</v>
      </c>
      <c r="E555" s="142"/>
      <c r="F555" s="142"/>
    </row>
    <row r="556" spans="1:6" s="113" customFormat="1" ht="26.25" x14ac:dyDescent="0.25">
      <c r="A556" s="141">
        <v>1164</v>
      </c>
      <c r="B556" s="142" t="s">
        <v>352</v>
      </c>
      <c r="C556" s="143" t="s">
        <v>1478</v>
      </c>
      <c r="D556" s="143" t="s">
        <v>150</v>
      </c>
      <c r="E556" s="142"/>
      <c r="F556" s="142"/>
    </row>
    <row r="557" spans="1:6" s="113" customFormat="1" ht="39" x14ac:dyDescent="0.25">
      <c r="A557" s="141">
        <v>1166</v>
      </c>
      <c r="B557" s="142" t="s">
        <v>1875</v>
      </c>
      <c r="C557" s="143" t="s">
        <v>1398</v>
      </c>
      <c r="D557" s="143" t="s">
        <v>11</v>
      </c>
      <c r="E557" s="142"/>
      <c r="F557" s="142"/>
    </row>
    <row r="558" spans="1:6" s="113" customFormat="1" ht="26.25" x14ac:dyDescent="0.25">
      <c r="A558" s="141">
        <v>1168</v>
      </c>
      <c r="B558" s="142" t="s">
        <v>1876</v>
      </c>
      <c r="C558" s="143" t="s">
        <v>22</v>
      </c>
      <c r="D558" s="143" t="s">
        <v>154</v>
      </c>
      <c r="E558" s="142"/>
      <c r="F558" s="142"/>
    </row>
    <row r="559" spans="1:6" s="113" customFormat="1" x14ac:dyDescent="0.25">
      <c r="A559" s="141">
        <v>1170</v>
      </c>
      <c r="B559" s="142" t="s">
        <v>1877</v>
      </c>
      <c r="C559" s="143" t="s">
        <v>101</v>
      </c>
      <c r="D559" s="143" t="s">
        <v>7</v>
      </c>
      <c r="E559" s="142"/>
      <c r="F559" s="142"/>
    </row>
    <row r="560" spans="1:6" s="113" customFormat="1" ht="39" x14ac:dyDescent="0.25">
      <c r="A560" s="141">
        <v>1171</v>
      </c>
      <c r="B560" s="142" t="s">
        <v>1878</v>
      </c>
      <c r="C560" s="143" t="s">
        <v>1529</v>
      </c>
      <c r="D560" s="143" t="s">
        <v>1725</v>
      </c>
      <c r="E560" s="142"/>
      <c r="F560" s="142"/>
    </row>
    <row r="561" spans="1:6" s="113" customFormat="1" x14ac:dyDescent="0.25">
      <c r="A561" s="141">
        <v>1172</v>
      </c>
      <c r="B561" s="142" t="s">
        <v>353</v>
      </c>
      <c r="C561" s="143" t="s">
        <v>47</v>
      </c>
      <c r="D561" s="143" t="s">
        <v>159</v>
      </c>
      <c r="E561" s="142"/>
      <c r="F561" s="142"/>
    </row>
    <row r="562" spans="1:6" s="113" customFormat="1" x14ac:dyDescent="0.25">
      <c r="A562" s="141">
        <v>1173</v>
      </c>
      <c r="B562" s="142" t="s">
        <v>1879</v>
      </c>
      <c r="C562" s="143" t="s">
        <v>140</v>
      </c>
      <c r="D562" s="143" t="s">
        <v>11</v>
      </c>
      <c r="E562" s="142"/>
      <c r="F562" s="142"/>
    </row>
    <row r="563" spans="1:6" s="113" customFormat="1" ht="26.25" x14ac:dyDescent="0.25">
      <c r="A563" s="141">
        <v>1174</v>
      </c>
      <c r="B563" s="142" t="s">
        <v>354</v>
      </c>
      <c r="C563" s="143" t="s">
        <v>417</v>
      </c>
      <c r="D563" s="143" t="s">
        <v>1880</v>
      </c>
      <c r="E563" s="142"/>
      <c r="F563" s="142"/>
    </row>
    <row r="564" spans="1:6" s="113" customFormat="1" ht="26.25" x14ac:dyDescent="0.25">
      <c r="A564" s="141">
        <v>1175</v>
      </c>
      <c r="B564" s="142" t="s">
        <v>1881</v>
      </c>
      <c r="C564" s="143" t="s">
        <v>8</v>
      </c>
      <c r="D564" s="143" t="s">
        <v>11</v>
      </c>
      <c r="E564" s="142"/>
      <c r="F564" s="142"/>
    </row>
    <row r="565" spans="1:6" s="113" customFormat="1" ht="26.25" x14ac:dyDescent="0.25">
      <c r="A565" s="141">
        <v>1176</v>
      </c>
      <c r="B565" s="142" t="s">
        <v>355</v>
      </c>
      <c r="C565" s="143" t="s">
        <v>1478</v>
      </c>
      <c r="D565" s="143" t="s">
        <v>173</v>
      </c>
      <c r="E565" s="142"/>
      <c r="F565" s="142"/>
    </row>
    <row r="566" spans="1:6" s="113" customFormat="1" x14ac:dyDescent="0.25">
      <c r="A566" s="141">
        <v>1180</v>
      </c>
      <c r="B566" s="142" t="s">
        <v>1882</v>
      </c>
      <c r="C566" s="143" t="s">
        <v>1455</v>
      </c>
      <c r="D566" s="254" t="s">
        <v>45</v>
      </c>
      <c r="E566" s="142"/>
      <c r="F566" s="142"/>
    </row>
    <row r="567" spans="1:6" s="113" customFormat="1" x14ac:dyDescent="0.25">
      <c r="A567" s="141">
        <v>1181</v>
      </c>
      <c r="B567" s="142" t="s">
        <v>356</v>
      </c>
      <c r="C567" s="143" t="s">
        <v>44</v>
      </c>
      <c r="D567" s="143" t="s">
        <v>7</v>
      </c>
      <c r="E567" s="142"/>
      <c r="F567" s="142"/>
    </row>
    <row r="568" spans="1:6" s="113" customFormat="1" ht="26.25" x14ac:dyDescent="0.25">
      <c r="A568" s="141">
        <v>1183</v>
      </c>
      <c r="B568" s="142" t="s">
        <v>1883</v>
      </c>
      <c r="C568" s="143" t="s">
        <v>914</v>
      </c>
      <c r="D568" s="143" t="s">
        <v>116</v>
      </c>
      <c r="E568" s="142"/>
      <c r="F568" s="142"/>
    </row>
    <row r="569" spans="1:6" s="113" customFormat="1" x14ac:dyDescent="0.25">
      <c r="A569" s="141">
        <v>1186</v>
      </c>
      <c r="B569" s="142" t="s">
        <v>357</v>
      </c>
      <c r="C569" s="143" t="s">
        <v>167</v>
      </c>
      <c r="D569" s="143" t="s">
        <v>11</v>
      </c>
      <c r="E569" s="142"/>
      <c r="F569" s="142"/>
    </row>
    <row r="570" spans="1:6" s="113" customFormat="1" ht="26.25" x14ac:dyDescent="0.25">
      <c r="A570" s="141">
        <v>1187</v>
      </c>
      <c r="B570" s="142" t="s">
        <v>358</v>
      </c>
      <c r="C570" s="143" t="s">
        <v>144</v>
      </c>
      <c r="D570" s="143" t="s">
        <v>173</v>
      </c>
      <c r="E570" s="142"/>
      <c r="F570" s="142"/>
    </row>
    <row r="571" spans="1:6" s="113" customFormat="1" x14ac:dyDescent="0.25">
      <c r="A571" s="141">
        <v>1188</v>
      </c>
      <c r="B571" s="142" t="s">
        <v>359</v>
      </c>
      <c r="C571" s="143" t="s">
        <v>38</v>
      </c>
      <c r="D571" s="143" t="s">
        <v>109</v>
      </c>
      <c r="E571" s="142"/>
      <c r="F571" s="142"/>
    </row>
    <row r="572" spans="1:6" s="113" customFormat="1" x14ac:dyDescent="0.25">
      <c r="A572" s="153">
        <v>1190</v>
      </c>
      <c r="B572" s="154" t="s">
        <v>1884</v>
      </c>
      <c r="C572" s="143" t="s">
        <v>167</v>
      </c>
      <c r="D572" s="143" t="s">
        <v>173</v>
      </c>
      <c r="E572" s="142"/>
      <c r="F572" s="142"/>
    </row>
    <row r="573" spans="1:6" s="113" customFormat="1" ht="26.25" x14ac:dyDescent="0.25">
      <c r="A573" s="141">
        <v>1191</v>
      </c>
      <c r="B573" s="142" t="s">
        <v>360</v>
      </c>
      <c r="C573" s="143" t="s">
        <v>22</v>
      </c>
      <c r="D573" s="143" t="s">
        <v>242</v>
      </c>
      <c r="E573" s="142"/>
      <c r="F573" s="142"/>
    </row>
    <row r="574" spans="1:6" s="113" customFormat="1" ht="26.25" x14ac:dyDescent="0.25">
      <c r="A574" s="141">
        <v>1192</v>
      </c>
      <c r="B574" s="142" t="s">
        <v>1885</v>
      </c>
      <c r="C574" s="143" t="s">
        <v>16</v>
      </c>
      <c r="D574" s="143" t="s">
        <v>154</v>
      </c>
      <c r="E574" s="142"/>
      <c r="F574" s="142"/>
    </row>
    <row r="575" spans="1:6" s="113" customFormat="1" x14ac:dyDescent="0.25">
      <c r="A575" s="141">
        <v>1193</v>
      </c>
      <c r="B575" s="142" t="s">
        <v>361</v>
      </c>
      <c r="C575" s="143" t="s">
        <v>140</v>
      </c>
      <c r="D575" s="143" t="s">
        <v>148</v>
      </c>
      <c r="E575" s="142"/>
      <c r="F575" s="142"/>
    </row>
    <row r="576" spans="1:6" s="113" customFormat="1" ht="26.25" x14ac:dyDescent="0.25">
      <c r="A576" s="255">
        <v>1194</v>
      </c>
      <c r="B576" s="256" t="s">
        <v>362</v>
      </c>
      <c r="C576" s="143" t="s">
        <v>6</v>
      </c>
      <c r="D576" s="257" t="s">
        <v>242</v>
      </c>
      <c r="E576" s="248"/>
      <c r="F576" s="248"/>
    </row>
    <row r="577" spans="1:8" s="113" customFormat="1" ht="26.25" x14ac:dyDescent="0.25">
      <c r="A577" s="141">
        <v>1195</v>
      </c>
      <c r="B577" s="142" t="s">
        <v>363</v>
      </c>
      <c r="C577" s="143" t="s">
        <v>167</v>
      </c>
      <c r="D577" s="143" t="s">
        <v>1591</v>
      </c>
      <c r="E577" s="142"/>
      <c r="F577" s="142"/>
    </row>
    <row r="578" spans="1:8" s="113" customFormat="1" ht="26.25" x14ac:dyDescent="0.25">
      <c r="A578" s="141">
        <v>1197</v>
      </c>
      <c r="B578" s="142" t="s">
        <v>364</v>
      </c>
      <c r="C578" s="143" t="s">
        <v>22</v>
      </c>
      <c r="D578" s="143" t="s">
        <v>302</v>
      </c>
      <c r="E578" s="142"/>
      <c r="F578" s="142"/>
    </row>
    <row r="579" spans="1:8" s="113" customFormat="1" ht="26.25" x14ac:dyDescent="0.25">
      <c r="A579" s="141">
        <v>1202</v>
      </c>
      <c r="B579" s="142" t="s">
        <v>365</v>
      </c>
      <c r="C579" s="143" t="s">
        <v>22</v>
      </c>
      <c r="D579" s="143" t="s">
        <v>1494</v>
      </c>
      <c r="E579" s="142"/>
      <c r="F579" s="142"/>
    </row>
    <row r="580" spans="1:8" s="113" customFormat="1" ht="26.25" x14ac:dyDescent="0.25">
      <c r="A580" s="141">
        <v>1203</v>
      </c>
      <c r="B580" s="142" t="s">
        <v>366</v>
      </c>
      <c r="C580" s="143" t="s">
        <v>22</v>
      </c>
      <c r="D580" s="143" t="s">
        <v>501</v>
      </c>
      <c r="E580" s="142"/>
      <c r="F580" s="142"/>
    </row>
    <row r="581" spans="1:8" s="113" customFormat="1" ht="26.25" x14ac:dyDescent="0.25">
      <c r="A581" s="141">
        <v>1206</v>
      </c>
      <c r="B581" s="142" t="s">
        <v>367</v>
      </c>
      <c r="C581" s="143" t="s">
        <v>22</v>
      </c>
      <c r="D581" s="143" t="s">
        <v>154</v>
      </c>
      <c r="E581" s="142"/>
      <c r="F581" s="142"/>
    </row>
    <row r="582" spans="1:8" s="113" customFormat="1" ht="26.25" x14ac:dyDescent="0.25">
      <c r="A582" s="141">
        <v>1208</v>
      </c>
      <c r="B582" s="142" t="s">
        <v>1886</v>
      </c>
      <c r="C582" s="143" t="s">
        <v>22</v>
      </c>
      <c r="D582" s="143" t="s">
        <v>154</v>
      </c>
      <c r="E582" s="142"/>
      <c r="F582" s="142"/>
    </row>
    <row r="583" spans="1:8" s="113" customFormat="1" ht="26.25" x14ac:dyDescent="0.25">
      <c r="A583" s="141">
        <v>1209</v>
      </c>
      <c r="B583" s="142" t="s">
        <v>368</v>
      </c>
      <c r="C583" s="143" t="s">
        <v>20</v>
      </c>
      <c r="D583" s="143" t="s">
        <v>11</v>
      </c>
      <c r="E583" s="142"/>
      <c r="F583" s="142"/>
    </row>
    <row r="584" spans="1:8" s="113" customFormat="1" ht="26.25" x14ac:dyDescent="0.25">
      <c r="A584" s="141">
        <v>1211</v>
      </c>
      <c r="B584" s="142" t="s">
        <v>1887</v>
      </c>
      <c r="C584" s="143" t="s">
        <v>22</v>
      </c>
      <c r="D584" s="143" t="s">
        <v>1494</v>
      </c>
      <c r="E584" s="142"/>
      <c r="F584" s="142"/>
    </row>
    <row r="585" spans="1:8" s="113" customFormat="1" x14ac:dyDescent="0.25">
      <c r="A585" s="153">
        <v>1245</v>
      </c>
      <c r="B585" s="154" t="s">
        <v>1888</v>
      </c>
      <c r="C585" s="143" t="s">
        <v>167</v>
      </c>
      <c r="D585" s="143" t="s">
        <v>150</v>
      </c>
      <c r="E585" s="142"/>
      <c r="F585" s="142"/>
    </row>
    <row r="586" spans="1:8" s="113" customFormat="1" ht="15.75" thickBot="1" x14ac:dyDescent="0.3">
      <c r="A586" s="141">
        <v>1367</v>
      </c>
      <c r="B586" s="142" t="s">
        <v>1889</v>
      </c>
      <c r="C586" s="143" t="s">
        <v>10</v>
      </c>
      <c r="D586" s="143" t="s">
        <v>11</v>
      </c>
      <c r="E586" s="142"/>
      <c r="F586" s="142"/>
    </row>
    <row r="587" spans="1:8" s="252" customFormat="1" x14ac:dyDescent="0.25">
      <c r="A587" s="141">
        <v>1414</v>
      </c>
      <c r="B587" s="142" t="s">
        <v>369</v>
      </c>
      <c r="C587" s="143" t="s">
        <v>63</v>
      </c>
      <c r="D587" s="143" t="s">
        <v>11</v>
      </c>
      <c r="E587" s="142"/>
      <c r="F587" s="142"/>
      <c r="G587" s="113"/>
      <c r="H587" s="113"/>
    </row>
    <row r="588" spans="1:8" s="226" customFormat="1" x14ac:dyDescent="0.25">
      <c r="A588" s="141">
        <v>1419</v>
      </c>
      <c r="B588" s="142" t="s">
        <v>370</v>
      </c>
      <c r="C588" s="143" t="s">
        <v>44</v>
      </c>
      <c r="D588" s="143" t="s">
        <v>11</v>
      </c>
      <c r="E588" s="142"/>
      <c r="F588" s="142"/>
      <c r="G588" s="113"/>
      <c r="H588" s="113"/>
    </row>
    <row r="589" spans="1:8" s="226" customFormat="1" ht="26.25" x14ac:dyDescent="0.25">
      <c r="A589" s="141">
        <v>1619</v>
      </c>
      <c r="B589" s="142" t="s">
        <v>374</v>
      </c>
      <c r="C589" s="143" t="s">
        <v>27</v>
      </c>
      <c r="D589" s="258" t="s">
        <v>45</v>
      </c>
      <c r="E589" s="144"/>
      <c r="F589" s="142"/>
      <c r="G589" s="113"/>
      <c r="H589" s="113"/>
    </row>
    <row r="590" spans="1:8" s="226" customFormat="1" ht="26.25" x14ac:dyDescent="0.25">
      <c r="A590" s="141">
        <v>1641</v>
      </c>
      <c r="B590" s="142" t="s">
        <v>375</v>
      </c>
      <c r="C590" s="143" t="s">
        <v>22</v>
      </c>
      <c r="D590" s="143" t="s">
        <v>268</v>
      </c>
      <c r="E590" s="142"/>
      <c r="F590" s="142"/>
      <c r="G590" s="113"/>
      <c r="H590" s="113"/>
    </row>
    <row r="591" spans="1:8" s="226" customFormat="1" x14ac:dyDescent="0.25">
      <c r="A591" s="141">
        <v>1667</v>
      </c>
      <c r="B591" s="142" t="s">
        <v>376</v>
      </c>
      <c r="C591" s="143" t="s">
        <v>38</v>
      </c>
      <c r="D591" s="143" t="s">
        <v>109</v>
      </c>
      <c r="E591" s="142"/>
      <c r="F591" s="142"/>
      <c r="G591" s="113"/>
      <c r="H591" s="113"/>
    </row>
    <row r="592" spans="1:8" s="226" customFormat="1" x14ac:dyDescent="0.25">
      <c r="A592" s="141">
        <v>1678</v>
      </c>
      <c r="B592" s="142" t="s">
        <v>377</v>
      </c>
      <c r="C592" s="143" t="s">
        <v>107</v>
      </c>
      <c r="D592" s="148" t="s">
        <v>1536</v>
      </c>
      <c r="E592" s="144"/>
      <c r="F592" s="142"/>
      <c r="G592" s="113"/>
      <c r="H592" s="113"/>
    </row>
    <row r="593" spans="1:8" s="226" customFormat="1" x14ac:dyDescent="0.25">
      <c r="A593" s="141">
        <v>1689</v>
      </c>
      <c r="B593" s="142" t="s">
        <v>1890</v>
      </c>
      <c r="C593" s="143" t="s">
        <v>140</v>
      </c>
      <c r="D593" s="143" t="s">
        <v>109</v>
      </c>
      <c r="E593" s="142"/>
      <c r="F593" s="142"/>
      <c r="G593" s="113"/>
      <c r="H593" s="113"/>
    </row>
    <row r="594" spans="1:8" s="226" customFormat="1" x14ac:dyDescent="0.25">
      <c r="A594" s="141">
        <v>1692</v>
      </c>
      <c r="B594" s="142" t="s">
        <v>1891</v>
      </c>
      <c r="C594" s="143" t="s">
        <v>32</v>
      </c>
      <c r="D594" s="143" t="s">
        <v>154</v>
      </c>
      <c r="E594" s="142"/>
      <c r="F594" s="142"/>
      <c r="G594" s="113"/>
      <c r="H594" s="113"/>
    </row>
    <row r="595" spans="1:8" s="226" customFormat="1" ht="26.25" x14ac:dyDescent="0.25">
      <c r="A595" s="141">
        <v>1730</v>
      </c>
      <c r="B595" s="142" t="s">
        <v>378</v>
      </c>
      <c r="C595" s="143" t="s">
        <v>22</v>
      </c>
      <c r="D595" s="143" t="s">
        <v>154</v>
      </c>
      <c r="E595" s="142"/>
      <c r="F595" s="142"/>
      <c r="G595" s="113"/>
      <c r="H595" s="113"/>
    </row>
    <row r="596" spans="1:8" s="226" customFormat="1" ht="26.25" x14ac:dyDescent="0.25">
      <c r="A596" s="141">
        <v>1745</v>
      </c>
      <c r="B596" s="142" t="s">
        <v>379</v>
      </c>
      <c r="C596" s="143" t="s">
        <v>27</v>
      </c>
      <c r="D596" s="143" t="s">
        <v>242</v>
      </c>
      <c r="E596" s="142"/>
      <c r="F596" s="142"/>
      <c r="G596" s="113"/>
      <c r="H596" s="113"/>
    </row>
    <row r="597" spans="1:8" s="226" customFormat="1" x14ac:dyDescent="0.25">
      <c r="A597" s="141">
        <v>1749</v>
      </c>
      <c r="B597" s="142" t="s">
        <v>1892</v>
      </c>
      <c r="C597" s="143" t="s">
        <v>38</v>
      </c>
      <c r="D597" s="143" t="s">
        <v>150</v>
      </c>
      <c r="E597" s="142"/>
      <c r="F597" s="142"/>
      <c r="G597" s="113"/>
      <c r="H597" s="113"/>
    </row>
    <row r="598" spans="1:8" s="226" customFormat="1" x14ac:dyDescent="0.25">
      <c r="A598" s="141">
        <v>1750</v>
      </c>
      <c r="B598" s="142" t="s">
        <v>1893</v>
      </c>
      <c r="C598" s="143" t="s">
        <v>30</v>
      </c>
      <c r="D598" s="143" t="s">
        <v>150</v>
      </c>
      <c r="E598" s="142"/>
      <c r="F598" s="142"/>
      <c r="G598" s="113"/>
      <c r="H598" s="113"/>
    </row>
    <row r="599" spans="1:8" s="253" customFormat="1" ht="27" thickBot="1" x14ac:dyDescent="0.3">
      <c r="A599" s="141">
        <v>1758</v>
      </c>
      <c r="B599" s="142" t="s">
        <v>1894</v>
      </c>
      <c r="C599" s="143" t="s">
        <v>22</v>
      </c>
      <c r="D599" s="143" t="s">
        <v>154</v>
      </c>
      <c r="E599" s="142"/>
      <c r="F599" s="142"/>
      <c r="G599" s="113"/>
      <c r="H599" s="113"/>
    </row>
    <row r="600" spans="1:8" s="113" customFormat="1" ht="26.25" x14ac:dyDescent="0.25">
      <c r="A600" s="141">
        <v>1760</v>
      </c>
      <c r="B600" s="142" t="s">
        <v>380</v>
      </c>
      <c r="C600" s="143" t="s">
        <v>216</v>
      </c>
      <c r="D600" s="143" t="s">
        <v>1895</v>
      </c>
      <c r="E600" s="142"/>
      <c r="F600" s="142"/>
    </row>
    <row r="601" spans="1:8" s="113" customFormat="1" x14ac:dyDescent="0.25">
      <c r="A601" s="141">
        <v>1762</v>
      </c>
      <c r="B601" s="142" t="s">
        <v>381</v>
      </c>
      <c r="C601" s="143" t="s">
        <v>73</v>
      </c>
      <c r="D601" s="143" t="s">
        <v>154</v>
      </c>
      <c r="E601" s="142"/>
      <c r="F601" s="142"/>
    </row>
    <row r="602" spans="1:8" s="113" customFormat="1" ht="39" x14ac:dyDescent="0.25">
      <c r="A602" s="141">
        <v>1770</v>
      </c>
      <c r="B602" s="142" t="s">
        <v>382</v>
      </c>
      <c r="C602" s="143" t="s">
        <v>1398</v>
      </c>
      <c r="D602" s="143" t="s">
        <v>7</v>
      </c>
      <c r="E602" s="142"/>
      <c r="F602" s="142"/>
    </row>
    <row r="603" spans="1:8" s="113" customFormat="1" x14ac:dyDescent="0.25">
      <c r="A603" s="190">
        <v>1770</v>
      </c>
      <c r="B603" s="606" t="s">
        <v>3381</v>
      </c>
      <c r="C603" s="606" t="s">
        <v>1398</v>
      </c>
      <c r="D603" s="606" t="s">
        <v>7</v>
      </c>
      <c r="E603" s="606"/>
      <c r="F603" s="606"/>
    </row>
    <row r="604" spans="1:8" s="113" customFormat="1" x14ac:dyDescent="0.25">
      <c r="A604" s="190">
        <v>1770</v>
      </c>
      <c r="B604" s="606" t="s">
        <v>3381</v>
      </c>
      <c r="C604" s="606" t="s">
        <v>1398</v>
      </c>
      <c r="D604" s="606" t="s">
        <v>7</v>
      </c>
      <c r="E604" s="606"/>
      <c r="F604" s="606"/>
      <c r="G604" s="194"/>
      <c r="H604" s="194"/>
    </row>
    <row r="605" spans="1:8" s="113" customFormat="1" x14ac:dyDescent="0.25">
      <c r="A605" s="141">
        <v>1773</v>
      </c>
      <c r="B605" s="142" t="s">
        <v>1896</v>
      </c>
      <c r="C605" s="143" t="s">
        <v>73</v>
      </c>
      <c r="D605" s="143" t="s">
        <v>116</v>
      </c>
      <c r="E605" s="142"/>
      <c r="F605" s="142"/>
    </row>
    <row r="606" spans="1:8" s="113" customFormat="1" ht="26.25" x14ac:dyDescent="0.25">
      <c r="A606" s="141">
        <v>1774</v>
      </c>
      <c r="B606" s="142" t="s">
        <v>1897</v>
      </c>
      <c r="C606" s="143" t="s">
        <v>27</v>
      </c>
      <c r="D606" s="143" t="s">
        <v>11</v>
      </c>
      <c r="E606" s="142"/>
      <c r="F606" s="142"/>
    </row>
    <row r="607" spans="1:8" s="113" customFormat="1" ht="26.25" x14ac:dyDescent="0.25">
      <c r="A607" s="141">
        <v>1775</v>
      </c>
      <c r="B607" s="142" t="s">
        <v>383</v>
      </c>
      <c r="C607" s="143" t="s">
        <v>3</v>
      </c>
      <c r="D607" s="143" t="s">
        <v>242</v>
      </c>
      <c r="E607" s="142"/>
      <c r="F607" s="142"/>
    </row>
    <row r="608" spans="1:8" s="113" customFormat="1" ht="26.25" x14ac:dyDescent="0.25">
      <c r="A608" s="141">
        <v>1782</v>
      </c>
      <c r="B608" s="142" t="s">
        <v>1898</v>
      </c>
      <c r="C608" s="143" t="s">
        <v>120</v>
      </c>
      <c r="D608" s="143" t="s">
        <v>14</v>
      </c>
      <c r="E608" s="142"/>
      <c r="F608" s="142"/>
    </row>
    <row r="609" spans="1:6" s="113" customFormat="1" ht="26.25" x14ac:dyDescent="0.25">
      <c r="A609" s="141">
        <v>1784</v>
      </c>
      <c r="B609" s="142" t="s">
        <v>385</v>
      </c>
      <c r="C609" s="143" t="s">
        <v>6</v>
      </c>
      <c r="D609" s="143" t="s">
        <v>116</v>
      </c>
      <c r="E609" s="142"/>
      <c r="F609" s="142"/>
    </row>
    <row r="610" spans="1:6" s="113" customFormat="1" x14ac:dyDescent="0.25">
      <c r="A610" s="141">
        <v>1785</v>
      </c>
      <c r="B610" s="142" t="s">
        <v>1899</v>
      </c>
      <c r="C610" s="143" t="s">
        <v>101</v>
      </c>
      <c r="D610" s="143" t="s">
        <v>11</v>
      </c>
      <c r="E610" s="142"/>
      <c r="F610" s="142"/>
    </row>
    <row r="611" spans="1:6" s="113" customFormat="1" x14ac:dyDescent="0.25">
      <c r="A611" s="141">
        <v>1786</v>
      </c>
      <c r="B611" s="142" t="s">
        <v>386</v>
      </c>
      <c r="C611" s="143" t="s">
        <v>38</v>
      </c>
      <c r="D611" s="143" t="s">
        <v>11</v>
      </c>
      <c r="E611" s="142"/>
      <c r="F611" s="142"/>
    </row>
    <row r="612" spans="1:6" s="113" customFormat="1" x14ac:dyDescent="0.25">
      <c r="A612" s="141">
        <v>1787</v>
      </c>
      <c r="B612" s="142" t="s">
        <v>1900</v>
      </c>
      <c r="C612" s="143" t="s">
        <v>64</v>
      </c>
      <c r="D612" s="143" t="s">
        <v>7</v>
      </c>
      <c r="E612" s="142"/>
      <c r="F612" s="142"/>
    </row>
    <row r="613" spans="1:6" s="113" customFormat="1" x14ac:dyDescent="0.25">
      <c r="A613" s="141">
        <v>1792</v>
      </c>
      <c r="B613" s="142" t="s">
        <v>388</v>
      </c>
      <c r="C613" s="143" t="s">
        <v>47</v>
      </c>
      <c r="D613" s="143" t="s">
        <v>11</v>
      </c>
      <c r="E613" s="142"/>
      <c r="F613" s="142"/>
    </row>
    <row r="614" spans="1:6" s="113" customFormat="1" x14ac:dyDescent="0.25">
      <c r="A614" s="255">
        <v>1793</v>
      </c>
      <c r="B614" s="259" t="s">
        <v>1901</v>
      </c>
      <c r="C614" s="143" t="s">
        <v>73</v>
      </c>
      <c r="D614" s="251" t="s">
        <v>1131</v>
      </c>
      <c r="E614" s="250"/>
      <c r="F614" s="250"/>
    </row>
    <row r="615" spans="1:6" s="113" customFormat="1" x14ac:dyDescent="0.25">
      <c r="A615" s="141">
        <v>1797</v>
      </c>
      <c r="B615" s="142" t="s">
        <v>1902</v>
      </c>
      <c r="C615" s="143" t="s">
        <v>387</v>
      </c>
      <c r="D615" s="143" t="s">
        <v>11</v>
      </c>
      <c r="E615" s="142"/>
      <c r="F615" s="142"/>
    </row>
    <row r="616" spans="1:6" s="113" customFormat="1" x14ac:dyDescent="0.25">
      <c r="A616" s="141">
        <v>1798</v>
      </c>
      <c r="B616" s="142" t="s">
        <v>389</v>
      </c>
      <c r="C616" s="143" t="s">
        <v>167</v>
      </c>
      <c r="D616" s="143" t="s">
        <v>109</v>
      </c>
      <c r="E616" s="142"/>
      <c r="F616" s="142"/>
    </row>
    <row r="617" spans="1:6" s="113" customFormat="1" ht="26.25" x14ac:dyDescent="0.25">
      <c r="A617" s="141">
        <v>1805</v>
      </c>
      <c r="B617" s="142" t="s">
        <v>1903</v>
      </c>
      <c r="C617" s="143" t="s">
        <v>96</v>
      </c>
      <c r="D617" s="143" t="s">
        <v>11</v>
      </c>
      <c r="E617" s="142"/>
      <c r="F617" s="142"/>
    </row>
    <row r="618" spans="1:6" s="113" customFormat="1" x14ac:dyDescent="0.25">
      <c r="A618" s="141">
        <v>1811</v>
      </c>
      <c r="B618" s="142" t="s">
        <v>1904</v>
      </c>
      <c r="C618" s="143" t="s">
        <v>38</v>
      </c>
      <c r="D618" s="143" t="s">
        <v>453</v>
      </c>
      <c r="E618" s="142"/>
      <c r="F618" s="142"/>
    </row>
    <row r="619" spans="1:6" s="113" customFormat="1" x14ac:dyDescent="0.25">
      <c r="A619" s="141">
        <v>1814</v>
      </c>
      <c r="B619" s="142" t="s">
        <v>1905</v>
      </c>
      <c r="C619" s="143" t="s">
        <v>73</v>
      </c>
      <c r="D619" s="143" t="s">
        <v>21</v>
      </c>
      <c r="E619" s="142"/>
      <c r="F619" s="142"/>
    </row>
    <row r="620" spans="1:6" s="113" customFormat="1" ht="26.25" x14ac:dyDescent="0.25">
      <c r="A620" s="141">
        <v>1818</v>
      </c>
      <c r="B620" s="142" t="s">
        <v>390</v>
      </c>
      <c r="C620" s="143" t="s">
        <v>96</v>
      </c>
      <c r="D620" s="143" t="s">
        <v>7</v>
      </c>
      <c r="E620" s="142"/>
      <c r="F620" s="142"/>
    </row>
    <row r="621" spans="1:6" s="113" customFormat="1" x14ac:dyDescent="0.25">
      <c r="A621" s="141">
        <v>1820</v>
      </c>
      <c r="B621" s="142" t="s">
        <v>1906</v>
      </c>
      <c r="C621" s="143" t="s">
        <v>38</v>
      </c>
      <c r="D621" s="143" t="s">
        <v>148</v>
      </c>
      <c r="E621" s="142"/>
      <c r="F621" s="142"/>
    </row>
    <row r="622" spans="1:6" s="113" customFormat="1" x14ac:dyDescent="0.25">
      <c r="A622" s="141">
        <v>1821</v>
      </c>
      <c r="B622" s="142" t="s">
        <v>1907</v>
      </c>
      <c r="C622" s="143" t="s">
        <v>140</v>
      </c>
      <c r="D622" s="143" t="s">
        <v>109</v>
      </c>
      <c r="E622" s="142"/>
      <c r="F622" s="142"/>
    </row>
    <row r="623" spans="1:6" s="113" customFormat="1" x14ac:dyDescent="0.25">
      <c r="A623" s="141">
        <v>1824</v>
      </c>
      <c r="B623" s="142" t="s">
        <v>1908</v>
      </c>
      <c r="C623" s="143" t="s">
        <v>122</v>
      </c>
      <c r="D623" s="143" t="s">
        <v>150</v>
      </c>
      <c r="E623" s="142"/>
      <c r="F623" s="142"/>
    </row>
    <row r="624" spans="1:6" s="113" customFormat="1" x14ac:dyDescent="0.25">
      <c r="A624" s="141">
        <v>1825</v>
      </c>
      <c r="B624" s="142" t="s">
        <v>1909</v>
      </c>
      <c r="C624" s="143" t="s">
        <v>64</v>
      </c>
      <c r="D624" s="143" t="s">
        <v>228</v>
      </c>
      <c r="E624" s="142"/>
      <c r="F624" s="142"/>
    </row>
    <row r="625" spans="1:6" s="113" customFormat="1" ht="26.25" x14ac:dyDescent="0.25">
      <c r="A625" s="141">
        <v>1826</v>
      </c>
      <c r="B625" s="142" t="s">
        <v>391</v>
      </c>
      <c r="C625" s="143" t="s">
        <v>108</v>
      </c>
      <c r="D625" s="143" t="s">
        <v>148</v>
      </c>
      <c r="E625" s="142"/>
      <c r="F625" s="142"/>
    </row>
    <row r="626" spans="1:6" s="113" customFormat="1" x14ac:dyDescent="0.25">
      <c r="A626" s="141">
        <v>1829</v>
      </c>
      <c r="B626" s="142" t="s">
        <v>1910</v>
      </c>
      <c r="C626" s="143" t="s">
        <v>90</v>
      </c>
      <c r="D626" s="143" t="s">
        <v>21</v>
      </c>
      <c r="E626" s="142"/>
      <c r="F626" s="142"/>
    </row>
    <row r="627" spans="1:6" s="113" customFormat="1" ht="26.25" x14ac:dyDescent="0.25">
      <c r="A627" s="141">
        <v>1837</v>
      </c>
      <c r="B627" s="142" t="s">
        <v>392</v>
      </c>
      <c r="C627" s="143" t="s">
        <v>1911</v>
      </c>
      <c r="D627" s="143" t="s">
        <v>415</v>
      </c>
      <c r="E627" s="142"/>
      <c r="F627" s="142"/>
    </row>
    <row r="628" spans="1:6" s="113" customFormat="1" ht="26.25" x14ac:dyDescent="0.25">
      <c r="A628" s="141">
        <v>1838</v>
      </c>
      <c r="B628" s="142" t="s">
        <v>1912</v>
      </c>
      <c r="C628" s="143" t="s">
        <v>144</v>
      </c>
      <c r="D628" s="143" t="s">
        <v>171</v>
      </c>
      <c r="E628" s="142"/>
      <c r="F628" s="142"/>
    </row>
    <row r="629" spans="1:6" s="113" customFormat="1" x14ac:dyDescent="0.25">
      <c r="A629" s="141">
        <v>1841</v>
      </c>
      <c r="B629" s="142" t="s">
        <v>393</v>
      </c>
      <c r="C629" s="143" t="s">
        <v>122</v>
      </c>
      <c r="D629" s="143" t="s">
        <v>501</v>
      </c>
      <c r="E629" s="142"/>
      <c r="F629" s="142"/>
    </row>
    <row r="630" spans="1:6" s="113" customFormat="1" x14ac:dyDescent="0.25">
      <c r="A630" s="141">
        <v>1844</v>
      </c>
      <c r="B630" s="142" t="s">
        <v>1913</v>
      </c>
      <c r="C630" s="143" t="s">
        <v>195</v>
      </c>
      <c r="D630" s="143" t="s">
        <v>14</v>
      </c>
      <c r="E630" s="142"/>
      <c r="F630" s="142"/>
    </row>
    <row r="631" spans="1:6" s="113" customFormat="1" x14ac:dyDescent="0.25">
      <c r="A631" s="141">
        <v>1845</v>
      </c>
      <c r="B631" s="142" t="s">
        <v>394</v>
      </c>
      <c r="C631" s="143" t="s">
        <v>384</v>
      </c>
      <c r="D631" s="143" t="s">
        <v>415</v>
      </c>
      <c r="E631" s="142"/>
      <c r="F631" s="142"/>
    </row>
    <row r="632" spans="1:6" s="113" customFormat="1" ht="26.25" x14ac:dyDescent="0.25">
      <c r="A632" s="141">
        <v>1848</v>
      </c>
      <c r="B632" s="142" t="s">
        <v>1914</v>
      </c>
      <c r="C632" s="143" t="s">
        <v>395</v>
      </c>
      <c r="D632" s="143" t="s">
        <v>237</v>
      </c>
      <c r="E632" s="142"/>
      <c r="F632" s="142"/>
    </row>
    <row r="633" spans="1:6" s="113" customFormat="1" x14ac:dyDescent="0.25">
      <c r="A633" s="141">
        <v>1850</v>
      </c>
      <c r="B633" s="142" t="s">
        <v>1915</v>
      </c>
      <c r="C633" s="143" t="s">
        <v>195</v>
      </c>
      <c r="D633" s="143" t="s">
        <v>21</v>
      </c>
      <c r="E633" s="142"/>
      <c r="F633" s="142"/>
    </row>
    <row r="634" spans="1:6" s="113" customFormat="1" x14ac:dyDescent="0.25">
      <c r="A634" s="141">
        <v>1852</v>
      </c>
      <c r="B634" s="142" t="s">
        <v>396</v>
      </c>
      <c r="C634" s="143" t="s">
        <v>195</v>
      </c>
      <c r="D634" s="143" t="s">
        <v>21</v>
      </c>
      <c r="E634" s="142"/>
      <c r="F634" s="142"/>
    </row>
    <row r="635" spans="1:6" s="113" customFormat="1" x14ac:dyDescent="0.25">
      <c r="A635" s="141">
        <v>1854</v>
      </c>
      <c r="B635" s="142" t="s">
        <v>397</v>
      </c>
      <c r="C635" s="143" t="s">
        <v>324</v>
      </c>
      <c r="D635" s="143" t="s">
        <v>14</v>
      </c>
      <c r="E635" s="142"/>
      <c r="F635" s="142"/>
    </row>
    <row r="636" spans="1:6" s="113" customFormat="1" x14ac:dyDescent="0.25">
      <c r="A636" s="141">
        <v>1856</v>
      </c>
      <c r="B636" s="142" t="s">
        <v>398</v>
      </c>
      <c r="C636" s="143" t="s">
        <v>195</v>
      </c>
      <c r="D636" s="143" t="s">
        <v>45</v>
      </c>
      <c r="E636" s="142"/>
      <c r="F636" s="142"/>
    </row>
    <row r="637" spans="1:6" s="113" customFormat="1" x14ac:dyDescent="0.25">
      <c r="A637" s="141">
        <v>1857</v>
      </c>
      <c r="B637" s="142" t="s">
        <v>1916</v>
      </c>
      <c r="C637" s="143" t="s">
        <v>195</v>
      </c>
      <c r="D637" s="143" t="s">
        <v>45</v>
      </c>
      <c r="E637" s="142"/>
      <c r="F637" s="142"/>
    </row>
    <row r="638" spans="1:6" s="113" customFormat="1" x14ac:dyDescent="0.25">
      <c r="A638" s="141">
        <v>1858</v>
      </c>
      <c r="B638" s="142" t="s">
        <v>1917</v>
      </c>
      <c r="C638" s="143" t="s">
        <v>324</v>
      </c>
      <c r="D638" s="143" t="s">
        <v>154</v>
      </c>
      <c r="E638" s="142"/>
      <c r="F638" s="142"/>
    </row>
    <row r="639" spans="1:6" s="113" customFormat="1" x14ac:dyDescent="0.25">
      <c r="A639" s="141">
        <v>1860</v>
      </c>
      <c r="B639" s="142" t="s">
        <v>1918</v>
      </c>
      <c r="C639" s="143" t="s">
        <v>384</v>
      </c>
      <c r="D639" s="143" t="s">
        <v>11</v>
      </c>
      <c r="E639" s="142"/>
      <c r="F639" s="142"/>
    </row>
    <row r="640" spans="1:6" s="113" customFormat="1" ht="26.25" x14ac:dyDescent="0.25">
      <c r="A640" s="141">
        <v>1862</v>
      </c>
      <c r="B640" s="142" t="s">
        <v>1919</v>
      </c>
      <c r="C640" s="143" t="s">
        <v>22</v>
      </c>
      <c r="D640" s="143" t="s">
        <v>501</v>
      </c>
      <c r="E640" s="142"/>
      <c r="F640" s="142"/>
    </row>
    <row r="641" spans="1:6" s="113" customFormat="1" ht="26.25" x14ac:dyDescent="0.25">
      <c r="A641" s="141">
        <v>1863</v>
      </c>
      <c r="B641" s="142" t="s">
        <v>399</v>
      </c>
      <c r="C641" s="143" t="s">
        <v>96</v>
      </c>
      <c r="D641" s="143" t="s">
        <v>242</v>
      </c>
      <c r="E641" s="142"/>
      <c r="F641" s="142"/>
    </row>
    <row r="642" spans="1:6" s="113" customFormat="1" x14ac:dyDescent="0.25">
      <c r="A642" s="141">
        <v>1864</v>
      </c>
      <c r="B642" s="142" t="s">
        <v>400</v>
      </c>
      <c r="C642" s="143" t="s">
        <v>384</v>
      </c>
      <c r="D642" s="143" t="s">
        <v>415</v>
      </c>
      <c r="E642" s="142"/>
      <c r="F642" s="142"/>
    </row>
    <row r="643" spans="1:6" s="113" customFormat="1" x14ac:dyDescent="0.25">
      <c r="A643" s="141">
        <v>1865</v>
      </c>
      <c r="B643" s="142" t="s">
        <v>1920</v>
      </c>
      <c r="C643" s="143" t="s">
        <v>24</v>
      </c>
      <c r="D643" s="143" t="s">
        <v>37</v>
      </c>
      <c r="E643" s="142"/>
      <c r="F643" s="142"/>
    </row>
    <row r="644" spans="1:6" s="113" customFormat="1" x14ac:dyDescent="0.25">
      <c r="A644" s="141">
        <v>1866</v>
      </c>
      <c r="B644" s="142" t="s">
        <v>401</v>
      </c>
      <c r="C644" s="143" t="s">
        <v>24</v>
      </c>
      <c r="D644" s="143" t="s">
        <v>37</v>
      </c>
      <c r="E644" s="142"/>
      <c r="F644" s="142"/>
    </row>
    <row r="645" spans="1:6" s="113" customFormat="1" x14ac:dyDescent="0.25">
      <c r="A645" s="141">
        <v>1868</v>
      </c>
      <c r="B645" s="142" t="s">
        <v>402</v>
      </c>
      <c r="C645" s="143" t="s">
        <v>64</v>
      </c>
      <c r="D645" s="143" t="s">
        <v>237</v>
      </c>
      <c r="E645" s="142"/>
      <c r="F645" s="142"/>
    </row>
    <row r="646" spans="1:6" s="113" customFormat="1" x14ac:dyDescent="0.25">
      <c r="A646" s="141">
        <v>1870</v>
      </c>
      <c r="B646" s="142" t="s">
        <v>403</v>
      </c>
      <c r="C646" s="143" t="s">
        <v>24</v>
      </c>
      <c r="D646" s="143" t="s">
        <v>37</v>
      </c>
      <c r="E646" s="142"/>
      <c r="F646" s="142"/>
    </row>
    <row r="647" spans="1:6" s="113" customFormat="1" x14ac:dyDescent="0.25">
      <c r="A647" s="141">
        <v>1874</v>
      </c>
      <c r="B647" s="142" t="s">
        <v>1921</v>
      </c>
      <c r="C647" s="143" t="s">
        <v>64</v>
      </c>
      <c r="D647" s="143" t="s">
        <v>415</v>
      </c>
      <c r="E647" s="142"/>
      <c r="F647" s="142"/>
    </row>
    <row r="648" spans="1:6" s="113" customFormat="1" x14ac:dyDescent="0.25">
      <c r="A648" s="141">
        <v>1876</v>
      </c>
      <c r="B648" s="142" t="s">
        <v>404</v>
      </c>
      <c r="C648" s="143" t="s">
        <v>24</v>
      </c>
      <c r="D648" s="143" t="s">
        <v>415</v>
      </c>
      <c r="E648" s="142"/>
      <c r="F648" s="142"/>
    </row>
    <row r="649" spans="1:6" s="113" customFormat="1" x14ac:dyDescent="0.25">
      <c r="A649" s="141">
        <v>1881</v>
      </c>
      <c r="B649" s="142" t="s">
        <v>1922</v>
      </c>
      <c r="C649" s="143" t="s">
        <v>90</v>
      </c>
      <c r="D649" s="143" t="s">
        <v>11</v>
      </c>
      <c r="E649" s="142"/>
      <c r="F649" s="142"/>
    </row>
    <row r="650" spans="1:6" s="113" customFormat="1" ht="26.25" x14ac:dyDescent="0.25">
      <c r="A650" s="141">
        <v>1884</v>
      </c>
      <c r="B650" s="142" t="s">
        <v>405</v>
      </c>
      <c r="C650" s="143" t="s">
        <v>107</v>
      </c>
      <c r="D650" s="143" t="s">
        <v>1923</v>
      </c>
      <c r="E650" s="142"/>
      <c r="F650" s="142"/>
    </row>
    <row r="651" spans="1:6" s="113" customFormat="1" ht="26.25" x14ac:dyDescent="0.25">
      <c r="A651" s="141">
        <v>1886</v>
      </c>
      <c r="B651" s="142" t="s">
        <v>1924</v>
      </c>
      <c r="C651" s="143" t="s">
        <v>120</v>
      </c>
      <c r="D651" s="143" t="s">
        <v>14</v>
      </c>
      <c r="E651" s="142"/>
      <c r="F651" s="142"/>
    </row>
    <row r="652" spans="1:6" s="113" customFormat="1" x14ac:dyDescent="0.25">
      <c r="A652" s="153">
        <v>1887</v>
      </c>
      <c r="B652" s="154" t="s">
        <v>1925</v>
      </c>
      <c r="C652" s="143" t="s">
        <v>387</v>
      </c>
      <c r="D652" s="143" t="s">
        <v>11</v>
      </c>
      <c r="E652" s="142"/>
      <c r="F652" s="142"/>
    </row>
    <row r="653" spans="1:6" s="113" customFormat="1" x14ac:dyDescent="0.25">
      <c r="A653" s="141">
        <v>1896</v>
      </c>
      <c r="B653" s="142" t="s">
        <v>1926</v>
      </c>
      <c r="C653" s="143" t="s">
        <v>38</v>
      </c>
      <c r="D653" s="143" t="s">
        <v>7</v>
      </c>
      <c r="E653" s="142"/>
      <c r="F653" s="142"/>
    </row>
    <row r="654" spans="1:6" s="113" customFormat="1" ht="26.25" x14ac:dyDescent="0.25">
      <c r="A654" s="141">
        <v>1897</v>
      </c>
      <c r="B654" s="142" t="s">
        <v>406</v>
      </c>
      <c r="C654" s="143" t="s">
        <v>22</v>
      </c>
      <c r="D654" s="143" t="s">
        <v>242</v>
      </c>
      <c r="E654" s="142"/>
      <c r="F654" s="142"/>
    </row>
    <row r="655" spans="1:6" s="113" customFormat="1" x14ac:dyDescent="0.25">
      <c r="A655" s="141">
        <v>1901</v>
      </c>
      <c r="B655" s="142" t="s">
        <v>1927</v>
      </c>
      <c r="C655" s="143" t="s">
        <v>140</v>
      </c>
      <c r="D655" s="143" t="s">
        <v>7</v>
      </c>
      <c r="E655" s="142"/>
      <c r="F655" s="142"/>
    </row>
    <row r="656" spans="1:6" s="113" customFormat="1" ht="26.25" x14ac:dyDescent="0.25">
      <c r="A656" s="141">
        <v>1902</v>
      </c>
      <c r="B656" s="142" t="s">
        <v>407</v>
      </c>
      <c r="C656" s="143" t="s">
        <v>73</v>
      </c>
      <c r="D656" s="143" t="s">
        <v>1591</v>
      </c>
      <c r="E656" s="142"/>
      <c r="F656" s="142"/>
    </row>
    <row r="657" spans="1:7" s="113" customFormat="1" x14ac:dyDescent="0.25">
      <c r="A657" s="141">
        <v>1903</v>
      </c>
      <c r="B657" s="142" t="s">
        <v>409</v>
      </c>
      <c r="C657" s="143" t="s">
        <v>47</v>
      </c>
      <c r="D657" s="143" t="s">
        <v>179</v>
      </c>
      <c r="E657" s="142"/>
      <c r="F657" s="142"/>
    </row>
    <row r="658" spans="1:7" s="113" customFormat="1" ht="26.25" x14ac:dyDescent="0.25">
      <c r="A658" s="141">
        <v>1905</v>
      </c>
      <c r="B658" s="142" t="s">
        <v>410</v>
      </c>
      <c r="C658" s="143" t="s">
        <v>3</v>
      </c>
      <c r="D658" s="143" t="s">
        <v>14</v>
      </c>
      <c r="E658" s="142"/>
      <c r="F658" s="142"/>
    </row>
    <row r="659" spans="1:7" s="113" customFormat="1" x14ac:dyDescent="0.25">
      <c r="A659" s="141">
        <v>1906</v>
      </c>
      <c r="B659" s="142" t="s">
        <v>411</v>
      </c>
      <c r="C659" s="143" t="s">
        <v>38</v>
      </c>
      <c r="D659" s="143" t="s">
        <v>109</v>
      </c>
      <c r="E659" s="142"/>
      <c r="F659" s="142"/>
    </row>
    <row r="660" spans="1:7" s="113" customFormat="1" ht="26.25" x14ac:dyDescent="0.25">
      <c r="A660" s="141">
        <v>1908</v>
      </c>
      <c r="B660" s="142" t="s">
        <v>1928</v>
      </c>
      <c r="C660" s="143" t="s">
        <v>47</v>
      </c>
      <c r="D660" s="143" t="s">
        <v>1591</v>
      </c>
      <c r="E660" s="142"/>
      <c r="F660" s="142"/>
    </row>
    <row r="661" spans="1:7" s="113" customFormat="1" ht="26.25" x14ac:dyDescent="0.25">
      <c r="A661" s="141">
        <v>1911</v>
      </c>
      <c r="B661" s="142" t="s">
        <v>412</v>
      </c>
      <c r="C661" s="143" t="s">
        <v>1478</v>
      </c>
      <c r="D661" s="143" t="s">
        <v>173</v>
      </c>
      <c r="E661" s="142"/>
      <c r="F661" s="142"/>
    </row>
    <row r="662" spans="1:7" s="113" customFormat="1" ht="26.25" x14ac:dyDescent="0.25">
      <c r="A662" s="141">
        <v>1914</v>
      </c>
      <c r="B662" s="142" t="s">
        <v>413</v>
      </c>
      <c r="C662" s="143" t="s">
        <v>108</v>
      </c>
      <c r="D662" s="143" t="s">
        <v>109</v>
      </c>
      <c r="E662" s="142"/>
      <c r="F662" s="142"/>
    </row>
    <row r="663" spans="1:7" s="113" customFormat="1" ht="26.25" x14ac:dyDescent="0.25">
      <c r="A663" s="141">
        <v>1915</v>
      </c>
      <c r="B663" s="142" t="s">
        <v>414</v>
      </c>
      <c r="C663" s="143" t="s">
        <v>96</v>
      </c>
      <c r="D663" s="143" t="s">
        <v>415</v>
      </c>
      <c r="E663" s="142"/>
      <c r="F663" s="142"/>
    </row>
    <row r="664" spans="1:7" s="113" customFormat="1" ht="26.25" x14ac:dyDescent="0.25">
      <c r="A664" s="141">
        <v>1916</v>
      </c>
      <c r="B664" s="142" t="s">
        <v>416</v>
      </c>
      <c r="C664" s="143" t="s">
        <v>417</v>
      </c>
      <c r="D664" s="143" t="s">
        <v>14</v>
      </c>
      <c r="E664" s="142"/>
      <c r="F664" s="142"/>
    </row>
    <row r="665" spans="1:7" s="113" customFormat="1" x14ac:dyDescent="0.25">
      <c r="A665" s="141">
        <v>1922</v>
      </c>
      <c r="B665" s="142" t="s">
        <v>418</v>
      </c>
      <c r="C665" s="143" t="s">
        <v>47</v>
      </c>
      <c r="D665" s="143" t="s">
        <v>56</v>
      </c>
      <c r="E665" s="142"/>
      <c r="F665" s="142"/>
    </row>
    <row r="666" spans="1:7" s="113" customFormat="1" x14ac:dyDescent="0.25">
      <c r="A666" s="141">
        <v>1924</v>
      </c>
      <c r="B666" s="142" t="s">
        <v>1929</v>
      </c>
      <c r="C666" s="143" t="s">
        <v>38</v>
      </c>
      <c r="D666" s="143" t="s">
        <v>453</v>
      </c>
      <c r="E666" s="142"/>
      <c r="F666" s="142"/>
      <c r="G666" s="606"/>
    </row>
    <row r="667" spans="1:7" s="113" customFormat="1" x14ac:dyDescent="0.25">
      <c r="A667" s="141">
        <v>1926</v>
      </c>
      <c r="B667" s="142" t="s">
        <v>1930</v>
      </c>
      <c r="C667" s="143" t="s">
        <v>38</v>
      </c>
      <c r="D667" s="143" t="s">
        <v>453</v>
      </c>
      <c r="E667" s="142"/>
      <c r="F667" s="142"/>
    </row>
    <row r="668" spans="1:7" s="113" customFormat="1" x14ac:dyDescent="0.25">
      <c r="A668" s="141">
        <v>1928</v>
      </c>
      <c r="B668" s="142" t="s">
        <v>1931</v>
      </c>
      <c r="C668" s="143" t="s">
        <v>64</v>
      </c>
      <c r="D668" s="143" t="s">
        <v>415</v>
      </c>
      <c r="E668" s="142"/>
      <c r="F668" s="142"/>
    </row>
    <row r="669" spans="1:7" s="113" customFormat="1" x14ac:dyDescent="0.25">
      <c r="A669" s="141">
        <v>1930</v>
      </c>
      <c r="B669" s="142" t="s">
        <v>419</v>
      </c>
      <c r="C669" s="143" t="s">
        <v>24</v>
      </c>
      <c r="D669" s="143" t="s">
        <v>37</v>
      </c>
      <c r="E669" s="142"/>
      <c r="F669" s="142"/>
    </row>
    <row r="670" spans="1:7" s="113" customFormat="1" ht="39" x14ac:dyDescent="0.25">
      <c r="A670" s="141">
        <v>1932</v>
      </c>
      <c r="B670" s="142" t="s">
        <v>1932</v>
      </c>
      <c r="C670" s="143" t="s">
        <v>1529</v>
      </c>
      <c r="D670" s="143" t="s">
        <v>173</v>
      </c>
      <c r="E670" s="142"/>
      <c r="F670" s="142"/>
    </row>
    <row r="671" spans="1:7" s="113" customFormat="1" ht="39" x14ac:dyDescent="0.25">
      <c r="A671" s="141">
        <v>1933</v>
      </c>
      <c r="B671" s="142" t="s">
        <v>420</v>
      </c>
      <c r="C671" s="143" t="s">
        <v>1398</v>
      </c>
      <c r="D671" s="143" t="s">
        <v>116</v>
      </c>
      <c r="E671" s="142"/>
      <c r="F671" s="142"/>
    </row>
    <row r="672" spans="1:7" s="113" customFormat="1" x14ac:dyDescent="0.25">
      <c r="A672" s="141">
        <v>1934</v>
      </c>
      <c r="B672" s="142" t="s">
        <v>1933</v>
      </c>
      <c r="C672" s="143" t="s">
        <v>90</v>
      </c>
      <c r="D672" s="143" t="s">
        <v>11</v>
      </c>
      <c r="E672" s="142"/>
      <c r="F672" s="142"/>
      <c r="G672" s="226"/>
    </row>
    <row r="673" spans="1:7" s="113" customFormat="1" x14ac:dyDescent="0.25">
      <c r="A673" s="141">
        <v>1936</v>
      </c>
      <c r="B673" s="142" t="s">
        <v>421</v>
      </c>
      <c r="C673" s="143" t="s">
        <v>73</v>
      </c>
      <c r="D673" s="143" t="s">
        <v>154</v>
      </c>
      <c r="E673" s="142"/>
      <c r="F673" s="142"/>
      <c r="G673" s="226"/>
    </row>
    <row r="674" spans="1:7" s="113" customFormat="1" ht="26.25" x14ac:dyDescent="0.25">
      <c r="A674" s="141">
        <v>1939</v>
      </c>
      <c r="B674" s="142" t="s">
        <v>422</v>
      </c>
      <c r="C674" s="143" t="s">
        <v>6</v>
      </c>
      <c r="D674" s="143" t="s">
        <v>242</v>
      </c>
      <c r="E674" s="142"/>
      <c r="F674" s="142"/>
    </row>
    <row r="675" spans="1:7" s="113" customFormat="1" ht="39" x14ac:dyDescent="0.25">
      <c r="A675" s="141">
        <v>1940</v>
      </c>
      <c r="B675" s="142" t="s">
        <v>1934</v>
      </c>
      <c r="C675" s="143" t="s">
        <v>1935</v>
      </c>
      <c r="D675" s="143" t="s">
        <v>154</v>
      </c>
      <c r="E675" s="142"/>
      <c r="F675" s="144" t="s">
        <v>114</v>
      </c>
    </row>
    <row r="676" spans="1:7" s="113" customFormat="1" ht="26.25" x14ac:dyDescent="0.25">
      <c r="A676" s="141">
        <v>1941</v>
      </c>
      <c r="B676" s="142" t="s">
        <v>423</v>
      </c>
      <c r="C676" s="143" t="s">
        <v>1936</v>
      </c>
      <c r="D676" s="143" t="s">
        <v>228</v>
      </c>
      <c r="E676" s="142"/>
      <c r="F676" s="142" t="s">
        <v>114</v>
      </c>
    </row>
    <row r="677" spans="1:7" s="113" customFormat="1" ht="26.25" x14ac:dyDescent="0.25">
      <c r="A677" s="141">
        <v>1942</v>
      </c>
      <c r="B677" s="142" t="s">
        <v>1937</v>
      </c>
      <c r="C677" s="143" t="s">
        <v>1936</v>
      </c>
      <c r="D677" s="143" t="s">
        <v>14</v>
      </c>
      <c r="E677" s="142"/>
      <c r="F677" s="142" t="s">
        <v>114</v>
      </c>
    </row>
    <row r="678" spans="1:7" s="113" customFormat="1" x14ac:dyDescent="0.25">
      <c r="A678" s="141">
        <v>1943</v>
      </c>
      <c r="B678" s="142" t="s">
        <v>424</v>
      </c>
      <c r="C678" s="143" t="s">
        <v>38</v>
      </c>
      <c r="D678" s="143" t="s">
        <v>109</v>
      </c>
      <c r="E678" s="142"/>
      <c r="F678" s="142"/>
    </row>
    <row r="679" spans="1:7" s="113" customFormat="1" x14ac:dyDescent="0.25">
      <c r="A679" s="141">
        <v>1944</v>
      </c>
      <c r="B679" s="142" t="s">
        <v>3388</v>
      </c>
      <c r="C679" s="143" t="s">
        <v>47</v>
      </c>
      <c r="D679" s="143" t="s">
        <v>179</v>
      </c>
      <c r="E679" s="142"/>
      <c r="F679" s="142"/>
    </row>
    <row r="680" spans="1:7" s="113" customFormat="1" ht="26.25" x14ac:dyDescent="0.25">
      <c r="A680" s="141">
        <v>1945</v>
      </c>
      <c r="B680" s="142" t="s">
        <v>1938</v>
      </c>
      <c r="C680" s="143" t="s">
        <v>96</v>
      </c>
      <c r="D680" s="143" t="s">
        <v>7</v>
      </c>
      <c r="E680" s="142"/>
      <c r="F680" s="142"/>
    </row>
    <row r="681" spans="1:7" s="113" customFormat="1" ht="39" x14ac:dyDescent="0.25">
      <c r="A681" s="141">
        <v>1947</v>
      </c>
      <c r="B681" s="142" t="s">
        <v>1939</v>
      </c>
      <c r="C681" s="143" t="s">
        <v>1935</v>
      </c>
      <c r="D681" s="143" t="s">
        <v>14</v>
      </c>
      <c r="E681" s="142"/>
      <c r="F681" s="144" t="s">
        <v>114</v>
      </c>
    </row>
    <row r="682" spans="1:7" s="113" customFormat="1" x14ac:dyDescent="0.25">
      <c r="A682" s="141">
        <v>1948</v>
      </c>
      <c r="B682" s="142" t="s">
        <v>425</v>
      </c>
      <c r="C682" s="143" t="s">
        <v>101</v>
      </c>
      <c r="D682" s="143" t="s">
        <v>7</v>
      </c>
      <c r="E682" s="142"/>
      <c r="F682" s="142"/>
    </row>
    <row r="683" spans="1:7" s="113" customFormat="1" x14ac:dyDescent="0.25">
      <c r="A683" s="141">
        <v>1952</v>
      </c>
      <c r="B683" s="142" t="s">
        <v>2620</v>
      </c>
      <c r="C683" s="143" t="s">
        <v>64</v>
      </c>
      <c r="D683" s="143" t="s">
        <v>150</v>
      </c>
      <c r="E683" s="142"/>
      <c r="F683" s="142"/>
    </row>
    <row r="684" spans="1:7" s="113" customFormat="1" x14ac:dyDescent="0.25">
      <c r="A684" s="141">
        <v>1953</v>
      </c>
      <c r="B684" s="142" t="s">
        <v>426</v>
      </c>
      <c r="C684" s="143" t="s">
        <v>38</v>
      </c>
      <c r="D684" s="143" t="s">
        <v>21</v>
      </c>
      <c r="E684" s="142"/>
      <c r="F684" s="142"/>
    </row>
    <row r="685" spans="1:7" s="113" customFormat="1" x14ac:dyDescent="0.25">
      <c r="A685" s="141">
        <v>1957</v>
      </c>
      <c r="B685" s="142" t="s">
        <v>427</v>
      </c>
      <c r="C685" s="143" t="s">
        <v>24</v>
      </c>
      <c r="D685" s="143" t="s">
        <v>80</v>
      </c>
      <c r="E685" s="142"/>
      <c r="F685" s="142"/>
    </row>
    <row r="686" spans="1:7" s="113" customFormat="1" x14ac:dyDescent="0.25">
      <c r="A686" s="141">
        <v>1959</v>
      </c>
      <c r="B686" s="142" t="s">
        <v>428</v>
      </c>
      <c r="C686" s="143" t="s">
        <v>64</v>
      </c>
      <c r="D686" s="143" t="s">
        <v>7</v>
      </c>
      <c r="E686" s="142"/>
      <c r="F686" s="142"/>
    </row>
    <row r="687" spans="1:7" s="113" customFormat="1" ht="26.25" x14ac:dyDescent="0.25">
      <c r="A687" s="141">
        <v>1960</v>
      </c>
      <c r="B687" s="142" t="s">
        <v>1940</v>
      </c>
      <c r="C687" s="143" t="s">
        <v>1652</v>
      </c>
      <c r="D687" s="143" t="s">
        <v>21</v>
      </c>
      <c r="E687" s="142"/>
      <c r="F687" s="142" t="s">
        <v>114</v>
      </c>
    </row>
    <row r="688" spans="1:7" s="113" customFormat="1" x14ac:dyDescent="0.25">
      <c r="A688" s="141">
        <v>1965</v>
      </c>
      <c r="B688" s="142" t="s">
        <v>1941</v>
      </c>
      <c r="C688" s="143" t="s">
        <v>47</v>
      </c>
      <c r="D688" s="143" t="s">
        <v>179</v>
      </c>
      <c r="E688" s="142"/>
      <c r="F688" s="142"/>
    </row>
    <row r="689" spans="1:7" s="113" customFormat="1" ht="26.25" x14ac:dyDescent="0.25">
      <c r="A689" s="141">
        <v>1966</v>
      </c>
      <c r="B689" s="142" t="s">
        <v>429</v>
      </c>
      <c r="C689" s="143" t="s">
        <v>6</v>
      </c>
      <c r="D689" s="143" t="s">
        <v>430</v>
      </c>
      <c r="E689" s="142"/>
      <c r="F689" s="142"/>
    </row>
    <row r="690" spans="1:7" s="113" customFormat="1" x14ac:dyDescent="0.25">
      <c r="A690" s="141">
        <v>1969</v>
      </c>
      <c r="B690" s="142" t="s">
        <v>1350</v>
      </c>
      <c r="C690" s="143" t="s">
        <v>64</v>
      </c>
      <c r="D690" s="251" t="s">
        <v>504</v>
      </c>
      <c r="E690" s="142"/>
      <c r="F690" s="142"/>
      <c r="G690" s="226"/>
    </row>
    <row r="691" spans="1:7" s="113" customFormat="1" x14ac:dyDescent="0.25">
      <c r="A691" s="141">
        <v>1970</v>
      </c>
      <c r="B691" s="142" t="s">
        <v>1942</v>
      </c>
      <c r="C691" s="143" t="s">
        <v>384</v>
      </c>
      <c r="D691" s="143" t="s">
        <v>11</v>
      </c>
      <c r="E691" s="142"/>
      <c r="F691" s="142"/>
      <c r="G691" s="276"/>
    </row>
    <row r="692" spans="1:7" s="113" customFormat="1" ht="13.5" customHeight="1" x14ac:dyDescent="0.25">
      <c r="A692" s="141">
        <v>1975</v>
      </c>
      <c r="B692" s="142" t="s">
        <v>1943</v>
      </c>
      <c r="C692" s="143" t="s">
        <v>44</v>
      </c>
      <c r="D692" s="143" t="s">
        <v>242</v>
      </c>
      <c r="E692" s="142"/>
      <c r="F692" s="142"/>
    </row>
    <row r="693" spans="1:7" s="113" customFormat="1" ht="26.25" x14ac:dyDescent="0.25">
      <c r="A693" s="141">
        <v>1977</v>
      </c>
      <c r="B693" s="142" t="s">
        <v>1944</v>
      </c>
      <c r="C693" s="143" t="s">
        <v>16</v>
      </c>
      <c r="D693" s="143" t="s">
        <v>11</v>
      </c>
      <c r="E693" s="142"/>
      <c r="F693" s="142"/>
    </row>
    <row r="694" spans="1:7" s="113" customFormat="1" ht="26.25" x14ac:dyDescent="0.25">
      <c r="A694" s="141">
        <v>1978</v>
      </c>
      <c r="B694" s="142" t="s">
        <v>1945</v>
      </c>
      <c r="C694" s="143" t="s">
        <v>120</v>
      </c>
      <c r="D694" s="143" t="s">
        <v>150</v>
      </c>
      <c r="E694" s="142"/>
      <c r="F694" s="142"/>
    </row>
    <row r="695" spans="1:7" s="113" customFormat="1" x14ac:dyDescent="0.25">
      <c r="A695" s="141">
        <v>1980</v>
      </c>
      <c r="B695" s="142" t="s">
        <v>431</v>
      </c>
      <c r="C695" s="143" t="s">
        <v>1946</v>
      </c>
      <c r="D695" s="143" t="s">
        <v>501</v>
      </c>
      <c r="E695" s="142"/>
      <c r="F695" s="142"/>
    </row>
    <row r="696" spans="1:7" s="113" customFormat="1" x14ac:dyDescent="0.25">
      <c r="A696" s="141">
        <v>1981</v>
      </c>
      <c r="B696" s="142" t="s">
        <v>1947</v>
      </c>
      <c r="C696" s="143" t="s">
        <v>384</v>
      </c>
      <c r="D696" s="143" t="s">
        <v>45</v>
      </c>
      <c r="E696" s="142"/>
      <c r="F696" s="142"/>
    </row>
    <row r="697" spans="1:7" s="113" customFormat="1" x14ac:dyDescent="0.25">
      <c r="A697" s="141">
        <v>1982</v>
      </c>
      <c r="B697" s="142" t="s">
        <v>432</v>
      </c>
      <c r="C697" s="143" t="s">
        <v>101</v>
      </c>
      <c r="D697" s="143" t="s">
        <v>504</v>
      </c>
      <c r="E697" s="142"/>
      <c r="F697" s="142"/>
    </row>
    <row r="698" spans="1:7" s="113" customFormat="1" x14ac:dyDescent="0.25">
      <c r="A698" s="141">
        <v>1983</v>
      </c>
      <c r="B698" s="142" t="s">
        <v>1948</v>
      </c>
      <c r="C698" s="143" t="s">
        <v>44</v>
      </c>
      <c r="D698" s="143" t="s">
        <v>11</v>
      </c>
      <c r="E698" s="142"/>
      <c r="F698" s="142"/>
    </row>
    <row r="699" spans="1:7" s="113" customFormat="1" ht="39" x14ac:dyDescent="0.25">
      <c r="A699" s="141">
        <v>1985</v>
      </c>
      <c r="B699" s="142" t="s">
        <v>433</v>
      </c>
      <c r="C699" s="143" t="s">
        <v>1529</v>
      </c>
      <c r="D699" s="143" t="s">
        <v>11</v>
      </c>
      <c r="E699" s="142"/>
      <c r="F699" s="142"/>
    </row>
    <row r="700" spans="1:7" s="113" customFormat="1" x14ac:dyDescent="0.25">
      <c r="A700" s="141">
        <v>1986</v>
      </c>
      <c r="B700" s="142" t="s">
        <v>434</v>
      </c>
      <c r="C700" s="143" t="s">
        <v>64</v>
      </c>
      <c r="D700" s="143" t="s">
        <v>228</v>
      </c>
      <c r="E700" s="142"/>
      <c r="F700" s="142"/>
    </row>
    <row r="701" spans="1:7" s="113" customFormat="1" ht="26.25" x14ac:dyDescent="0.25">
      <c r="A701" s="141">
        <v>1987</v>
      </c>
      <c r="B701" s="142" t="s">
        <v>435</v>
      </c>
      <c r="C701" s="143" t="s">
        <v>22</v>
      </c>
      <c r="D701" s="143" t="s">
        <v>268</v>
      </c>
      <c r="E701" s="142"/>
      <c r="F701" s="142"/>
    </row>
    <row r="702" spans="1:7" s="113" customFormat="1" x14ac:dyDescent="0.25">
      <c r="A702" s="141">
        <v>1989</v>
      </c>
      <c r="B702" s="142" t="s">
        <v>1949</v>
      </c>
      <c r="C702" s="143" t="s">
        <v>90</v>
      </c>
      <c r="D702" s="143" t="s">
        <v>109</v>
      </c>
      <c r="E702" s="142"/>
      <c r="F702" s="142"/>
    </row>
    <row r="703" spans="1:7" s="113" customFormat="1" x14ac:dyDescent="0.25">
      <c r="A703" s="141">
        <v>1990</v>
      </c>
      <c r="B703" s="142" t="s">
        <v>436</v>
      </c>
      <c r="C703" s="143" t="s">
        <v>44</v>
      </c>
      <c r="D703" s="143" t="s">
        <v>11</v>
      </c>
      <c r="E703" s="142"/>
      <c r="F703" s="142"/>
    </row>
    <row r="704" spans="1:7" s="113" customFormat="1" x14ac:dyDescent="0.25">
      <c r="A704" s="141">
        <v>1992</v>
      </c>
      <c r="B704" s="142" t="s">
        <v>437</v>
      </c>
      <c r="C704" s="143" t="s">
        <v>73</v>
      </c>
      <c r="D704" s="143" t="s">
        <v>154</v>
      </c>
      <c r="E704" s="142"/>
      <c r="F704" s="142"/>
    </row>
    <row r="705" spans="1:6" s="113" customFormat="1" x14ac:dyDescent="0.25">
      <c r="A705" s="141">
        <v>1993</v>
      </c>
      <c r="B705" s="142" t="s">
        <v>438</v>
      </c>
      <c r="C705" s="143" t="s">
        <v>64</v>
      </c>
      <c r="D705" s="143" t="s">
        <v>415</v>
      </c>
      <c r="E705" s="142"/>
      <c r="F705" s="142"/>
    </row>
    <row r="706" spans="1:6" s="113" customFormat="1" x14ac:dyDescent="0.25">
      <c r="A706" s="141">
        <v>1996</v>
      </c>
      <c r="B706" s="142" t="s">
        <v>439</v>
      </c>
      <c r="C706" s="143" t="s">
        <v>17</v>
      </c>
      <c r="D706" s="143" t="s">
        <v>242</v>
      </c>
      <c r="E706" s="142"/>
      <c r="F706" s="142"/>
    </row>
    <row r="707" spans="1:6" s="113" customFormat="1" x14ac:dyDescent="0.25">
      <c r="A707" s="141">
        <v>1999</v>
      </c>
      <c r="B707" s="142" t="s">
        <v>440</v>
      </c>
      <c r="C707" s="143" t="s">
        <v>64</v>
      </c>
      <c r="D707" s="251" t="s">
        <v>228</v>
      </c>
      <c r="E707" s="142"/>
      <c r="F707" s="142"/>
    </row>
    <row r="708" spans="1:6" s="113" customFormat="1" x14ac:dyDescent="0.25">
      <c r="A708" s="141">
        <v>2004</v>
      </c>
      <c r="B708" s="142" t="s">
        <v>441</v>
      </c>
      <c r="C708" s="143" t="s">
        <v>64</v>
      </c>
      <c r="D708" s="251" t="s">
        <v>504</v>
      </c>
      <c r="E708" s="142"/>
      <c r="F708" s="142"/>
    </row>
    <row r="709" spans="1:6" s="113" customFormat="1" x14ac:dyDescent="0.25">
      <c r="A709" s="141">
        <v>2005</v>
      </c>
      <c r="B709" s="142" t="s">
        <v>1950</v>
      </c>
      <c r="C709" s="143" t="s">
        <v>64</v>
      </c>
      <c r="D709" s="143" t="s">
        <v>415</v>
      </c>
      <c r="E709" s="142"/>
      <c r="F709" s="142"/>
    </row>
    <row r="710" spans="1:6" s="113" customFormat="1" ht="26.25" x14ac:dyDescent="0.25">
      <c r="A710" s="141">
        <v>2006</v>
      </c>
      <c r="B710" s="142" t="s">
        <v>442</v>
      </c>
      <c r="C710" s="143" t="s">
        <v>22</v>
      </c>
      <c r="D710" s="143" t="s">
        <v>154</v>
      </c>
      <c r="E710" s="142"/>
      <c r="F710" s="142"/>
    </row>
    <row r="711" spans="1:6" s="113" customFormat="1" x14ac:dyDescent="0.25">
      <c r="A711" s="141">
        <v>2007</v>
      </c>
      <c r="B711" s="142" t="s">
        <v>1951</v>
      </c>
      <c r="C711" s="143" t="s">
        <v>64</v>
      </c>
      <c r="D711" s="143" t="s">
        <v>37</v>
      </c>
      <c r="E711" s="142"/>
      <c r="F711" s="142"/>
    </row>
    <row r="712" spans="1:6" s="113" customFormat="1" x14ac:dyDescent="0.25">
      <c r="A712" s="141">
        <v>2008</v>
      </c>
      <c r="B712" s="142" t="s">
        <v>1952</v>
      </c>
      <c r="C712" s="143" t="s">
        <v>64</v>
      </c>
      <c r="D712" s="143" t="s">
        <v>501</v>
      </c>
      <c r="E712" s="142"/>
      <c r="F712" s="142"/>
    </row>
    <row r="713" spans="1:6" s="113" customFormat="1" x14ac:dyDescent="0.25">
      <c r="A713" s="141">
        <v>2009</v>
      </c>
      <c r="B713" s="142" t="s">
        <v>443</v>
      </c>
      <c r="C713" s="143" t="s">
        <v>167</v>
      </c>
      <c r="D713" s="143" t="s">
        <v>7</v>
      </c>
      <c r="E713" s="142"/>
      <c r="F713" s="142"/>
    </row>
    <row r="714" spans="1:6" s="113" customFormat="1" ht="39" x14ac:dyDescent="0.25">
      <c r="A714" s="141">
        <v>2011</v>
      </c>
      <c r="B714" s="142" t="s">
        <v>1953</v>
      </c>
      <c r="C714" s="143" t="s">
        <v>1935</v>
      </c>
      <c r="D714" s="143" t="s">
        <v>14</v>
      </c>
      <c r="E714" s="142"/>
      <c r="F714" s="144" t="s">
        <v>114</v>
      </c>
    </row>
    <row r="715" spans="1:6" s="113" customFormat="1" ht="39" x14ac:dyDescent="0.25">
      <c r="A715" s="141">
        <v>2013</v>
      </c>
      <c r="B715" s="142" t="s">
        <v>444</v>
      </c>
      <c r="C715" s="143" t="s">
        <v>1935</v>
      </c>
      <c r="D715" s="143" t="s">
        <v>1105</v>
      </c>
      <c r="E715" s="142"/>
      <c r="F715" s="144" t="s">
        <v>114</v>
      </c>
    </row>
    <row r="716" spans="1:6" s="113" customFormat="1" x14ac:dyDescent="0.25">
      <c r="A716" s="141">
        <v>2014</v>
      </c>
      <c r="B716" s="142" t="s">
        <v>445</v>
      </c>
      <c r="C716" s="143" t="s">
        <v>140</v>
      </c>
      <c r="D716" s="143" t="s">
        <v>148</v>
      </c>
      <c r="E716" s="142"/>
      <c r="F716" s="142"/>
    </row>
    <row r="717" spans="1:6" s="113" customFormat="1" x14ac:dyDescent="0.25">
      <c r="A717" s="141">
        <v>2017</v>
      </c>
      <c r="B717" s="142" t="s">
        <v>1954</v>
      </c>
      <c r="C717" s="143" t="s">
        <v>387</v>
      </c>
      <c r="D717" s="143" t="s">
        <v>415</v>
      </c>
      <c r="E717" s="142"/>
      <c r="F717" s="142"/>
    </row>
    <row r="718" spans="1:6" s="113" customFormat="1" x14ac:dyDescent="0.25">
      <c r="A718" s="141">
        <v>2018</v>
      </c>
      <c r="B718" s="142" t="s">
        <v>1955</v>
      </c>
      <c r="C718" s="143" t="s">
        <v>38</v>
      </c>
      <c r="D718" s="143" t="s">
        <v>109</v>
      </c>
      <c r="E718" s="142"/>
      <c r="F718" s="142"/>
    </row>
    <row r="719" spans="1:6" s="113" customFormat="1" ht="26.25" x14ac:dyDescent="0.25">
      <c r="A719" s="247">
        <v>2019</v>
      </c>
      <c r="B719" s="250" t="s">
        <v>1336</v>
      </c>
      <c r="C719" s="143" t="s">
        <v>417</v>
      </c>
      <c r="D719" s="260" t="s">
        <v>11</v>
      </c>
      <c r="E719" s="250"/>
      <c r="F719" s="250"/>
    </row>
    <row r="720" spans="1:6" s="113" customFormat="1" x14ac:dyDescent="0.25">
      <c r="A720" s="141">
        <v>2020</v>
      </c>
      <c r="B720" s="142" t="s">
        <v>446</v>
      </c>
      <c r="C720" s="143" t="s">
        <v>140</v>
      </c>
      <c r="D720" s="143" t="s">
        <v>7</v>
      </c>
      <c r="E720" s="142"/>
      <c r="F720" s="142"/>
    </row>
    <row r="721" spans="1:6" s="113" customFormat="1" x14ac:dyDescent="0.25">
      <c r="A721" s="141">
        <v>2022</v>
      </c>
      <c r="B721" s="142" t="s">
        <v>1956</v>
      </c>
      <c r="C721" s="143" t="s">
        <v>101</v>
      </c>
      <c r="D721" s="143" t="s">
        <v>415</v>
      </c>
      <c r="E721" s="142"/>
      <c r="F721" s="142"/>
    </row>
    <row r="722" spans="1:6" s="113" customFormat="1" x14ac:dyDescent="0.25">
      <c r="A722" s="141">
        <v>2023</v>
      </c>
      <c r="B722" s="142" t="s">
        <v>1957</v>
      </c>
      <c r="C722" s="143" t="s">
        <v>64</v>
      </c>
      <c r="D722" s="143" t="s">
        <v>1133</v>
      </c>
      <c r="E722" s="142"/>
      <c r="F722" s="142"/>
    </row>
    <row r="723" spans="1:6" s="113" customFormat="1" ht="26.25" x14ac:dyDescent="0.25">
      <c r="A723" s="141">
        <v>2024</v>
      </c>
      <c r="B723" s="142" t="s">
        <v>1958</v>
      </c>
      <c r="C723" s="143" t="s">
        <v>1936</v>
      </c>
      <c r="D723" s="143" t="s">
        <v>1923</v>
      </c>
      <c r="E723" s="142"/>
      <c r="F723" s="142" t="s">
        <v>114</v>
      </c>
    </row>
    <row r="724" spans="1:6" s="113" customFormat="1" ht="26.25" x14ac:dyDescent="0.25">
      <c r="A724" s="173">
        <v>2026</v>
      </c>
      <c r="B724" s="144" t="s">
        <v>1959</v>
      </c>
      <c r="C724" s="143" t="s">
        <v>1936</v>
      </c>
      <c r="D724" s="143" t="s">
        <v>242</v>
      </c>
      <c r="E724" s="142"/>
      <c r="F724" s="142" t="s">
        <v>447</v>
      </c>
    </row>
    <row r="725" spans="1:6" s="113" customFormat="1" ht="26.25" x14ac:dyDescent="0.25">
      <c r="A725" s="141">
        <v>2027</v>
      </c>
      <c r="B725" s="142" t="s">
        <v>448</v>
      </c>
      <c r="C725" s="143" t="s">
        <v>1652</v>
      </c>
      <c r="D725" s="143" t="s">
        <v>154</v>
      </c>
      <c r="E725" s="142"/>
      <c r="F725" s="142" t="s">
        <v>114</v>
      </c>
    </row>
    <row r="726" spans="1:6" s="113" customFormat="1" ht="26.25" x14ac:dyDescent="0.25">
      <c r="A726" s="141">
        <v>2028</v>
      </c>
      <c r="B726" s="142" t="s">
        <v>449</v>
      </c>
      <c r="C726" s="143" t="s">
        <v>2583</v>
      </c>
      <c r="D726" s="143" t="s">
        <v>150</v>
      </c>
      <c r="E726" s="142"/>
      <c r="F726" s="142"/>
    </row>
    <row r="727" spans="1:6" s="113" customFormat="1" x14ac:dyDescent="0.25">
      <c r="A727" s="141">
        <v>2031</v>
      </c>
      <c r="B727" s="142" t="s">
        <v>450</v>
      </c>
      <c r="C727" s="143" t="s">
        <v>47</v>
      </c>
      <c r="D727" s="143" t="s">
        <v>7</v>
      </c>
      <c r="E727" s="142"/>
      <c r="F727" s="142"/>
    </row>
    <row r="728" spans="1:6" s="113" customFormat="1" ht="26.25" x14ac:dyDescent="0.25">
      <c r="A728" s="141">
        <v>2034</v>
      </c>
      <c r="B728" s="142" t="s">
        <v>451</v>
      </c>
      <c r="C728" s="143" t="s">
        <v>1936</v>
      </c>
      <c r="D728" s="143" t="s">
        <v>154</v>
      </c>
      <c r="E728" s="142"/>
      <c r="F728" s="142" t="s">
        <v>114</v>
      </c>
    </row>
    <row r="729" spans="1:6" s="113" customFormat="1" x14ac:dyDescent="0.25">
      <c r="A729" s="141">
        <v>2035</v>
      </c>
      <c r="B729" s="144" t="s">
        <v>452</v>
      </c>
      <c r="C729" s="143" t="s">
        <v>38</v>
      </c>
      <c r="D729" s="143" t="s">
        <v>453</v>
      </c>
      <c r="E729" s="142"/>
      <c r="F729" s="142"/>
    </row>
    <row r="730" spans="1:6" s="113" customFormat="1" ht="26.25" x14ac:dyDescent="0.25">
      <c r="A730" s="141">
        <v>2040</v>
      </c>
      <c r="B730" s="142" t="s">
        <v>454</v>
      </c>
      <c r="C730" s="143" t="s">
        <v>3</v>
      </c>
      <c r="D730" s="143" t="s">
        <v>7</v>
      </c>
      <c r="E730" s="142"/>
      <c r="F730" s="142"/>
    </row>
    <row r="731" spans="1:6" s="113" customFormat="1" ht="26.25" x14ac:dyDescent="0.25">
      <c r="A731" s="141">
        <v>2042</v>
      </c>
      <c r="B731" s="142" t="s">
        <v>455</v>
      </c>
      <c r="C731" s="143" t="s">
        <v>22</v>
      </c>
      <c r="D731" s="143" t="s">
        <v>7</v>
      </c>
      <c r="E731" s="142"/>
      <c r="F731" s="142"/>
    </row>
    <row r="732" spans="1:6" s="113" customFormat="1" x14ac:dyDescent="0.25">
      <c r="A732" s="141">
        <v>2043</v>
      </c>
      <c r="B732" s="142" t="s">
        <v>1960</v>
      </c>
      <c r="C732" s="143" t="s">
        <v>47</v>
      </c>
      <c r="D732" s="143" t="s">
        <v>179</v>
      </c>
      <c r="E732" s="142"/>
      <c r="F732" s="142"/>
    </row>
    <row r="733" spans="1:6" s="113" customFormat="1" ht="26.25" x14ac:dyDescent="0.25">
      <c r="A733" s="141">
        <v>2064</v>
      </c>
      <c r="B733" s="142" t="s">
        <v>1961</v>
      </c>
      <c r="C733" s="143" t="s">
        <v>20</v>
      </c>
      <c r="D733" s="143" t="s">
        <v>302</v>
      </c>
      <c r="E733" s="142"/>
      <c r="F733" s="142"/>
    </row>
    <row r="734" spans="1:6" s="113" customFormat="1" x14ac:dyDescent="0.25">
      <c r="A734" s="141">
        <v>2065</v>
      </c>
      <c r="B734" s="142" t="s">
        <v>1962</v>
      </c>
      <c r="C734" s="143" t="s">
        <v>90</v>
      </c>
      <c r="D734" s="143" t="s">
        <v>148</v>
      </c>
      <c r="E734" s="142"/>
      <c r="F734" s="142"/>
    </row>
    <row r="735" spans="1:6" s="113" customFormat="1" x14ac:dyDescent="0.25">
      <c r="A735" s="247">
        <v>2069</v>
      </c>
      <c r="B735" s="250" t="s">
        <v>1486</v>
      </c>
      <c r="C735" s="143" t="s">
        <v>64</v>
      </c>
      <c r="D735" s="260" t="s">
        <v>228</v>
      </c>
      <c r="E735" s="250"/>
      <c r="F735" s="250"/>
    </row>
    <row r="736" spans="1:6" s="113" customFormat="1" x14ac:dyDescent="0.25">
      <c r="A736" s="187">
        <v>2070</v>
      </c>
      <c r="B736" s="187" t="s">
        <v>2676</v>
      </c>
      <c r="C736" s="187" t="s">
        <v>384</v>
      </c>
      <c r="D736" s="187" t="s">
        <v>415</v>
      </c>
      <c r="E736" s="606"/>
      <c r="F736" s="187"/>
    </row>
    <row r="737" spans="1:6" s="113" customFormat="1" x14ac:dyDescent="0.25">
      <c r="A737" s="141">
        <v>2071</v>
      </c>
      <c r="B737" s="142" t="s">
        <v>456</v>
      </c>
      <c r="C737" s="143" t="s">
        <v>90</v>
      </c>
      <c r="D737" s="143" t="s">
        <v>150</v>
      </c>
      <c r="E737" s="142"/>
      <c r="F737" s="142"/>
    </row>
    <row r="738" spans="1:6" s="113" customFormat="1" ht="26.25" x14ac:dyDescent="0.25">
      <c r="A738" s="141">
        <v>2072</v>
      </c>
      <c r="B738" s="142" t="s">
        <v>1963</v>
      </c>
      <c r="C738" s="143" t="s">
        <v>1936</v>
      </c>
      <c r="D738" s="143" t="s">
        <v>21</v>
      </c>
      <c r="E738" s="142"/>
      <c r="F738" s="142" t="s">
        <v>114</v>
      </c>
    </row>
    <row r="739" spans="1:6" s="113" customFormat="1" x14ac:dyDescent="0.25">
      <c r="A739" s="141">
        <v>2073</v>
      </c>
      <c r="B739" s="142" t="s">
        <v>1964</v>
      </c>
      <c r="C739" s="143" t="s">
        <v>47</v>
      </c>
      <c r="D739" s="254" t="s">
        <v>7</v>
      </c>
      <c r="E739" s="142"/>
      <c r="F739" s="142"/>
    </row>
    <row r="740" spans="1:6" s="113" customFormat="1" x14ac:dyDescent="0.25">
      <c r="A740" s="141">
        <v>2074</v>
      </c>
      <c r="B740" s="142" t="s">
        <v>457</v>
      </c>
      <c r="C740" s="143" t="s">
        <v>38</v>
      </c>
      <c r="D740" s="143" t="s">
        <v>143</v>
      </c>
      <c r="E740" s="142"/>
      <c r="F740" s="142"/>
    </row>
    <row r="741" spans="1:6" s="113" customFormat="1" x14ac:dyDescent="0.25">
      <c r="A741" s="141">
        <v>2075</v>
      </c>
      <c r="B741" s="142" t="s">
        <v>458</v>
      </c>
      <c r="C741" s="143" t="s">
        <v>24</v>
      </c>
      <c r="D741" s="143" t="s">
        <v>37</v>
      </c>
      <c r="E741" s="142"/>
      <c r="F741" s="142"/>
    </row>
    <row r="742" spans="1:6" s="113" customFormat="1" x14ac:dyDescent="0.25">
      <c r="A742" s="141">
        <v>2076</v>
      </c>
      <c r="B742" s="142" t="s">
        <v>459</v>
      </c>
      <c r="C742" s="143" t="s">
        <v>36</v>
      </c>
      <c r="D742" s="143" t="s">
        <v>11</v>
      </c>
      <c r="E742" s="142"/>
      <c r="F742" s="142"/>
    </row>
    <row r="743" spans="1:6" s="113" customFormat="1" x14ac:dyDescent="0.25">
      <c r="A743" s="141">
        <v>2081</v>
      </c>
      <c r="B743" s="142" t="s">
        <v>1965</v>
      </c>
      <c r="C743" s="143" t="s">
        <v>64</v>
      </c>
      <c r="D743" s="143" t="s">
        <v>1133</v>
      </c>
      <c r="E743" s="142"/>
      <c r="F743" s="142"/>
    </row>
    <row r="744" spans="1:6" s="113" customFormat="1" x14ac:dyDescent="0.25">
      <c r="A744" s="141">
        <v>2082</v>
      </c>
      <c r="B744" s="142" t="s">
        <v>1966</v>
      </c>
      <c r="C744" s="143" t="s">
        <v>64</v>
      </c>
      <c r="D744" s="143" t="s">
        <v>237</v>
      </c>
      <c r="E744" s="142"/>
      <c r="F744" s="142"/>
    </row>
    <row r="745" spans="1:6" s="113" customFormat="1" x14ac:dyDescent="0.25">
      <c r="A745" s="141">
        <v>2083</v>
      </c>
      <c r="B745" s="142" t="s">
        <v>1967</v>
      </c>
      <c r="C745" s="143" t="s">
        <v>36</v>
      </c>
      <c r="D745" s="143" t="s">
        <v>1131</v>
      </c>
      <c r="E745" s="142"/>
      <c r="F745" s="142"/>
    </row>
    <row r="746" spans="1:6" s="113" customFormat="1" x14ac:dyDescent="0.25">
      <c r="A746" s="141">
        <v>2085</v>
      </c>
      <c r="B746" s="142" t="s">
        <v>460</v>
      </c>
      <c r="C746" s="143" t="s">
        <v>64</v>
      </c>
      <c r="D746" s="143" t="s">
        <v>7</v>
      </c>
      <c r="E746" s="142"/>
      <c r="F746" s="142"/>
    </row>
    <row r="747" spans="1:6" s="113" customFormat="1" x14ac:dyDescent="0.25">
      <c r="A747" s="141">
        <v>2086</v>
      </c>
      <c r="B747" s="142" t="s">
        <v>461</v>
      </c>
      <c r="C747" s="143" t="s">
        <v>64</v>
      </c>
      <c r="D747" s="251" t="s">
        <v>1351</v>
      </c>
      <c r="E747" s="142"/>
      <c r="F747" s="142"/>
    </row>
    <row r="748" spans="1:6" s="113" customFormat="1" x14ac:dyDescent="0.25">
      <c r="A748" s="141">
        <v>2087</v>
      </c>
      <c r="B748" s="142" t="s">
        <v>1352</v>
      </c>
      <c r="C748" s="143" t="s">
        <v>38</v>
      </c>
      <c r="D748" s="251" t="s">
        <v>109</v>
      </c>
      <c r="E748" s="142"/>
      <c r="F748" s="142"/>
    </row>
    <row r="749" spans="1:6" s="113" customFormat="1" ht="26.25" x14ac:dyDescent="0.25">
      <c r="A749" s="141">
        <v>2089</v>
      </c>
      <c r="B749" s="142" t="s">
        <v>1050</v>
      </c>
      <c r="C749" s="143" t="s">
        <v>417</v>
      </c>
      <c r="D749" s="143" t="s">
        <v>415</v>
      </c>
      <c r="E749" s="142"/>
      <c r="F749" s="142"/>
    </row>
    <row r="750" spans="1:6" s="113" customFormat="1" x14ac:dyDescent="0.25">
      <c r="A750" s="141">
        <v>2095</v>
      </c>
      <c r="B750" s="142" t="s">
        <v>462</v>
      </c>
      <c r="C750" s="143" t="s">
        <v>64</v>
      </c>
      <c r="D750" s="143" t="s">
        <v>7</v>
      </c>
      <c r="E750" s="142"/>
      <c r="F750" s="142"/>
    </row>
    <row r="751" spans="1:6" s="113" customFormat="1" ht="39" x14ac:dyDescent="0.25">
      <c r="A751" s="141">
        <v>2097</v>
      </c>
      <c r="B751" s="142" t="s">
        <v>463</v>
      </c>
      <c r="C751" s="143" t="s">
        <v>1935</v>
      </c>
      <c r="D751" s="143" t="s">
        <v>242</v>
      </c>
      <c r="E751" s="142"/>
      <c r="F751" s="144" t="s">
        <v>114</v>
      </c>
    </row>
    <row r="752" spans="1:6" s="113" customFormat="1" ht="39" x14ac:dyDescent="0.25">
      <c r="A752" s="141">
        <v>2098</v>
      </c>
      <c r="B752" s="142" t="s">
        <v>1968</v>
      </c>
      <c r="C752" s="143" t="s">
        <v>1935</v>
      </c>
      <c r="D752" s="143" t="s">
        <v>811</v>
      </c>
      <c r="E752" s="142"/>
      <c r="F752" s="144" t="s">
        <v>114</v>
      </c>
    </row>
    <row r="753" spans="1:6" s="113" customFormat="1" ht="26.25" x14ac:dyDescent="0.25">
      <c r="A753" s="141">
        <v>2099</v>
      </c>
      <c r="B753" s="142" t="s">
        <v>1969</v>
      </c>
      <c r="C753" s="143" t="s">
        <v>1936</v>
      </c>
      <c r="D753" s="143" t="s">
        <v>148</v>
      </c>
      <c r="E753" s="142"/>
      <c r="F753" s="142" t="s">
        <v>114</v>
      </c>
    </row>
    <row r="754" spans="1:6" s="113" customFormat="1" x14ac:dyDescent="0.25">
      <c r="A754" s="141">
        <v>2100</v>
      </c>
      <c r="B754" s="142" t="s">
        <v>1970</v>
      </c>
      <c r="C754" s="143" t="s">
        <v>90</v>
      </c>
      <c r="D754" s="143" t="s">
        <v>1971</v>
      </c>
      <c r="E754" s="142"/>
      <c r="F754" s="142"/>
    </row>
    <row r="755" spans="1:6" s="113" customFormat="1" ht="26.25" x14ac:dyDescent="0.25">
      <c r="A755" s="141">
        <v>2102</v>
      </c>
      <c r="B755" s="142" t="s">
        <v>464</v>
      </c>
      <c r="C755" s="143" t="s">
        <v>49</v>
      </c>
      <c r="D755" s="143" t="s">
        <v>242</v>
      </c>
      <c r="E755" s="142"/>
      <c r="F755" s="142"/>
    </row>
    <row r="756" spans="1:6" s="113" customFormat="1" ht="26.25" x14ac:dyDescent="0.25">
      <c r="A756" s="141">
        <v>2106</v>
      </c>
      <c r="B756" s="142" t="s">
        <v>1972</v>
      </c>
      <c r="C756" s="143" t="s">
        <v>16</v>
      </c>
      <c r="D756" s="143" t="s">
        <v>7</v>
      </c>
      <c r="E756" s="142"/>
      <c r="F756" s="142"/>
    </row>
    <row r="757" spans="1:6" s="113" customFormat="1" x14ac:dyDescent="0.25">
      <c r="A757" s="141">
        <v>2107</v>
      </c>
      <c r="B757" s="142" t="s">
        <v>465</v>
      </c>
      <c r="C757" s="143" t="s">
        <v>36</v>
      </c>
      <c r="D757" s="143" t="s">
        <v>466</v>
      </c>
      <c r="E757" s="142"/>
      <c r="F757" s="142"/>
    </row>
    <row r="758" spans="1:6" s="113" customFormat="1" ht="26.25" x14ac:dyDescent="0.25">
      <c r="A758" s="141">
        <v>2113</v>
      </c>
      <c r="B758" s="142" t="s">
        <v>467</v>
      </c>
      <c r="C758" s="143" t="s">
        <v>20</v>
      </c>
      <c r="D758" s="143" t="s">
        <v>302</v>
      </c>
      <c r="E758" s="142"/>
      <c r="F758" s="142"/>
    </row>
    <row r="759" spans="1:6" s="113" customFormat="1" x14ac:dyDescent="0.25">
      <c r="A759" s="141">
        <v>2126</v>
      </c>
      <c r="B759" s="142" t="s">
        <v>468</v>
      </c>
      <c r="C759" s="143" t="s">
        <v>64</v>
      </c>
      <c r="D759" s="143" t="s">
        <v>7</v>
      </c>
      <c r="E759" s="142"/>
      <c r="F759" s="142"/>
    </row>
    <row r="760" spans="1:6" s="113" customFormat="1" x14ac:dyDescent="0.25">
      <c r="A760" s="141">
        <v>2127</v>
      </c>
      <c r="B760" s="142" t="s">
        <v>1353</v>
      </c>
      <c r="C760" s="143" t="s">
        <v>38</v>
      </c>
      <c r="D760" s="143" t="s">
        <v>143</v>
      </c>
      <c r="E760" s="142"/>
      <c r="F760" s="142"/>
    </row>
    <row r="761" spans="1:6" s="113" customFormat="1" ht="26.25" x14ac:dyDescent="0.25">
      <c r="A761" s="141">
        <v>2128</v>
      </c>
      <c r="B761" s="142" t="s">
        <v>469</v>
      </c>
      <c r="C761" s="143" t="s">
        <v>16</v>
      </c>
      <c r="D761" s="143" t="s">
        <v>154</v>
      </c>
      <c r="E761" s="142"/>
      <c r="F761" s="142"/>
    </row>
    <row r="762" spans="1:6" s="113" customFormat="1" ht="26.25" x14ac:dyDescent="0.25">
      <c r="A762" s="141">
        <v>2129</v>
      </c>
      <c r="B762" s="142" t="s">
        <v>1973</v>
      </c>
      <c r="C762" s="143" t="s">
        <v>49</v>
      </c>
      <c r="D762" s="143" t="s">
        <v>150</v>
      </c>
      <c r="E762" s="142"/>
      <c r="F762" s="142"/>
    </row>
    <row r="763" spans="1:6" s="113" customFormat="1" ht="26.25" x14ac:dyDescent="0.25">
      <c r="A763" s="141">
        <v>2130</v>
      </c>
      <c r="B763" s="142" t="s">
        <v>470</v>
      </c>
      <c r="C763" s="143" t="s">
        <v>1652</v>
      </c>
      <c r="D763" s="143" t="s">
        <v>242</v>
      </c>
      <c r="E763" s="142"/>
      <c r="F763" s="142" t="s">
        <v>114</v>
      </c>
    </row>
    <row r="764" spans="1:6" s="113" customFormat="1" x14ac:dyDescent="0.25">
      <c r="A764" s="141">
        <v>2131</v>
      </c>
      <c r="B764" s="142" t="s">
        <v>471</v>
      </c>
      <c r="C764" s="143" t="s">
        <v>64</v>
      </c>
      <c r="D764" s="143" t="s">
        <v>504</v>
      </c>
      <c r="E764" s="142"/>
      <c r="F764" s="142"/>
    </row>
    <row r="765" spans="1:6" s="113" customFormat="1" ht="26.25" x14ac:dyDescent="0.25">
      <c r="A765" s="190">
        <v>2134</v>
      </c>
      <c r="B765" s="188" t="s">
        <v>2544</v>
      </c>
      <c r="C765" s="143" t="s">
        <v>2583</v>
      </c>
      <c r="D765" s="187" t="s">
        <v>504</v>
      </c>
      <c r="E765" s="187"/>
      <c r="F765" s="187"/>
    </row>
    <row r="766" spans="1:6" s="113" customFormat="1" x14ac:dyDescent="0.25">
      <c r="A766" s="187">
        <v>2135</v>
      </c>
      <c r="B766" s="187" t="s">
        <v>3568</v>
      </c>
      <c r="C766" s="187" t="s">
        <v>64</v>
      </c>
      <c r="D766" s="187" t="s">
        <v>504</v>
      </c>
      <c r="E766" s="187"/>
      <c r="F766" s="187"/>
    </row>
    <row r="767" spans="1:6" s="113" customFormat="1" x14ac:dyDescent="0.25">
      <c r="A767" s="141">
        <v>2138</v>
      </c>
      <c r="B767" s="142" t="s">
        <v>472</v>
      </c>
      <c r="C767" s="143" t="s">
        <v>64</v>
      </c>
      <c r="D767" s="143" t="s">
        <v>37</v>
      </c>
      <c r="E767" s="142"/>
      <c r="F767" s="142"/>
    </row>
    <row r="768" spans="1:6" s="113" customFormat="1" ht="39" x14ac:dyDescent="0.25">
      <c r="A768" s="141">
        <v>2139</v>
      </c>
      <c r="B768" s="142" t="s">
        <v>1974</v>
      </c>
      <c r="C768" s="143" t="s">
        <v>1529</v>
      </c>
      <c r="D768" s="143" t="s">
        <v>173</v>
      </c>
      <c r="E768" s="142"/>
      <c r="F768" s="142"/>
    </row>
    <row r="769" spans="1:6" s="113" customFormat="1" x14ac:dyDescent="0.25">
      <c r="A769" s="141">
        <v>2141</v>
      </c>
      <c r="B769" s="142" t="s">
        <v>1975</v>
      </c>
      <c r="C769" s="143" t="s">
        <v>47</v>
      </c>
      <c r="D769" s="143" t="s">
        <v>56</v>
      </c>
      <c r="E769" s="142"/>
      <c r="F769" s="142"/>
    </row>
    <row r="770" spans="1:6" s="113" customFormat="1" x14ac:dyDescent="0.25">
      <c r="A770" s="141">
        <v>2142</v>
      </c>
      <c r="B770" s="142" t="s">
        <v>473</v>
      </c>
      <c r="C770" s="143" t="s">
        <v>64</v>
      </c>
      <c r="D770" s="143" t="s">
        <v>1494</v>
      </c>
      <c r="E770" s="142"/>
      <c r="F770" s="142"/>
    </row>
    <row r="771" spans="1:6" s="113" customFormat="1" x14ac:dyDescent="0.25">
      <c r="A771" s="141">
        <v>2143</v>
      </c>
      <c r="B771" s="142" t="s">
        <v>474</v>
      </c>
      <c r="C771" s="143" t="s">
        <v>64</v>
      </c>
      <c r="D771" s="143" t="s">
        <v>237</v>
      </c>
      <c r="E771" s="142"/>
      <c r="F771" s="142"/>
    </row>
    <row r="772" spans="1:6" s="113" customFormat="1" ht="39" x14ac:dyDescent="0.25">
      <c r="A772" s="141">
        <v>2144</v>
      </c>
      <c r="B772" s="142" t="s">
        <v>475</v>
      </c>
      <c r="C772" s="143" t="s">
        <v>1529</v>
      </c>
      <c r="D772" s="143" t="s">
        <v>7</v>
      </c>
      <c r="E772" s="142"/>
      <c r="F772" s="142"/>
    </row>
    <row r="773" spans="1:6" s="113" customFormat="1" x14ac:dyDescent="0.25">
      <c r="A773" s="141">
        <v>2146</v>
      </c>
      <c r="B773" s="142" t="s">
        <v>476</v>
      </c>
      <c r="C773" s="143" t="s">
        <v>384</v>
      </c>
      <c r="D773" s="143" t="s">
        <v>415</v>
      </c>
      <c r="E773" s="142"/>
      <c r="F773" s="142"/>
    </row>
    <row r="774" spans="1:6" s="113" customFormat="1" x14ac:dyDescent="0.25">
      <c r="A774" s="141">
        <v>2147</v>
      </c>
      <c r="B774" s="142" t="s">
        <v>1976</v>
      </c>
      <c r="C774" s="143" t="s">
        <v>44</v>
      </c>
      <c r="D774" s="143" t="s">
        <v>453</v>
      </c>
      <c r="E774" s="142"/>
      <c r="F774" s="142"/>
    </row>
    <row r="775" spans="1:6" s="113" customFormat="1" x14ac:dyDescent="0.25">
      <c r="A775" s="141">
        <v>2148</v>
      </c>
      <c r="B775" s="142" t="s">
        <v>477</v>
      </c>
      <c r="C775" s="143" t="s">
        <v>47</v>
      </c>
      <c r="D775" s="143" t="s">
        <v>7</v>
      </c>
      <c r="E775" s="142"/>
      <c r="F775" s="142"/>
    </row>
    <row r="776" spans="1:6" s="113" customFormat="1" x14ac:dyDescent="0.25">
      <c r="A776" s="141">
        <v>2149</v>
      </c>
      <c r="B776" s="142" t="s">
        <v>1977</v>
      </c>
      <c r="C776" s="143" t="s">
        <v>73</v>
      </c>
      <c r="D776" s="143" t="s">
        <v>116</v>
      </c>
      <c r="E776" s="142"/>
      <c r="F776" s="142"/>
    </row>
    <row r="777" spans="1:6" s="113" customFormat="1" x14ac:dyDescent="0.25">
      <c r="A777" s="141">
        <v>2150</v>
      </c>
      <c r="B777" s="142" t="s">
        <v>1978</v>
      </c>
      <c r="C777" s="143" t="s">
        <v>64</v>
      </c>
      <c r="D777" s="143" t="s">
        <v>504</v>
      </c>
      <c r="E777" s="142"/>
      <c r="F777" s="142"/>
    </row>
    <row r="778" spans="1:6" s="113" customFormat="1" x14ac:dyDescent="0.25">
      <c r="A778" s="141">
        <v>2151</v>
      </c>
      <c r="B778" s="142" t="s">
        <v>478</v>
      </c>
      <c r="C778" s="143" t="s">
        <v>140</v>
      </c>
      <c r="D778" s="143" t="s">
        <v>143</v>
      </c>
      <c r="E778" s="142"/>
      <c r="F778" s="142"/>
    </row>
    <row r="779" spans="1:6" s="113" customFormat="1" x14ac:dyDescent="0.25">
      <c r="A779" s="141">
        <v>2157</v>
      </c>
      <c r="B779" s="142" t="s">
        <v>1979</v>
      </c>
      <c r="C779" s="143" t="s">
        <v>36</v>
      </c>
      <c r="D779" s="143" t="s">
        <v>1131</v>
      </c>
      <c r="E779" s="142"/>
      <c r="F779" s="142"/>
    </row>
    <row r="780" spans="1:6" s="113" customFormat="1" x14ac:dyDescent="0.25">
      <c r="A780" s="141">
        <v>2158</v>
      </c>
      <c r="B780" s="142" t="s">
        <v>1980</v>
      </c>
      <c r="C780" s="143" t="s">
        <v>47</v>
      </c>
      <c r="D780" s="143" t="s">
        <v>159</v>
      </c>
      <c r="E780" s="142"/>
      <c r="F780" s="142"/>
    </row>
    <row r="781" spans="1:6" s="113" customFormat="1" x14ac:dyDescent="0.25">
      <c r="A781" s="141">
        <v>2159</v>
      </c>
      <c r="B781" s="142" t="s">
        <v>479</v>
      </c>
      <c r="C781" s="143" t="s">
        <v>36</v>
      </c>
      <c r="D781" s="143" t="s">
        <v>967</v>
      </c>
      <c r="E781" s="142"/>
      <c r="F781" s="142"/>
    </row>
    <row r="782" spans="1:6" s="113" customFormat="1" x14ac:dyDescent="0.25">
      <c r="A782" s="141">
        <v>2161</v>
      </c>
      <c r="B782" s="142" t="s">
        <v>1981</v>
      </c>
      <c r="C782" s="143" t="s">
        <v>38</v>
      </c>
      <c r="D782" s="143" t="s">
        <v>453</v>
      </c>
      <c r="E782" s="142"/>
      <c r="F782" s="142"/>
    </row>
    <row r="783" spans="1:6" s="113" customFormat="1" x14ac:dyDescent="0.25">
      <c r="A783" s="141">
        <v>2162</v>
      </c>
      <c r="B783" s="142" t="s">
        <v>480</v>
      </c>
      <c r="C783" s="143" t="s">
        <v>47</v>
      </c>
      <c r="D783" s="143" t="s">
        <v>11</v>
      </c>
      <c r="E783" s="142"/>
      <c r="F783" s="142"/>
    </row>
    <row r="784" spans="1:6" s="113" customFormat="1" x14ac:dyDescent="0.25">
      <c r="A784" s="141">
        <v>2163</v>
      </c>
      <c r="B784" s="142" t="s">
        <v>1982</v>
      </c>
      <c r="C784" s="143" t="s">
        <v>47</v>
      </c>
      <c r="D784" s="143" t="s">
        <v>56</v>
      </c>
      <c r="E784" s="142"/>
      <c r="F784" s="142"/>
    </row>
    <row r="785" spans="1:6" s="113" customFormat="1" ht="26.25" x14ac:dyDescent="0.25">
      <c r="A785" s="141">
        <v>2164</v>
      </c>
      <c r="B785" s="142" t="s">
        <v>1983</v>
      </c>
      <c r="C785" s="143" t="s">
        <v>96</v>
      </c>
      <c r="D785" s="143" t="s">
        <v>116</v>
      </c>
      <c r="E785" s="142"/>
      <c r="F785" s="142"/>
    </row>
    <row r="786" spans="1:6" s="113" customFormat="1" x14ac:dyDescent="0.25">
      <c r="A786" s="141">
        <v>2165</v>
      </c>
      <c r="B786" s="142" t="s">
        <v>481</v>
      </c>
      <c r="C786" s="143" t="s">
        <v>32</v>
      </c>
      <c r="D786" s="143" t="s">
        <v>302</v>
      </c>
      <c r="E786" s="142"/>
      <c r="F786" s="142"/>
    </row>
    <row r="787" spans="1:6" s="113" customFormat="1" ht="39" x14ac:dyDescent="0.25">
      <c r="A787" s="141">
        <v>2168</v>
      </c>
      <c r="B787" s="142" t="s">
        <v>1984</v>
      </c>
      <c r="C787" s="143" t="s">
        <v>1529</v>
      </c>
      <c r="D787" s="143" t="s">
        <v>173</v>
      </c>
      <c r="E787" s="142"/>
      <c r="F787" s="142"/>
    </row>
    <row r="788" spans="1:6" s="113" customFormat="1" x14ac:dyDescent="0.25">
      <c r="A788" s="141">
        <v>2172</v>
      </c>
      <c r="B788" s="142" t="s">
        <v>482</v>
      </c>
      <c r="C788" s="143" t="s">
        <v>36</v>
      </c>
      <c r="D788" s="143" t="s">
        <v>21</v>
      </c>
      <c r="E788" s="142"/>
      <c r="F788" s="142"/>
    </row>
    <row r="789" spans="1:6" s="113" customFormat="1" ht="26.25" x14ac:dyDescent="0.25">
      <c r="A789" s="141">
        <v>2173</v>
      </c>
      <c r="B789" s="142" t="s">
        <v>1985</v>
      </c>
      <c r="C789" s="143" t="s">
        <v>20</v>
      </c>
      <c r="D789" s="143" t="s">
        <v>116</v>
      </c>
      <c r="E789" s="142"/>
      <c r="F789" s="142"/>
    </row>
    <row r="790" spans="1:6" s="113" customFormat="1" x14ac:dyDescent="0.25">
      <c r="A790" s="141">
        <v>2176</v>
      </c>
      <c r="B790" s="142" t="s">
        <v>1986</v>
      </c>
      <c r="C790" s="143" t="s">
        <v>64</v>
      </c>
      <c r="D790" s="143" t="s">
        <v>228</v>
      </c>
      <c r="E790" s="142"/>
      <c r="F790" s="142"/>
    </row>
    <row r="791" spans="1:6" s="113" customFormat="1" x14ac:dyDescent="0.25">
      <c r="A791" s="141">
        <v>2177</v>
      </c>
      <c r="B791" s="142" t="s">
        <v>1987</v>
      </c>
      <c r="C791" s="143" t="s">
        <v>47</v>
      </c>
      <c r="D791" s="143" t="s">
        <v>56</v>
      </c>
      <c r="E791" s="142"/>
      <c r="F791" s="142"/>
    </row>
    <row r="792" spans="1:6" s="113" customFormat="1" x14ac:dyDescent="0.25">
      <c r="A792" s="141">
        <v>2178</v>
      </c>
      <c r="B792" s="142" t="s">
        <v>1988</v>
      </c>
      <c r="C792" s="149" t="s">
        <v>67</v>
      </c>
      <c r="D792" s="143" t="s">
        <v>551</v>
      </c>
      <c r="E792" s="142"/>
      <c r="F792" s="142"/>
    </row>
    <row r="793" spans="1:6" s="113" customFormat="1" x14ac:dyDescent="0.25">
      <c r="A793" s="141">
        <v>2179</v>
      </c>
      <c r="B793" s="142" t="s">
        <v>1989</v>
      </c>
      <c r="C793" s="143" t="s">
        <v>38</v>
      </c>
      <c r="D793" s="143" t="s">
        <v>148</v>
      </c>
      <c r="E793" s="142"/>
      <c r="F793" s="142"/>
    </row>
    <row r="794" spans="1:6" s="113" customFormat="1" ht="26.25" x14ac:dyDescent="0.25">
      <c r="A794" s="141">
        <v>2182</v>
      </c>
      <c r="B794" s="142" t="s">
        <v>483</v>
      </c>
      <c r="C794" s="143" t="s">
        <v>20</v>
      </c>
      <c r="D794" s="143" t="s">
        <v>302</v>
      </c>
      <c r="E794" s="142"/>
      <c r="F794" s="142"/>
    </row>
    <row r="795" spans="1:6" s="113" customFormat="1" ht="26.25" x14ac:dyDescent="0.25">
      <c r="A795" s="141">
        <v>2184</v>
      </c>
      <c r="B795" s="142" t="s">
        <v>484</v>
      </c>
      <c r="C795" s="143" t="s">
        <v>1652</v>
      </c>
      <c r="D795" s="143" t="s">
        <v>453</v>
      </c>
      <c r="E795" s="142"/>
      <c r="F795" s="142" t="s">
        <v>114</v>
      </c>
    </row>
    <row r="796" spans="1:6" s="113" customFormat="1" ht="26.25" x14ac:dyDescent="0.25">
      <c r="A796" s="141">
        <v>2185</v>
      </c>
      <c r="B796" s="142" t="s">
        <v>1990</v>
      </c>
      <c r="C796" s="143" t="s">
        <v>1652</v>
      </c>
      <c r="D796" s="143" t="s">
        <v>148</v>
      </c>
      <c r="E796" s="142"/>
      <c r="F796" s="142" t="s">
        <v>114</v>
      </c>
    </row>
    <row r="797" spans="1:6" s="113" customFormat="1" x14ac:dyDescent="0.25">
      <c r="A797" s="141">
        <v>2187</v>
      </c>
      <c r="B797" s="142" t="s">
        <v>1991</v>
      </c>
      <c r="C797" s="143" t="s">
        <v>64</v>
      </c>
      <c r="D797" s="143" t="s">
        <v>156</v>
      </c>
      <c r="E797" s="142"/>
      <c r="F797" s="142"/>
    </row>
    <row r="798" spans="1:6" s="113" customFormat="1" x14ac:dyDescent="0.25">
      <c r="A798" s="141">
        <v>2189</v>
      </c>
      <c r="B798" s="142" t="s">
        <v>2507</v>
      </c>
      <c r="C798" s="143" t="s">
        <v>64</v>
      </c>
      <c r="D798" s="143" t="s">
        <v>237</v>
      </c>
      <c r="E798" s="142"/>
      <c r="F798" s="142"/>
    </row>
    <row r="799" spans="1:6" s="113" customFormat="1" ht="26.25" x14ac:dyDescent="0.25">
      <c r="A799" s="141">
        <v>2190</v>
      </c>
      <c r="B799" s="142" t="s">
        <v>1992</v>
      </c>
      <c r="C799" s="143" t="s">
        <v>1936</v>
      </c>
      <c r="D799" s="143" t="s">
        <v>56</v>
      </c>
      <c r="E799" s="142"/>
      <c r="F799" s="142" t="s">
        <v>114</v>
      </c>
    </row>
    <row r="800" spans="1:6" s="113" customFormat="1" x14ac:dyDescent="0.25">
      <c r="A800" s="141">
        <v>2194</v>
      </c>
      <c r="B800" s="142" t="s">
        <v>1993</v>
      </c>
      <c r="C800" s="143" t="s">
        <v>47</v>
      </c>
      <c r="D800" s="143" t="s">
        <v>501</v>
      </c>
      <c r="E800" s="142"/>
      <c r="F800" s="142"/>
    </row>
    <row r="801" spans="1:6" s="113" customFormat="1" ht="26.25" x14ac:dyDescent="0.25">
      <c r="A801" s="141">
        <v>2197</v>
      </c>
      <c r="B801" s="142" t="s">
        <v>1994</v>
      </c>
      <c r="C801" s="143" t="s">
        <v>96</v>
      </c>
      <c r="D801" s="143" t="s">
        <v>109</v>
      </c>
      <c r="E801" s="142"/>
      <c r="F801" s="142"/>
    </row>
    <row r="802" spans="1:6" s="113" customFormat="1" x14ac:dyDescent="0.25">
      <c r="A802" s="141">
        <v>2203</v>
      </c>
      <c r="B802" s="142" t="s">
        <v>485</v>
      </c>
      <c r="C802" s="143" t="s">
        <v>64</v>
      </c>
      <c r="D802" s="143" t="s">
        <v>237</v>
      </c>
      <c r="E802" s="142"/>
      <c r="F802" s="142"/>
    </row>
    <row r="803" spans="1:6" s="113" customFormat="1" ht="39" x14ac:dyDescent="0.25">
      <c r="A803" s="141">
        <v>2204</v>
      </c>
      <c r="B803" s="142" t="s">
        <v>486</v>
      </c>
      <c r="C803" s="143" t="s">
        <v>1590</v>
      </c>
      <c r="D803" s="143" t="s">
        <v>242</v>
      </c>
      <c r="E803" s="142"/>
      <c r="F803" s="142"/>
    </row>
    <row r="804" spans="1:6" s="113" customFormat="1" x14ac:dyDescent="0.25">
      <c r="A804" s="141">
        <v>2209</v>
      </c>
      <c r="B804" s="142" t="s">
        <v>487</v>
      </c>
      <c r="C804" s="143" t="s">
        <v>47</v>
      </c>
      <c r="D804" s="143" t="s">
        <v>159</v>
      </c>
      <c r="E804" s="142"/>
      <c r="F804" s="142"/>
    </row>
    <row r="805" spans="1:6" s="113" customFormat="1" x14ac:dyDescent="0.25">
      <c r="A805" s="141">
        <v>2212</v>
      </c>
      <c r="B805" s="142" t="s">
        <v>488</v>
      </c>
      <c r="C805" s="143" t="s">
        <v>1946</v>
      </c>
      <c r="D805" s="143" t="s">
        <v>7</v>
      </c>
      <c r="E805" s="142"/>
      <c r="F805" s="142"/>
    </row>
    <row r="806" spans="1:6" s="113" customFormat="1" ht="26.25" x14ac:dyDescent="0.25">
      <c r="A806" s="141">
        <v>2220</v>
      </c>
      <c r="B806" s="142" t="s">
        <v>1995</v>
      </c>
      <c r="C806" s="143" t="s">
        <v>22</v>
      </c>
      <c r="D806" s="143" t="s">
        <v>242</v>
      </c>
      <c r="E806" s="142"/>
      <c r="F806" s="142"/>
    </row>
    <row r="807" spans="1:6" s="113" customFormat="1" x14ac:dyDescent="0.25">
      <c r="A807" s="141">
        <v>2226</v>
      </c>
      <c r="B807" s="142" t="s">
        <v>489</v>
      </c>
      <c r="C807" s="143" t="s">
        <v>63</v>
      </c>
      <c r="D807" s="143" t="s">
        <v>116</v>
      </c>
      <c r="E807" s="142"/>
      <c r="F807" s="142"/>
    </row>
    <row r="808" spans="1:6" s="113" customFormat="1" x14ac:dyDescent="0.25">
      <c r="A808" s="141">
        <v>2235</v>
      </c>
      <c r="B808" s="142" t="s">
        <v>1996</v>
      </c>
      <c r="C808" s="143" t="s">
        <v>47</v>
      </c>
      <c r="D808" s="143" t="s">
        <v>7</v>
      </c>
      <c r="E808" s="142"/>
      <c r="F808" s="142"/>
    </row>
    <row r="809" spans="1:6" s="113" customFormat="1" x14ac:dyDescent="0.25">
      <c r="A809" s="141">
        <v>2239</v>
      </c>
      <c r="B809" s="142" t="s">
        <v>490</v>
      </c>
      <c r="C809" s="143" t="s">
        <v>47</v>
      </c>
      <c r="D809" s="143" t="s">
        <v>159</v>
      </c>
      <c r="E809" s="142"/>
      <c r="F809" s="142"/>
    </row>
    <row r="810" spans="1:6" s="113" customFormat="1" ht="26.25" x14ac:dyDescent="0.25">
      <c r="A810" s="141">
        <v>2242</v>
      </c>
      <c r="B810" s="142" t="s">
        <v>491</v>
      </c>
      <c r="C810" s="143" t="s">
        <v>22</v>
      </c>
      <c r="D810" s="143" t="s">
        <v>116</v>
      </c>
      <c r="E810" s="142"/>
      <c r="F810" s="142"/>
    </row>
    <row r="811" spans="1:6" s="113" customFormat="1" x14ac:dyDescent="0.25">
      <c r="A811" s="141">
        <v>2243</v>
      </c>
      <c r="B811" s="142" t="s">
        <v>1548</v>
      </c>
      <c r="C811" s="143" t="s">
        <v>90</v>
      </c>
      <c r="D811" s="143" t="s">
        <v>148</v>
      </c>
      <c r="E811" s="142"/>
      <c r="F811" s="142"/>
    </row>
    <row r="812" spans="1:6" s="113" customFormat="1" x14ac:dyDescent="0.25">
      <c r="A812" s="141">
        <v>2244</v>
      </c>
      <c r="B812" s="142" t="s">
        <v>1997</v>
      </c>
      <c r="C812" s="143" t="s">
        <v>44</v>
      </c>
      <c r="D812" s="143" t="s">
        <v>143</v>
      </c>
      <c r="E812" s="142"/>
      <c r="F812" s="142"/>
    </row>
    <row r="813" spans="1:6" s="113" customFormat="1" ht="26.25" x14ac:dyDescent="0.25">
      <c r="A813" s="141">
        <v>2245</v>
      </c>
      <c r="B813" s="142" t="s">
        <v>492</v>
      </c>
      <c r="C813" s="143" t="s">
        <v>1936</v>
      </c>
      <c r="D813" s="143" t="s">
        <v>302</v>
      </c>
      <c r="E813" s="142"/>
      <c r="F813" s="142" t="s">
        <v>114</v>
      </c>
    </row>
    <row r="814" spans="1:6" s="113" customFormat="1" ht="26.25" x14ac:dyDescent="0.25">
      <c r="A814" s="141">
        <v>2246</v>
      </c>
      <c r="B814" s="142" t="s">
        <v>1261</v>
      </c>
      <c r="C814" s="143" t="s">
        <v>1652</v>
      </c>
      <c r="D814" s="143" t="s">
        <v>302</v>
      </c>
      <c r="E814" s="142"/>
      <c r="F814" s="142" t="s">
        <v>114</v>
      </c>
    </row>
    <row r="815" spans="1:6" s="113" customFormat="1" ht="26.25" x14ac:dyDescent="0.25">
      <c r="A815" s="141">
        <v>2247</v>
      </c>
      <c r="B815" s="142" t="s">
        <v>1998</v>
      </c>
      <c r="C815" s="143" t="s">
        <v>3</v>
      </c>
      <c r="D815" s="143" t="s">
        <v>242</v>
      </c>
      <c r="E815" s="142"/>
      <c r="F815" s="142"/>
    </row>
    <row r="816" spans="1:6" s="113" customFormat="1" ht="26.25" x14ac:dyDescent="0.25">
      <c r="A816" s="141">
        <v>2249</v>
      </c>
      <c r="B816" s="142" t="s">
        <v>1999</v>
      </c>
      <c r="C816" s="143" t="s">
        <v>96</v>
      </c>
      <c r="D816" s="143" t="s">
        <v>1591</v>
      </c>
      <c r="E816" s="142"/>
      <c r="F816" s="142"/>
    </row>
    <row r="817" spans="1:6" s="113" customFormat="1" x14ac:dyDescent="0.25">
      <c r="A817" s="141">
        <v>2250</v>
      </c>
      <c r="B817" s="142" t="s">
        <v>2000</v>
      </c>
      <c r="C817" s="143" t="s">
        <v>38</v>
      </c>
      <c r="D817" s="143" t="s">
        <v>453</v>
      </c>
      <c r="E817" s="142"/>
      <c r="F817" s="142"/>
    </row>
    <row r="818" spans="1:6" s="113" customFormat="1" x14ac:dyDescent="0.25">
      <c r="A818" s="141">
        <v>2252</v>
      </c>
      <c r="B818" s="142" t="s">
        <v>493</v>
      </c>
      <c r="C818" s="149" t="s">
        <v>67</v>
      </c>
      <c r="D818" s="143" t="s">
        <v>116</v>
      </c>
      <c r="E818" s="142"/>
      <c r="F818" s="142"/>
    </row>
    <row r="819" spans="1:6" s="113" customFormat="1" ht="26.25" x14ac:dyDescent="0.25">
      <c r="A819" s="141">
        <v>2253</v>
      </c>
      <c r="B819" s="142" t="s">
        <v>2001</v>
      </c>
      <c r="C819" s="143" t="s">
        <v>3</v>
      </c>
      <c r="D819" s="143" t="s">
        <v>7</v>
      </c>
      <c r="E819" s="142"/>
      <c r="F819" s="142"/>
    </row>
    <row r="820" spans="1:6" s="113" customFormat="1" x14ac:dyDescent="0.25">
      <c r="A820" s="141">
        <v>2254</v>
      </c>
      <c r="B820" s="142" t="s">
        <v>3521</v>
      </c>
      <c r="C820" s="143" t="s">
        <v>38</v>
      </c>
      <c r="D820" s="143" t="s">
        <v>148</v>
      </c>
      <c r="E820" s="142"/>
      <c r="F820" s="142"/>
    </row>
    <row r="821" spans="1:6" s="113" customFormat="1" ht="39" x14ac:dyDescent="0.25">
      <c r="A821" s="141">
        <v>2255</v>
      </c>
      <c r="B821" s="142" t="s">
        <v>494</v>
      </c>
      <c r="C821" s="143" t="s">
        <v>1590</v>
      </c>
      <c r="D821" s="143" t="s">
        <v>242</v>
      </c>
      <c r="E821" s="142"/>
      <c r="F821" s="142"/>
    </row>
    <row r="822" spans="1:6" s="113" customFormat="1" x14ac:dyDescent="0.25">
      <c r="A822" s="141">
        <v>2256</v>
      </c>
      <c r="B822" s="142" t="s">
        <v>2002</v>
      </c>
      <c r="C822" s="143" t="s">
        <v>101</v>
      </c>
      <c r="D822" s="143" t="s">
        <v>501</v>
      </c>
      <c r="E822" s="142"/>
      <c r="F822" s="142"/>
    </row>
    <row r="823" spans="1:6" s="113" customFormat="1" x14ac:dyDescent="0.25">
      <c r="A823" s="141">
        <v>2257</v>
      </c>
      <c r="B823" s="142" t="s">
        <v>495</v>
      </c>
      <c r="C823" s="143" t="s">
        <v>64</v>
      </c>
      <c r="D823" s="143" t="s">
        <v>302</v>
      </c>
      <c r="E823" s="142"/>
      <c r="F823" s="142"/>
    </row>
    <row r="824" spans="1:6" s="113" customFormat="1" x14ac:dyDescent="0.25">
      <c r="A824" s="141">
        <v>2260</v>
      </c>
      <c r="B824" s="142" t="s">
        <v>496</v>
      </c>
      <c r="C824" s="143" t="s">
        <v>64</v>
      </c>
      <c r="D824" s="143" t="s">
        <v>237</v>
      </c>
      <c r="E824" s="142"/>
      <c r="F824" s="142"/>
    </row>
    <row r="825" spans="1:6" s="113" customFormat="1" x14ac:dyDescent="0.25">
      <c r="A825" s="141">
        <v>2263</v>
      </c>
      <c r="B825" s="142" t="s">
        <v>2003</v>
      </c>
      <c r="C825" s="143" t="s">
        <v>1946</v>
      </c>
      <c r="D825" s="143" t="s">
        <v>11</v>
      </c>
      <c r="E825" s="142"/>
      <c r="F825" s="142"/>
    </row>
    <row r="826" spans="1:6" s="113" customFormat="1" x14ac:dyDescent="0.25">
      <c r="A826" s="141">
        <v>2264</v>
      </c>
      <c r="B826" s="142" t="s">
        <v>2004</v>
      </c>
      <c r="C826" s="143" t="s">
        <v>47</v>
      </c>
      <c r="D826" s="143" t="s">
        <v>159</v>
      </c>
      <c r="E826" s="142"/>
      <c r="F826" s="142"/>
    </row>
    <row r="827" spans="1:6" s="113" customFormat="1" ht="26.25" x14ac:dyDescent="0.25">
      <c r="A827" s="141">
        <v>2268</v>
      </c>
      <c r="B827" s="142" t="s">
        <v>1504</v>
      </c>
      <c r="C827" s="143" t="s">
        <v>22</v>
      </c>
      <c r="D827" s="143" t="s">
        <v>242</v>
      </c>
      <c r="E827" s="142"/>
      <c r="F827" s="142"/>
    </row>
    <row r="828" spans="1:6" s="113" customFormat="1" ht="26.25" x14ac:dyDescent="0.25">
      <c r="A828" s="141">
        <v>2271</v>
      </c>
      <c r="B828" s="142" t="s">
        <v>497</v>
      </c>
      <c r="C828" s="143" t="s">
        <v>3</v>
      </c>
      <c r="D828" s="143" t="s">
        <v>242</v>
      </c>
      <c r="E828" s="142"/>
      <c r="F828" s="142"/>
    </row>
    <row r="829" spans="1:6" s="113" customFormat="1" x14ac:dyDescent="0.25">
      <c r="A829" s="153">
        <v>2272</v>
      </c>
      <c r="B829" s="154" t="s">
        <v>2005</v>
      </c>
      <c r="C829" s="143" t="s">
        <v>167</v>
      </c>
      <c r="D829" s="143" t="s">
        <v>21</v>
      </c>
      <c r="E829" s="142"/>
      <c r="F829" s="142"/>
    </row>
    <row r="830" spans="1:6" s="113" customFormat="1" x14ac:dyDescent="0.25">
      <c r="A830" s="141">
        <v>2328</v>
      </c>
      <c r="B830" s="142" t="s">
        <v>2006</v>
      </c>
      <c r="C830" s="143" t="s">
        <v>36</v>
      </c>
      <c r="D830" s="143" t="s">
        <v>302</v>
      </c>
      <c r="E830" s="142"/>
      <c r="F830" s="142"/>
    </row>
    <row r="831" spans="1:6" s="113" customFormat="1" x14ac:dyDescent="0.25">
      <c r="A831" s="141">
        <v>2330</v>
      </c>
      <c r="B831" s="142" t="s">
        <v>498</v>
      </c>
      <c r="C831" s="143" t="s">
        <v>64</v>
      </c>
      <c r="D831" s="143" t="s">
        <v>150</v>
      </c>
      <c r="E831" s="142"/>
      <c r="F831" s="142"/>
    </row>
    <row r="832" spans="1:6" s="113" customFormat="1" ht="26.25" x14ac:dyDescent="0.25">
      <c r="A832" s="141">
        <v>2331</v>
      </c>
      <c r="B832" s="142" t="s">
        <v>499</v>
      </c>
      <c r="C832" s="143" t="s">
        <v>22</v>
      </c>
      <c r="D832" s="143" t="s">
        <v>116</v>
      </c>
      <c r="E832" s="142"/>
      <c r="F832" s="142"/>
    </row>
    <row r="833" spans="1:6" s="113" customFormat="1" x14ac:dyDescent="0.25">
      <c r="A833" s="141">
        <v>2335</v>
      </c>
      <c r="B833" s="142" t="s">
        <v>2007</v>
      </c>
      <c r="C833" s="143" t="s">
        <v>90</v>
      </c>
      <c r="D833" s="143" t="s">
        <v>415</v>
      </c>
      <c r="E833" s="142"/>
      <c r="F833" s="142"/>
    </row>
    <row r="834" spans="1:6" s="113" customFormat="1" ht="26.25" x14ac:dyDescent="0.25">
      <c r="A834" s="141">
        <v>2336</v>
      </c>
      <c r="B834" s="142" t="s">
        <v>2008</v>
      </c>
      <c r="C834" s="143" t="s">
        <v>96</v>
      </c>
      <c r="D834" s="143" t="s">
        <v>109</v>
      </c>
      <c r="E834" s="142"/>
      <c r="F834" s="142"/>
    </row>
    <row r="835" spans="1:6" s="113" customFormat="1" x14ac:dyDescent="0.25">
      <c r="A835" s="141">
        <v>2337</v>
      </c>
      <c r="B835" s="142" t="s">
        <v>500</v>
      </c>
      <c r="C835" s="143" t="s">
        <v>101</v>
      </c>
      <c r="D835" s="143" t="s">
        <v>501</v>
      </c>
      <c r="E835" s="142"/>
      <c r="F835" s="142"/>
    </row>
    <row r="836" spans="1:6" s="113" customFormat="1" x14ac:dyDescent="0.25">
      <c r="A836" s="141">
        <v>2338</v>
      </c>
      <c r="B836" s="142" t="s">
        <v>502</v>
      </c>
      <c r="C836" s="143" t="s">
        <v>44</v>
      </c>
      <c r="D836" s="143" t="s">
        <v>453</v>
      </c>
      <c r="E836" s="142"/>
      <c r="F836" s="142"/>
    </row>
    <row r="837" spans="1:6" s="113" customFormat="1" ht="26.25" x14ac:dyDescent="0.25">
      <c r="A837" s="141">
        <v>2339</v>
      </c>
      <c r="B837" s="142" t="s">
        <v>503</v>
      </c>
      <c r="C837" s="143" t="s">
        <v>20</v>
      </c>
      <c r="D837" s="143" t="s">
        <v>302</v>
      </c>
      <c r="E837" s="142"/>
      <c r="F837" s="142"/>
    </row>
    <row r="838" spans="1:6" s="113" customFormat="1" x14ac:dyDescent="0.25">
      <c r="A838" s="141">
        <v>2341</v>
      </c>
      <c r="B838" s="142" t="s">
        <v>2009</v>
      </c>
      <c r="C838" s="143" t="s">
        <v>38</v>
      </c>
      <c r="D838" s="143" t="s">
        <v>453</v>
      </c>
      <c r="E838" s="142"/>
      <c r="F838" s="142"/>
    </row>
    <row r="839" spans="1:6" s="113" customFormat="1" x14ac:dyDescent="0.25">
      <c r="A839" s="141">
        <v>2342</v>
      </c>
      <c r="B839" s="144" t="s">
        <v>505</v>
      </c>
      <c r="C839" s="143" t="s">
        <v>47</v>
      </c>
      <c r="D839" s="146" t="s">
        <v>159</v>
      </c>
      <c r="E839" s="142"/>
      <c r="F839" s="142"/>
    </row>
    <row r="840" spans="1:6" s="113" customFormat="1" x14ac:dyDescent="0.25">
      <c r="A840" s="141">
        <v>2343</v>
      </c>
      <c r="B840" s="142" t="s">
        <v>506</v>
      </c>
      <c r="C840" s="143" t="s">
        <v>47</v>
      </c>
      <c r="D840" s="143" t="s">
        <v>159</v>
      </c>
      <c r="E840" s="142"/>
      <c r="F840" s="142"/>
    </row>
    <row r="841" spans="1:6" s="113" customFormat="1" x14ac:dyDescent="0.25">
      <c r="A841" s="141">
        <v>2344</v>
      </c>
      <c r="B841" s="142" t="s">
        <v>2010</v>
      </c>
      <c r="C841" s="143" t="s">
        <v>73</v>
      </c>
      <c r="D841" s="143" t="s">
        <v>7</v>
      </c>
      <c r="E841" s="142"/>
      <c r="F841" s="142"/>
    </row>
    <row r="842" spans="1:6" s="113" customFormat="1" x14ac:dyDescent="0.25">
      <c r="A842" s="141">
        <v>2346</v>
      </c>
      <c r="B842" s="142" t="s">
        <v>507</v>
      </c>
      <c r="C842" s="143" t="s">
        <v>122</v>
      </c>
      <c r="D842" s="143" t="s">
        <v>415</v>
      </c>
      <c r="E842" s="142"/>
      <c r="F842" s="142"/>
    </row>
    <row r="843" spans="1:6" s="113" customFormat="1" ht="26.25" x14ac:dyDescent="0.25">
      <c r="A843" s="141">
        <v>2348</v>
      </c>
      <c r="B843" s="142" t="s">
        <v>2011</v>
      </c>
      <c r="C843" s="143" t="s">
        <v>96</v>
      </c>
      <c r="D843" s="143" t="s">
        <v>415</v>
      </c>
      <c r="E843" s="142"/>
      <c r="F843" s="142"/>
    </row>
    <row r="844" spans="1:6" s="113" customFormat="1" ht="26.25" x14ac:dyDescent="0.25">
      <c r="A844" s="141">
        <v>2349</v>
      </c>
      <c r="B844" s="142" t="s">
        <v>2012</v>
      </c>
      <c r="C844" s="143" t="s">
        <v>108</v>
      </c>
      <c r="D844" s="143" t="s">
        <v>148</v>
      </c>
      <c r="E844" s="142"/>
      <c r="F844" s="142"/>
    </row>
    <row r="845" spans="1:6" s="113" customFormat="1" x14ac:dyDescent="0.25">
      <c r="A845" s="141">
        <v>2350</v>
      </c>
      <c r="B845" s="142" t="s">
        <v>2013</v>
      </c>
      <c r="C845" s="143" t="s">
        <v>1455</v>
      </c>
      <c r="D845" s="143" t="s">
        <v>415</v>
      </c>
      <c r="E845" s="142"/>
      <c r="F845" s="142"/>
    </row>
    <row r="846" spans="1:6" s="113" customFormat="1" x14ac:dyDescent="0.25">
      <c r="A846" s="141">
        <v>2351</v>
      </c>
      <c r="B846" s="142" t="s">
        <v>2014</v>
      </c>
      <c r="C846" s="143" t="s">
        <v>47</v>
      </c>
      <c r="D846" s="143" t="s">
        <v>21</v>
      </c>
      <c r="E846" s="142"/>
      <c r="F846" s="142"/>
    </row>
    <row r="847" spans="1:6" s="113" customFormat="1" x14ac:dyDescent="0.25">
      <c r="A847" s="141">
        <v>2354</v>
      </c>
      <c r="B847" s="142" t="s">
        <v>508</v>
      </c>
      <c r="C847" s="143" t="s">
        <v>90</v>
      </c>
      <c r="D847" s="143" t="s">
        <v>148</v>
      </c>
      <c r="E847" s="142"/>
      <c r="F847" s="142"/>
    </row>
    <row r="848" spans="1:6" s="113" customFormat="1" x14ac:dyDescent="0.25">
      <c r="A848" s="141">
        <v>2355</v>
      </c>
      <c r="B848" s="142" t="s">
        <v>509</v>
      </c>
      <c r="C848" s="143" t="s">
        <v>64</v>
      </c>
      <c r="D848" s="143" t="s">
        <v>504</v>
      </c>
      <c r="E848" s="142"/>
      <c r="F848" s="142"/>
    </row>
    <row r="849" spans="1:6" s="113" customFormat="1" x14ac:dyDescent="0.25">
      <c r="A849" s="141">
        <v>2356</v>
      </c>
      <c r="B849" s="142" t="s">
        <v>2015</v>
      </c>
      <c r="C849" s="143" t="s">
        <v>47</v>
      </c>
      <c r="D849" s="143" t="s">
        <v>179</v>
      </c>
      <c r="E849" s="142"/>
      <c r="F849" s="142"/>
    </row>
    <row r="850" spans="1:6" s="113" customFormat="1" ht="26.25" x14ac:dyDescent="0.25">
      <c r="A850" s="141">
        <v>2360</v>
      </c>
      <c r="B850" s="142" t="s">
        <v>2016</v>
      </c>
      <c r="C850" s="143" t="s">
        <v>144</v>
      </c>
      <c r="D850" s="143" t="s">
        <v>173</v>
      </c>
      <c r="E850" s="142"/>
      <c r="F850" s="142"/>
    </row>
    <row r="851" spans="1:6" s="113" customFormat="1" x14ac:dyDescent="0.25">
      <c r="A851" s="141">
        <v>2362</v>
      </c>
      <c r="B851" s="142" t="s">
        <v>2017</v>
      </c>
      <c r="C851" s="143" t="s">
        <v>24</v>
      </c>
      <c r="D851" s="143" t="s">
        <v>37</v>
      </c>
      <c r="E851" s="142"/>
      <c r="F851" s="142"/>
    </row>
    <row r="852" spans="1:6" s="113" customFormat="1" x14ac:dyDescent="0.25">
      <c r="A852" s="141">
        <v>2363</v>
      </c>
      <c r="B852" s="142" t="s">
        <v>510</v>
      </c>
      <c r="C852" s="143" t="s">
        <v>24</v>
      </c>
      <c r="D852" s="143" t="s">
        <v>37</v>
      </c>
      <c r="E852" s="142"/>
      <c r="F852" s="142"/>
    </row>
    <row r="853" spans="1:6" s="113" customFormat="1" x14ac:dyDescent="0.25">
      <c r="A853" s="141">
        <v>2364</v>
      </c>
      <c r="B853" s="142" t="s">
        <v>511</v>
      </c>
      <c r="C853" s="143" t="s">
        <v>24</v>
      </c>
      <c r="D853" s="143" t="s">
        <v>37</v>
      </c>
      <c r="E853" s="142"/>
      <c r="F853" s="142"/>
    </row>
    <row r="854" spans="1:6" s="113" customFormat="1" x14ac:dyDescent="0.25">
      <c r="A854" s="141">
        <v>2366</v>
      </c>
      <c r="B854" s="142" t="s">
        <v>512</v>
      </c>
      <c r="C854" s="143" t="s">
        <v>24</v>
      </c>
      <c r="D854" s="143" t="s">
        <v>37</v>
      </c>
      <c r="E854" s="142"/>
      <c r="F854" s="142"/>
    </row>
    <row r="855" spans="1:6" s="113" customFormat="1" ht="26.25" x14ac:dyDescent="0.25">
      <c r="A855" s="141">
        <v>2367</v>
      </c>
      <c r="B855" s="142" t="s">
        <v>513</v>
      </c>
      <c r="C855" s="143" t="s">
        <v>120</v>
      </c>
      <c r="D855" s="143" t="s">
        <v>11</v>
      </c>
      <c r="E855" s="142"/>
      <c r="F855" s="142"/>
    </row>
    <row r="856" spans="1:6" s="113" customFormat="1" x14ac:dyDescent="0.25">
      <c r="A856" s="141">
        <v>2368</v>
      </c>
      <c r="B856" s="142" t="s">
        <v>2018</v>
      </c>
      <c r="C856" s="143" t="s">
        <v>64</v>
      </c>
      <c r="D856" s="143" t="s">
        <v>228</v>
      </c>
      <c r="E856" s="142"/>
      <c r="F856" s="142"/>
    </row>
    <row r="857" spans="1:6" s="113" customFormat="1" ht="26.25" x14ac:dyDescent="0.25">
      <c r="A857" s="141">
        <v>2371</v>
      </c>
      <c r="B857" s="142" t="s">
        <v>2019</v>
      </c>
      <c r="C857" s="143" t="s">
        <v>22</v>
      </c>
      <c r="D857" s="143" t="s">
        <v>501</v>
      </c>
      <c r="E857" s="142"/>
      <c r="F857" s="142"/>
    </row>
    <row r="858" spans="1:6" s="113" customFormat="1" x14ac:dyDescent="0.25">
      <c r="A858" s="141">
        <v>2372</v>
      </c>
      <c r="B858" s="142" t="s">
        <v>2020</v>
      </c>
      <c r="C858" s="143" t="s">
        <v>47</v>
      </c>
      <c r="D858" s="143" t="s">
        <v>159</v>
      </c>
      <c r="E858" s="142"/>
      <c r="F858" s="142"/>
    </row>
    <row r="859" spans="1:6" s="113" customFormat="1" ht="26.25" x14ac:dyDescent="0.25">
      <c r="A859" s="141">
        <v>2375</v>
      </c>
      <c r="B859" s="142" t="s">
        <v>514</v>
      </c>
      <c r="C859" s="143" t="s">
        <v>20</v>
      </c>
      <c r="D859" s="143" t="s">
        <v>116</v>
      </c>
      <c r="E859" s="142"/>
      <c r="F859" s="142"/>
    </row>
    <row r="860" spans="1:6" s="113" customFormat="1" x14ac:dyDescent="0.25">
      <c r="A860" s="141">
        <v>2376</v>
      </c>
      <c r="B860" s="142" t="s">
        <v>515</v>
      </c>
      <c r="C860" s="143" t="s">
        <v>140</v>
      </c>
      <c r="D860" s="143" t="s">
        <v>143</v>
      </c>
      <c r="E860" s="142"/>
      <c r="F860" s="142"/>
    </row>
    <row r="861" spans="1:6" s="113" customFormat="1" ht="39" x14ac:dyDescent="0.25">
      <c r="A861" s="141">
        <v>2377</v>
      </c>
      <c r="B861" s="142" t="s">
        <v>2021</v>
      </c>
      <c r="C861" s="143" t="s">
        <v>1935</v>
      </c>
      <c r="D861" s="143" t="s">
        <v>1460</v>
      </c>
      <c r="E861" s="142"/>
      <c r="F861" s="144" t="s">
        <v>114</v>
      </c>
    </row>
    <row r="862" spans="1:6" s="113" customFormat="1" ht="26.25" x14ac:dyDescent="0.25">
      <c r="A862" s="141">
        <v>2379</v>
      </c>
      <c r="B862" s="142" t="s">
        <v>516</v>
      </c>
      <c r="C862" s="143" t="s">
        <v>20</v>
      </c>
      <c r="D862" s="143" t="s">
        <v>116</v>
      </c>
      <c r="E862" s="142"/>
      <c r="F862" s="142"/>
    </row>
    <row r="863" spans="1:6" s="113" customFormat="1" x14ac:dyDescent="0.25">
      <c r="A863" s="141">
        <v>2380</v>
      </c>
      <c r="B863" s="142" t="s">
        <v>517</v>
      </c>
      <c r="C863" s="143" t="s">
        <v>38</v>
      </c>
      <c r="D863" s="143" t="s">
        <v>143</v>
      </c>
      <c r="E863" s="142"/>
      <c r="F863" s="142"/>
    </row>
    <row r="864" spans="1:6" s="113" customFormat="1" x14ac:dyDescent="0.25">
      <c r="A864" s="141">
        <v>2381</v>
      </c>
      <c r="B864" s="142" t="s">
        <v>2022</v>
      </c>
      <c r="C864" s="149" t="s">
        <v>67</v>
      </c>
      <c r="D864" s="143" t="s">
        <v>154</v>
      </c>
      <c r="E864" s="142"/>
      <c r="F864" s="142"/>
    </row>
    <row r="865" spans="1:6" s="113" customFormat="1" x14ac:dyDescent="0.25">
      <c r="A865" s="141">
        <v>2383</v>
      </c>
      <c r="B865" s="142" t="s">
        <v>518</v>
      </c>
      <c r="C865" s="143" t="s">
        <v>47</v>
      </c>
      <c r="D865" s="143" t="s">
        <v>159</v>
      </c>
      <c r="E865" s="142"/>
      <c r="F865" s="142"/>
    </row>
    <row r="866" spans="1:6" s="113" customFormat="1" ht="26.25" x14ac:dyDescent="0.25">
      <c r="A866" s="141">
        <v>2384</v>
      </c>
      <c r="B866" s="142" t="s">
        <v>519</v>
      </c>
      <c r="C866" s="143" t="s">
        <v>20</v>
      </c>
      <c r="D866" s="143" t="s">
        <v>116</v>
      </c>
      <c r="E866" s="142"/>
      <c r="F866" s="142"/>
    </row>
    <row r="867" spans="1:6" s="113" customFormat="1" x14ac:dyDescent="0.25">
      <c r="A867" s="141">
        <v>2385</v>
      </c>
      <c r="B867" s="142" t="s">
        <v>520</v>
      </c>
      <c r="C867" s="143" t="s">
        <v>90</v>
      </c>
      <c r="D867" s="143" t="s">
        <v>415</v>
      </c>
      <c r="E867" s="142"/>
      <c r="F867" s="142"/>
    </row>
    <row r="868" spans="1:6" s="113" customFormat="1" x14ac:dyDescent="0.25">
      <c r="A868" s="141">
        <v>2386</v>
      </c>
      <c r="B868" s="142" t="s">
        <v>3142</v>
      </c>
      <c r="C868" s="143" t="s">
        <v>140</v>
      </c>
      <c r="D868" s="143" t="s">
        <v>453</v>
      </c>
      <c r="E868" s="142"/>
      <c r="F868" s="142"/>
    </row>
    <row r="869" spans="1:6" s="113" customFormat="1" x14ac:dyDescent="0.25">
      <c r="A869" s="141">
        <v>2387</v>
      </c>
      <c r="B869" s="142" t="s">
        <v>2023</v>
      </c>
      <c r="C869" s="143" t="s">
        <v>64</v>
      </c>
      <c r="D869" s="143" t="s">
        <v>37</v>
      </c>
      <c r="E869" s="142"/>
      <c r="F869" s="142"/>
    </row>
    <row r="870" spans="1:6" s="113" customFormat="1" x14ac:dyDescent="0.25">
      <c r="A870" s="141">
        <v>2388</v>
      </c>
      <c r="B870" s="142" t="s">
        <v>521</v>
      </c>
      <c r="C870" s="143" t="s">
        <v>47</v>
      </c>
      <c r="D870" s="143" t="s">
        <v>11</v>
      </c>
      <c r="E870" s="142"/>
      <c r="F870" s="142"/>
    </row>
    <row r="871" spans="1:6" s="113" customFormat="1" x14ac:dyDescent="0.25">
      <c r="A871" s="153">
        <v>2389</v>
      </c>
      <c r="B871" s="154" t="s">
        <v>2024</v>
      </c>
      <c r="C871" s="143" t="s">
        <v>90</v>
      </c>
      <c r="D871" s="143" t="s">
        <v>148</v>
      </c>
      <c r="E871" s="142"/>
      <c r="F871" s="142"/>
    </row>
    <row r="872" spans="1:6" s="113" customFormat="1" x14ac:dyDescent="0.25">
      <c r="A872" s="141">
        <v>2390</v>
      </c>
      <c r="B872" s="142" t="s">
        <v>2025</v>
      </c>
      <c r="C872" s="143" t="s">
        <v>64</v>
      </c>
      <c r="D872" s="143" t="s">
        <v>154</v>
      </c>
      <c r="E872" s="142"/>
      <c r="F872" s="142"/>
    </row>
    <row r="873" spans="1:6" s="113" customFormat="1" ht="39" x14ac:dyDescent="0.25">
      <c r="A873" s="141">
        <v>2393</v>
      </c>
      <c r="B873" s="142" t="s">
        <v>2026</v>
      </c>
      <c r="C873" s="143" t="s">
        <v>1529</v>
      </c>
      <c r="D873" s="143" t="s">
        <v>173</v>
      </c>
      <c r="E873" s="142"/>
      <c r="F873" s="142"/>
    </row>
    <row r="874" spans="1:6" s="113" customFormat="1" x14ac:dyDescent="0.25">
      <c r="A874" s="141">
        <v>2394</v>
      </c>
      <c r="B874" s="142" t="s">
        <v>522</v>
      </c>
      <c r="C874" s="143" t="s">
        <v>64</v>
      </c>
      <c r="D874" s="143" t="s">
        <v>228</v>
      </c>
      <c r="E874" s="142"/>
      <c r="F874" s="142"/>
    </row>
    <row r="875" spans="1:6" s="113" customFormat="1" x14ac:dyDescent="0.25">
      <c r="A875" s="141">
        <v>2397</v>
      </c>
      <c r="B875" s="142" t="s">
        <v>523</v>
      </c>
      <c r="C875" s="143" t="s">
        <v>101</v>
      </c>
      <c r="D875" s="143" t="s">
        <v>504</v>
      </c>
      <c r="E875" s="142"/>
      <c r="F875" s="142"/>
    </row>
    <row r="876" spans="1:6" s="113" customFormat="1" ht="26.25" x14ac:dyDescent="0.25">
      <c r="A876" s="141">
        <v>2399</v>
      </c>
      <c r="B876" s="142" t="s">
        <v>524</v>
      </c>
      <c r="C876" s="143" t="s">
        <v>96</v>
      </c>
      <c r="D876" s="143" t="s">
        <v>109</v>
      </c>
      <c r="E876" s="142"/>
      <c r="F876" s="142"/>
    </row>
    <row r="877" spans="1:6" s="113" customFormat="1" ht="26.25" x14ac:dyDescent="0.25">
      <c r="A877" s="141">
        <v>2400</v>
      </c>
      <c r="B877" s="142" t="s">
        <v>2027</v>
      </c>
      <c r="C877" s="143" t="s">
        <v>22</v>
      </c>
      <c r="D877" s="143" t="s">
        <v>1637</v>
      </c>
      <c r="E877" s="142"/>
      <c r="F877" s="142"/>
    </row>
    <row r="878" spans="1:6" s="113" customFormat="1" x14ac:dyDescent="0.25">
      <c r="A878" s="141">
        <v>2402</v>
      </c>
      <c r="B878" s="142" t="s">
        <v>525</v>
      </c>
      <c r="C878" s="143" t="s">
        <v>64</v>
      </c>
      <c r="D878" s="143" t="s">
        <v>237</v>
      </c>
      <c r="E878" s="142"/>
      <c r="F878" s="142"/>
    </row>
    <row r="879" spans="1:6" s="113" customFormat="1" x14ac:dyDescent="0.25">
      <c r="A879" s="141">
        <v>2403</v>
      </c>
      <c r="B879" s="142" t="s">
        <v>2028</v>
      </c>
      <c r="C879" s="143" t="s">
        <v>47</v>
      </c>
      <c r="D879" s="143" t="s">
        <v>159</v>
      </c>
      <c r="E879" s="142"/>
      <c r="F879" s="142"/>
    </row>
    <row r="880" spans="1:6" s="113" customFormat="1" x14ac:dyDescent="0.25">
      <c r="A880" s="141">
        <v>2405</v>
      </c>
      <c r="B880" s="142" t="s">
        <v>526</v>
      </c>
      <c r="C880" s="143" t="s">
        <v>38</v>
      </c>
      <c r="D880" s="143" t="s">
        <v>109</v>
      </c>
      <c r="E880" s="142"/>
      <c r="F880" s="142"/>
    </row>
    <row r="881" spans="1:6" s="113" customFormat="1" x14ac:dyDescent="0.25">
      <c r="A881" s="141">
        <v>2407</v>
      </c>
      <c r="B881" s="142" t="s">
        <v>527</v>
      </c>
      <c r="C881" s="143" t="s">
        <v>64</v>
      </c>
      <c r="D881" s="143" t="s">
        <v>237</v>
      </c>
      <c r="E881" s="142"/>
      <c r="F881" s="142"/>
    </row>
    <row r="882" spans="1:6" s="113" customFormat="1" x14ac:dyDescent="0.25">
      <c r="A882" s="141">
        <v>2409</v>
      </c>
      <c r="B882" s="142" t="s">
        <v>528</v>
      </c>
      <c r="C882" s="143" t="s">
        <v>38</v>
      </c>
      <c r="D882" s="143" t="s">
        <v>148</v>
      </c>
      <c r="E882" s="142"/>
      <c r="F882" s="142"/>
    </row>
    <row r="883" spans="1:6" s="113" customFormat="1" x14ac:dyDescent="0.25">
      <c r="A883" s="141">
        <v>2410</v>
      </c>
      <c r="B883" s="142" t="s">
        <v>2029</v>
      </c>
      <c r="C883" s="143" t="s">
        <v>47</v>
      </c>
      <c r="D883" s="143" t="s">
        <v>56</v>
      </c>
      <c r="E883" s="142"/>
      <c r="F883" s="142"/>
    </row>
    <row r="884" spans="1:6" s="113" customFormat="1" x14ac:dyDescent="0.25">
      <c r="A884" s="141">
        <v>2411</v>
      </c>
      <c r="B884" s="142" t="s">
        <v>2030</v>
      </c>
      <c r="C884" s="143" t="s">
        <v>101</v>
      </c>
      <c r="D884" s="143" t="s">
        <v>1186</v>
      </c>
      <c r="E884" s="142"/>
      <c r="F884" s="142"/>
    </row>
    <row r="885" spans="1:6" s="113" customFormat="1" x14ac:dyDescent="0.25">
      <c r="A885" s="141">
        <v>2412</v>
      </c>
      <c r="B885" s="144" t="s">
        <v>1245</v>
      </c>
      <c r="C885" s="143" t="s">
        <v>38</v>
      </c>
      <c r="D885" s="146" t="s">
        <v>453</v>
      </c>
      <c r="E885" s="142"/>
      <c r="F885" s="142"/>
    </row>
    <row r="886" spans="1:6" s="113" customFormat="1" x14ac:dyDescent="0.25">
      <c r="A886" s="190">
        <v>2413</v>
      </c>
      <c r="B886" s="188" t="s">
        <v>2581</v>
      </c>
      <c r="C886" s="187" t="s">
        <v>914</v>
      </c>
      <c r="D886" s="244" t="s">
        <v>143</v>
      </c>
      <c r="E886" s="606"/>
      <c r="F886" s="187"/>
    </row>
    <row r="887" spans="1:6" s="113" customFormat="1" x14ac:dyDescent="0.25">
      <c r="A887" s="141">
        <v>2415</v>
      </c>
      <c r="B887" s="142" t="s">
        <v>2031</v>
      </c>
      <c r="C887" s="143" t="s">
        <v>47</v>
      </c>
      <c r="D887" s="143" t="s">
        <v>159</v>
      </c>
      <c r="E887" s="142"/>
      <c r="F887" s="142"/>
    </row>
    <row r="888" spans="1:6" s="113" customFormat="1" x14ac:dyDescent="0.25">
      <c r="A888" s="141">
        <v>2416</v>
      </c>
      <c r="B888" s="142" t="s">
        <v>2032</v>
      </c>
      <c r="C888" s="143" t="s">
        <v>195</v>
      </c>
      <c r="D888" s="143" t="s">
        <v>143</v>
      </c>
      <c r="E888" s="142"/>
      <c r="F888" s="142"/>
    </row>
    <row r="889" spans="1:6" s="113" customFormat="1" x14ac:dyDescent="0.25">
      <c r="A889" s="141">
        <v>2417</v>
      </c>
      <c r="B889" s="142" t="s">
        <v>529</v>
      </c>
      <c r="C889" s="143" t="s">
        <v>64</v>
      </c>
      <c r="D889" s="143" t="s">
        <v>228</v>
      </c>
      <c r="E889" s="142"/>
      <c r="F889" s="142"/>
    </row>
    <row r="890" spans="1:6" s="113" customFormat="1" x14ac:dyDescent="0.25">
      <c r="A890" s="141">
        <v>2418</v>
      </c>
      <c r="B890" s="142" t="s">
        <v>2033</v>
      </c>
      <c r="C890" s="143" t="s">
        <v>64</v>
      </c>
      <c r="D890" s="143" t="s">
        <v>156</v>
      </c>
      <c r="E890" s="142"/>
      <c r="F890" s="142"/>
    </row>
    <row r="891" spans="1:6" s="113" customFormat="1" x14ac:dyDescent="0.25">
      <c r="A891" s="141">
        <v>2419</v>
      </c>
      <c r="B891" s="142" t="s">
        <v>2034</v>
      </c>
      <c r="C891" s="143" t="s">
        <v>64</v>
      </c>
      <c r="D891" s="143" t="s">
        <v>237</v>
      </c>
      <c r="E891" s="142"/>
      <c r="F891" s="142"/>
    </row>
    <row r="892" spans="1:6" s="113" customFormat="1" x14ac:dyDescent="0.25">
      <c r="A892" s="141">
        <v>2420</v>
      </c>
      <c r="B892" s="142" t="s">
        <v>2035</v>
      </c>
      <c r="C892" s="143" t="s">
        <v>384</v>
      </c>
      <c r="D892" s="143" t="s">
        <v>415</v>
      </c>
      <c r="E892" s="142"/>
      <c r="F892" s="142"/>
    </row>
    <row r="893" spans="1:6" s="113" customFormat="1" ht="26.25" x14ac:dyDescent="0.25">
      <c r="A893" s="141">
        <v>2421</v>
      </c>
      <c r="B893" s="142" t="s">
        <v>2036</v>
      </c>
      <c r="C893" s="143" t="s">
        <v>2583</v>
      </c>
      <c r="D893" s="143" t="s">
        <v>7</v>
      </c>
      <c r="E893" s="142"/>
      <c r="F893" s="142"/>
    </row>
    <row r="894" spans="1:6" s="113" customFormat="1" x14ac:dyDescent="0.25">
      <c r="A894" s="141">
        <v>2422</v>
      </c>
      <c r="B894" s="142" t="s">
        <v>2037</v>
      </c>
      <c r="C894" s="143" t="s">
        <v>64</v>
      </c>
      <c r="D894" s="143" t="s">
        <v>237</v>
      </c>
      <c r="E894" s="142"/>
      <c r="F894" s="142"/>
    </row>
    <row r="895" spans="1:6" s="113" customFormat="1" x14ac:dyDescent="0.25">
      <c r="A895" s="141">
        <v>2423</v>
      </c>
      <c r="B895" s="142" t="s">
        <v>530</v>
      </c>
      <c r="C895" s="143" t="s">
        <v>64</v>
      </c>
      <c r="D895" s="143" t="s">
        <v>237</v>
      </c>
      <c r="E895" s="142"/>
      <c r="F895" s="142"/>
    </row>
    <row r="896" spans="1:6" s="113" customFormat="1" ht="26.25" x14ac:dyDescent="0.25">
      <c r="A896" s="141">
        <v>2424</v>
      </c>
      <c r="B896" s="142" t="s">
        <v>2038</v>
      </c>
      <c r="C896" s="143" t="s">
        <v>20</v>
      </c>
      <c r="D896" s="143" t="s">
        <v>116</v>
      </c>
      <c r="E896" s="142"/>
      <c r="F896" s="142"/>
    </row>
    <row r="897" spans="1:6" s="113" customFormat="1" ht="26.25" x14ac:dyDescent="0.25">
      <c r="A897" s="141">
        <v>2425</v>
      </c>
      <c r="B897" s="142" t="s">
        <v>2039</v>
      </c>
      <c r="C897" s="143" t="s">
        <v>20</v>
      </c>
      <c r="D897" s="143" t="s">
        <v>150</v>
      </c>
      <c r="E897" s="142"/>
      <c r="F897" s="142"/>
    </row>
    <row r="898" spans="1:6" s="113" customFormat="1" x14ac:dyDescent="0.25">
      <c r="A898" s="141">
        <v>2426</v>
      </c>
      <c r="B898" s="142" t="s">
        <v>531</v>
      </c>
      <c r="C898" s="143" t="s">
        <v>24</v>
      </c>
      <c r="D898" s="143" t="s">
        <v>37</v>
      </c>
      <c r="E898" s="142"/>
      <c r="F898" s="142"/>
    </row>
    <row r="899" spans="1:6" s="113" customFormat="1" x14ac:dyDescent="0.25">
      <c r="A899" s="141">
        <v>2427</v>
      </c>
      <c r="B899" s="142" t="s">
        <v>2040</v>
      </c>
      <c r="C899" s="143" t="s">
        <v>47</v>
      </c>
      <c r="D899" s="143" t="s">
        <v>159</v>
      </c>
      <c r="E899" s="142"/>
      <c r="F899" s="142"/>
    </row>
    <row r="900" spans="1:6" s="113" customFormat="1" x14ac:dyDescent="0.25">
      <c r="A900" s="141">
        <v>2429</v>
      </c>
      <c r="B900" s="142" t="s">
        <v>532</v>
      </c>
      <c r="C900" s="143" t="s">
        <v>47</v>
      </c>
      <c r="D900" s="143" t="s">
        <v>179</v>
      </c>
      <c r="E900" s="142"/>
      <c r="F900" s="142"/>
    </row>
    <row r="901" spans="1:6" s="113" customFormat="1" ht="26.25" x14ac:dyDescent="0.25">
      <c r="A901" s="141">
        <v>2430</v>
      </c>
      <c r="B901" s="142" t="s">
        <v>2041</v>
      </c>
      <c r="C901" s="143" t="s">
        <v>16</v>
      </c>
      <c r="D901" s="143" t="s">
        <v>302</v>
      </c>
      <c r="E901" s="142"/>
      <c r="F901" s="142"/>
    </row>
    <row r="902" spans="1:6" s="113" customFormat="1" x14ac:dyDescent="0.25">
      <c r="A902" s="141">
        <v>2433</v>
      </c>
      <c r="B902" s="142" t="s">
        <v>2042</v>
      </c>
      <c r="C902" s="143" t="s">
        <v>1455</v>
      </c>
      <c r="D902" s="143" t="s">
        <v>150</v>
      </c>
      <c r="E902" s="142"/>
      <c r="F902" s="142"/>
    </row>
    <row r="903" spans="1:6" s="113" customFormat="1" ht="26.25" x14ac:dyDescent="0.25">
      <c r="A903" s="141">
        <v>2434</v>
      </c>
      <c r="B903" s="142" t="s">
        <v>533</v>
      </c>
      <c r="C903" s="143" t="s">
        <v>96</v>
      </c>
      <c r="D903" s="143" t="s">
        <v>109</v>
      </c>
      <c r="E903" s="142"/>
      <c r="F903" s="142"/>
    </row>
    <row r="904" spans="1:6" s="113" customFormat="1" x14ac:dyDescent="0.25">
      <c r="A904" s="141">
        <v>2436</v>
      </c>
      <c r="B904" s="142" t="s">
        <v>534</v>
      </c>
      <c r="C904" s="143" t="s">
        <v>47</v>
      </c>
      <c r="D904" s="143" t="s">
        <v>159</v>
      </c>
      <c r="E904" s="142"/>
      <c r="F904" s="142"/>
    </row>
    <row r="905" spans="1:6" s="113" customFormat="1" x14ac:dyDescent="0.25">
      <c r="A905" s="141">
        <v>2437</v>
      </c>
      <c r="B905" s="142" t="s">
        <v>535</v>
      </c>
      <c r="C905" s="143" t="s">
        <v>101</v>
      </c>
      <c r="D905" s="143" t="s">
        <v>11</v>
      </c>
      <c r="E905" s="142"/>
      <c r="F905" s="142"/>
    </row>
    <row r="906" spans="1:6" s="113" customFormat="1" x14ac:dyDescent="0.25">
      <c r="A906" s="141">
        <v>2438</v>
      </c>
      <c r="B906" s="142" t="s">
        <v>2043</v>
      </c>
      <c r="C906" s="143" t="s">
        <v>64</v>
      </c>
      <c r="D906" s="143" t="s">
        <v>237</v>
      </c>
      <c r="E906" s="142"/>
      <c r="F906" s="142"/>
    </row>
    <row r="907" spans="1:6" s="113" customFormat="1" x14ac:dyDescent="0.25">
      <c r="A907" s="141">
        <v>2439</v>
      </c>
      <c r="B907" s="142" t="s">
        <v>2044</v>
      </c>
      <c r="C907" s="143" t="s">
        <v>90</v>
      </c>
      <c r="D907" s="143" t="s">
        <v>415</v>
      </c>
      <c r="E907" s="142"/>
      <c r="F907" s="142"/>
    </row>
    <row r="908" spans="1:6" s="113" customFormat="1" ht="26.25" x14ac:dyDescent="0.25">
      <c r="A908" s="141">
        <v>2441</v>
      </c>
      <c r="B908" s="142" t="s">
        <v>3138</v>
      </c>
      <c r="C908" s="143" t="s">
        <v>96</v>
      </c>
      <c r="D908" s="143" t="s">
        <v>116</v>
      </c>
      <c r="E908" s="142"/>
      <c r="F908" s="142"/>
    </row>
    <row r="909" spans="1:6" s="113" customFormat="1" x14ac:dyDescent="0.25">
      <c r="A909" s="141">
        <v>2442</v>
      </c>
      <c r="B909" s="142" t="s">
        <v>536</v>
      </c>
      <c r="C909" s="143" t="s">
        <v>64</v>
      </c>
      <c r="D909" s="143" t="s">
        <v>237</v>
      </c>
      <c r="E909" s="142"/>
      <c r="F909" s="142"/>
    </row>
    <row r="910" spans="1:6" s="113" customFormat="1" x14ac:dyDescent="0.25">
      <c r="A910" s="141">
        <v>2444</v>
      </c>
      <c r="B910" s="142" t="s">
        <v>537</v>
      </c>
      <c r="C910" s="143" t="s">
        <v>12</v>
      </c>
      <c r="D910" s="143" t="s">
        <v>11</v>
      </c>
      <c r="E910" s="142"/>
      <c r="F910" s="142"/>
    </row>
    <row r="911" spans="1:6" s="113" customFormat="1" x14ac:dyDescent="0.25">
      <c r="A911" s="141">
        <v>2445</v>
      </c>
      <c r="B911" s="142" t="s">
        <v>2641</v>
      </c>
      <c r="C911" s="143" t="s">
        <v>44</v>
      </c>
      <c r="D911" s="143" t="s">
        <v>242</v>
      </c>
      <c r="E911" s="142"/>
      <c r="F911" s="142"/>
    </row>
    <row r="912" spans="1:6" s="113" customFormat="1" x14ac:dyDescent="0.25">
      <c r="A912" s="141">
        <v>2446</v>
      </c>
      <c r="B912" s="142" t="s">
        <v>538</v>
      </c>
      <c r="C912" s="143" t="s">
        <v>140</v>
      </c>
      <c r="D912" s="143" t="s">
        <v>109</v>
      </c>
      <c r="E912" s="142"/>
      <c r="F912" s="142"/>
    </row>
    <row r="913" spans="1:6" s="113" customFormat="1" x14ac:dyDescent="0.25">
      <c r="A913" s="141">
        <v>2447</v>
      </c>
      <c r="B913" s="142" t="s">
        <v>539</v>
      </c>
      <c r="C913" s="143" t="s">
        <v>36</v>
      </c>
      <c r="D913" s="143" t="s">
        <v>150</v>
      </c>
      <c r="E913" s="142"/>
      <c r="F913" s="142"/>
    </row>
    <row r="914" spans="1:6" s="113" customFormat="1" ht="26.25" x14ac:dyDescent="0.25">
      <c r="A914" s="261">
        <v>2448</v>
      </c>
      <c r="B914" s="188" t="s">
        <v>3384</v>
      </c>
      <c r="C914" s="146" t="s">
        <v>8</v>
      </c>
      <c r="D914" s="148" t="s">
        <v>242</v>
      </c>
      <c r="E914" s="606"/>
      <c r="F914" s="187"/>
    </row>
    <row r="915" spans="1:6" s="113" customFormat="1" x14ac:dyDescent="0.25">
      <c r="A915" s="141">
        <v>2449</v>
      </c>
      <c r="B915" s="142" t="s">
        <v>2045</v>
      </c>
      <c r="C915" s="143" t="s">
        <v>38</v>
      </c>
      <c r="D915" s="143" t="s">
        <v>967</v>
      </c>
      <c r="E915" s="142"/>
      <c r="F915" s="142"/>
    </row>
    <row r="916" spans="1:6" s="113" customFormat="1" x14ac:dyDescent="0.25">
      <c r="A916" s="141">
        <v>2450</v>
      </c>
      <c r="B916" s="142" t="s">
        <v>2046</v>
      </c>
      <c r="C916" s="143" t="s">
        <v>101</v>
      </c>
      <c r="D916" s="143" t="s">
        <v>11</v>
      </c>
      <c r="E916" s="142"/>
      <c r="F916" s="142"/>
    </row>
    <row r="917" spans="1:6" s="113" customFormat="1" x14ac:dyDescent="0.25">
      <c r="A917" s="141">
        <v>2452</v>
      </c>
      <c r="B917" s="142" t="s">
        <v>2047</v>
      </c>
      <c r="C917" s="143" t="s">
        <v>38</v>
      </c>
      <c r="D917" s="143" t="s">
        <v>453</v>
      </c>
      <c r="E917" s="142"/>
      <c r="F917" s="142"/>
    </row>
    <row r="918" spans="1:6" s="113" customFormat="1" x14ac:dyDescent="0.25">
      <c r="A918" s="141">
        <v>2453</v>
      </c>
      <c r="B918" s="142" t="s">
        <v>1354</v>
      </c>
      <c r="C918" s="143" t="s">
        <v>12</v>
      </c>
      <c r="D918" s="143" t="s">
        <v>7</v>
      </c>
      <c r="E918" s="142"/>
      <c r="F918" s="142"/>
    </row>
    <row r="919" spans="1:6" s="113" customFormat="1" ht="26.25" x14ac:dyDescent="0.25">
      <c r="A919" s="141">
        <v>2454</v>
      </c>
      <c r="B919" s="142" t="s">
        <v>2048</v>
      </c>
      <c r="C919" s="143" t="s">
        <v>22</v>
      </c>
      <c r="D919" s="143" t="s">
        <v>7</v>
      </c>
      <c r="E919" s="142"/>
      <c r="F919" s="142"/>
    </row>
    <row r="920" spans="1:6" s="113" customFormat="1" x14ac:dyDescent="0.25">
      <c r="A920" s="141">
        <v>2455</v>
      </c>
      <c r="B920" s="142" t="s">
        <v>541</v>
      </c>
      <c r="C920" s="143" t="s">
        <v>47</v>
      </c>
      <c r="D920" s="143" t="s">
        <v>179</v>
      </c>
      <c r="E920" s="142"/>
      <c r="F920" s="142"/>
    </row>
    <row r="921" spans="1:6" s="113" customFormat="1" x14ac:dyDescent="0.25">
      <c r="A921" s="187">
        <v>2455</v>
      </c>
      <c r="B921" s="188" t="s">
        <v>541</v>
      </c>
      <c r="C921" s="146" t="s">
        <v>47</v>
      </c>
      <c r="D921" s="148" t="s">
        <v>159</v>
      </c>
      <c r="E921" s="606"/>
      <c r="F921" s="606"/>
    </row>
    <row r="922" spans="1:6" s="113" customFormat="1" ht="26.25" x14ac:dyDescent="0.25">
      <c r="A922" s="141">
        <v>2456</v>
      </c>
      <c r="B922" s="142" t="s">
        <v>2049</v>
      </c>
      <c r="C922" s="143" t="s">
        <v>16</v>
      </c>
      <c r="D922" s="143" t="s">
        <v>154</v>
      </c>
      <c r="E922" s="142"/>
      <c r="F922" s="142"/>
    </row>
    <row r="923" spans="1:6" s="113" customFormat="1" ht="26.25" x14ac:dyDescent="0.25">
      <c r="A923" s="141">
        <v>2457</v>
      </c>
      <c r="B923" s="142" t="s">
        <v>2050</v>
      </c>
      <c r="C923" s="143" t="s">
        <v>20</v>
      </c>
      <c r="D923" s="143" t="s">
        <v>302</v>
      </c>
      <c r="E923" s="142"/>
      <c r="F923" s="142"/>
    </row>
    <row r="924" spans="1:6" s="113" customFormat="1" x14ac:dyDescent="0.25">
      <c r="A924" s="141">
        <v>2458</v>
      </c>
      <c r="B924" s="142" t="s">
        <v>2051</v>
      </c>
      <c r="C924" s="143" t="s">
        <v>47</v>
      </c>
      <c r="D924" s="143" t="s">
        <v>179</v>
      </c>
      <c r="E924" s="142"/>
      <c r="F924" s="142"/>
    </row>
    <row r="925" spans="1:6" s="113" customFormat="1" x14ac:dyDescent="0.25">
      <c r="A925" s="141">
        <v>2459</v>
      </c>
      <c r="B925" s="142" t="s">
        <v>2052</v>
      </c>
      <c r="C925" s="143" t="s">
        <v>90</v>
      </c>
      <c r="D925" s="143" t="s">
        <v>11</v>
      </c>
      <c r="E925" s="142"/>
      <c r="F925" s="142"/>
    </row>
    <row r="926" spans="1:6" s="113" customFormat="1" x14ac:dyDescent="0.25">
      <c r="A926" s="141">
        <v>2461</v>
      </c>
      <c r="B926" s="142" t="s">
        <v>542</v>
      </c>
      <c r="C926" s="143" t="s">
        <v>36</v>
      </c>
      <c r="D926" s="143" t="s">
        <v>242</v>
      </c>
      <c r="E926" s="142"/>
      <c r="F926" s="142"/>
    </row>
    <row r="927" spans="1:6" s="113" customFormat="1" ht="26.25" x14ac:dyDescent="0.25">
      <c r="A927" s="141">
        <v>2462</v>
      </c>
      <c r="B927" s="142" t="s">
        <v>2053</v>
      </c>
      <c r="C927" s="143" t="s">
        <v>22</v>
      </c>
      <c r="D927" s="143" t="s">
        <v>501</v>
      </c>
      <c r="E927" s="142"/>
      <c r="F927" s="142"/>
    </row>
    <row r="928" spans="1:6" s="113" customFormat="1" x14ac:dyDescent="0.25">
      <c r="A928" s="141">
        <v>2463</v>
      </c>
      <c r="B928" s="142" t="s">
        <v>2054</v>
      </c>
      <c r="C928" s="143" t="s">
        <v>24</v>
      </c>
      <c r="D928" s="143" t="s">
        <v>7</v>
      </c>
      <c r="E928" s="142"/>
      <c r="F928" s="142"/>
    </row>
    <row r="929" spans="1:6" s="113" customFormat="1" ht="26.25" x14ac:dyDescent="0.25">
      <c r="A929" s="141">
        <v>2466</v>
      </c>
      <c r="B929" s="142" t="s">
        <v>543</v>
      </c>
      <c r="C929" s="143" t="s">
        <v>20</v>
      </c>
      <c r="D929" s="143" t="s">
        <v>116</v>
      </c>
      <c r="E929" s="142"/>
      <c r="F929" s="142"/>
    </row>
    <row r="930" spans="1:6" s="113" customFormat="1" x14ac:dyDescent="0.25">
      <c r="A930" s="141">
        <v>2470</v>
      </c>
      <c r="B930" s="142" t="s">
        <v>544</v>
      </c>
      <c r="C930" s="143" t="s">
        <v>30</v>
      </c>
      <c r="D930" s="143" t="s">
        <v>11</v>
      </c>
      <c r="E930" s="142"/>
      <c r="F930" s="142"/>
    </row>
    <row r="931" spans="1:6" s="113" customFormat="1" ht="26.25" x14ac:dyDescent="0.25">
      <c r="A931" s="141">
        <v>2471</v>
      </c>
      <c r="B931" s="142" t="s">
        <v>2055</v>
      </c>
      <c r="C931" s="143" t="s">
        <v>108</v>
      </c>
      <c r="D931" s="143" t="s">
        <v>109</v>
      </c>
      <c r="E931" s="142"/>
      <c r="F931" s="142"/>
    </row>
    <row r="932" spans="1:6" s="113" customFormat="1" x14ac:dyDescent="0.25">
      <c r="A932" s="141">
        <v>2476</v>
      </c>
      <c r="B932" s="144" t="s">
        <v>545</v>
      </c>
      <c r="C932" s="143" t="s">
        <v>30</v>
      </c>
      <c r="D932" s="155" t="s">
        <v>7</v>
      </c>
      <c r="E932" s="144"/>
      <c r="F932" s="144"/>
    </row>
    <row r="933" spans="1:6" s="113" customFormat="1" ht="26.25" x14ac:dyDescent="0.25">
      <c r="A933" s="141">
        <v>2477</v>
      </c>
      <c r="B933" s="144" t="s">
        <v>546</v>
      </c>
      <c r="C933" s="143" t="s">
        <v>144</v>
      </c>
      <c r="D933" s="146" t="s">
        <v>173</v>
      </c>
      <c r="E933" s="142"/>
      <c r="F933" s="142"/>
    </row>
    <row r="934" spans="1:6" s="113" customFormat="1" x14ac:dyDescent="0.25">
      <c r="A934" s="141">
        <v>2479</v>
      </c>
      <c r="B934" s="144" t="s">
        <v>1456</v>
      </c>
      <c r="C934" s="143" t="s">
        <v>47</v>
      </c>
      <c r="D934" s="143" t="s">
        <v>159</v>
      </c>
      <c r="E934" s="142"/>
      <c r="F934" s="142"/>
    </row>
    <row r="935" spans="1:6" s="113" customFormat="1" x14ac:dyDescent="0.25">
      <c r="A935" s="141">
        <v>2480</v>
      </c>
      <c r="B935" s="144" t="s">
        <v>1428</v>
      </c>
      <c r="C935" s="143" t="s">
        <v>64</v>
      </c>
      <c r="D935" s="146" t="s">
        <v>237</v>
      </c>
      <c r="E935" s="142"/>
      <c r="F935" s="142"/>
    </row>
    <row r="936" spans="1:6" s="113" customFormat="1" x14ac:dyDescent="0.25">
      <c r="A936" s="141">
        <v>2483</v>
      </c>
      <c r="B936" s="144" t="s">
        <v>547</v>
      </c>
      <c r="C936" s="143" t="s">
        <v>47</v>
      </c>
      <c r="D936" s="146" t="s">
        <v>159</v>
      </c>
      <c r="E936" s="142"/>
      <c r="F936" s="142"/>
    </row>
    <row r="937" spans="1:6" s="113" customFormat="1" ht="26.25" x14ac:dyDescent="0.25">
      <c r="A937" s="141">
        <v>2484</v>
      </c>
      <c r="B937" s="144" t="s">
        <v>548</v>
      </c>
      <c r="C937" s="143" t="s">
        <v>120</v>
      </c>
      <c r="D937" s="146" t="s">
        <v>415</v>
      </c>
      <c r="E937" s="142"/>
      <c r="F937" s="142"/>
    </row>
    <row r="938" spans="1:6" s="113" customFormat="1" x14ac:dyDescent="0.25">
      <c r="A938" s="190">
        <v>2485</v>
      </c>
      <c r="B938" s="606" t="s">
        <v>2811</v>
      </c>
      <c r="C938" s="606" t="s">
        <v>2812</v>
      </c>
      <c r="D938" s="606" t="s">
        <v>109</v>
      </c>
      <c r="E938" s="606"/>
      <c r="F938" s="606"/>
    </row>
    <row r="939" spans="1:6" s="113" customFormat="1" x14ac:dyDescent="0.25">
      <c r="A939" s="195">
        <v>2485</v>
      </c>
      <c r="B939" s="188" t="s">
        <v>2811</v>
      </c>
      <c r="C939" s="146" t="s">
        <v>2812</v>
      </c>
      <c r="D939" s="146" t="s">
        <v>109</v>
      </c>
      <c r="E939" s="606"/>
      <c r="F939" s="606"/>
    </row>
    <row r="940" spans="1:6" s="113" customFormat="1" x14ac:dyDescent="0.25">
      <c r="A940" s="141">
        <v>2486</v>
      </c>
      <c r="B940" s="144" t="s">
        <v>549</v>
      </c>
      <c r="C940" s="143" t="s">
        <v>101</v>
      </c>
      <c r="D940" s="146" t="s">
        <v>1186</v>
      </c>
      <c r="E940" s="142"/>
      <c r="F940" s="142"/>
    </row>
    <row r="941" spans="1:6" s="113" customFormat="1" x14ac:dyDescent="0.25">
      <c r="A941" s="141">
        <v>2488</v>
      </c>
      <c r="B941" s="144" t="s">
        <v>550</v>
      </c>
      <c r="C941" s="143" t="s">
        <v>47</v>
      </c>
      <c r="D941" s="146" t="s">
        <v>179</v>
      </c>
      <c r="E941" s="142"/>
      <c r="F941" s="142"/>
    </row>
    <row r="942" spans="1:6" s="113" customFormat="1" x14ac:dyDescent="0.25">
      <c r="A942" s="141">
        <v>2489</v>
      </c>
      <c r="B942" s="144" t="s">
        <v>2056</v>
      </c>
      <c r="C942" s="143" t="s">
        <v>64</v>
      </c>
      <c r="D942" s="146" t="s">
        <v>237</v>
      </c>
      <c r="E942" s="142"/>
      <c r="F942" s="142"/>
    </row>
    <row r="943" spans="1:6" s="113" customFormat="1" x14ac:dyDescent="0.25">
      <c r="A943" s="141">
        <v>2490</v>
      </c>
      <c r="B943" s="144" t="s">
        <v>3539</v>
      </c>
      <c r="C943" s="143" t="s">
        <v>73</v>
      </c>
      <c r="D943" s="146" t="s">
        <v>1494</v>
      </c>
      <c r="E943" s="142"/>
      <c r="F943" s="142"/>
    </row>
    <row r="944" spans="1:6" s="113" customFormat="1" x14ac:dyDescent="0.25">
      <c r="A944" s="141">
        <v>2492</v>
      </c>
      <c r="B944" s="144" t="s">
        <v>552</v>
      </c>
      <c r="C944" s="143" t="s">
        <v>17</v>
      </c>
      <c r="D944" s="146" t="s">
        <v>154</v>
      </c>
      <c r="E944" s="142"/>
      <c r="F944" s="142"/>
    </row>
    <row r="945" spans="1:6" s="113" customFormat="1" x14ac:dyDescent="0.25">
      <c r="A945" s="141">
        <v>2495</v>
      </c>
      <c r="B945" s="144" t="s">
        <v>553</v>
      </c>
      <c r="C945" s="143" t="s">
        <v>64</v>
      </c>
      <c r="D945" s="146" t="s">
        <v>237</v>
      </c>
      <c r="E945" s="142"/>
      <c r="F945" s="142"/>
    </row>
    <row r="946" spans="1:6" s="113" customFormat="1" x14ac:dyDescent="0.25">
      <c r="A946" s="141">
        <v>2496</v>
      </c>
      <c r="B946" s="144" t="s">
        <v>554</v>
      </c>
      <c r="C946" s="143" t="s">
        <v>47</v>
      </c>
      <c r="D946" s="146" t="s">
        <v>179</v>
      </c>
      <c r="E946" s="142"/>
      <c r="F946" s="142"/>
    </row>
    <row r="947" spans="1:6" s="113" customFormat="1" x14ac:dyDescent="0.25">
      <c r="A947" s="141">
        <v>2497</v>
      </c>
      <c r="B947" s="144" t="s">
        <v>555</v>
      </c>
      <c r="C947" s="143" t="s">
        <v>90</v>
      </c>
      <c r="D947" s="146" t="s">
        <v>2057</v>
      </c>
      <c r="E947" s="142"/>
      <c r="F947" s="142"/>
    </row>
    <row r="948" spans="1:6" s="113" customFormat="1" ht="26.25" x14ac:dyDescent="0.25">
      <c r="A948" s="141">
        <v>2498</v>
      </c>
      <c r="B948" s="144" t="s">
        <v>556</v>
      </c>
      <c r="C948" s="143" t="s">
        <v>2583</v>
      </c>
      <c r="D948" s="146" t="s">
        <v>150</v>
      </c>
      <c r="E948" s="142"/>
      <c r="F948" s="142"/>
    </row>
    <row r="949" spans="1:6" s="113" customFormat="1" x14ac:dyDescent="0.25">
      <c r="A949" s="141">
        <v>2499</v>
      </c>
      <c r="B949" s="144" t="s">
        <v>557</v>
      </c>
      <c r="C949" s="143" t="s">
        <v>47</v>
      </c>
      <c r="D949" s="146" t="s">
        <v>179</v>
      </c>
      <c r="E949" s="142"/>
      <c r="F949" s="142"/>
    </row>
    <row r="950" spans="1:6" s="113" customFormat="1" x14ac:dyDescent="0.25">
      <c r="A950" s="141">
        <v>2500</v>
      </c>
      <c r="B950" s="144" t="s">
        <v>558</v>
      </c>
      <c r="C950" s="143" t="s">
        <v>73</v>
      </c>
      <c r="D950" s="146" t="s">
        <v>7</v>
      </c>
      <c r="E950" s="142"/>
      <c r="F950" s="142"/>
    </row>
    <row r="951" spans="1:6" s="113" customFormat="1" x14ac:dyDescent="0.25">
      <c r="A951" s="141">
        <v>2501</v>
      </c>
      <c r="B951" s="144" t="s">
        <v>559</v>
      </c>
      <c r="C951" s="143" t="s">
        <v>17</v>
      </c>
      <c r="D951" s="146" t="s">
        <v>7</v>
      </c>
      <c r="E951" s="142"/>
      <c r="F951" s="142"/>
    </row>
    <row r="952" spans="1:6" s="113" customFormat="1" x14ac:dyDescent="0.25">
      <c r="A952" s="141">
        <v>2502</v>
      </c>
      <c r="B952" s="144" t="s">
        <v>560</v>
      </c>
      <c r="C952" s="143" t="s">
        <v>73</v>
      </c>
      <c r="D952" s="146" t="s">
        <v>7</v>
      </c>
      <c r="E952" s="142"/>
      <c r="F952" s="142"/>
    </row>
    <row r="953" spans="1:6" s="113" customFormat="1" x14ac:dyDescent="0.25">
      <c r="A953" s="141">
        <v>2503</v>
      </c>
      <c r="B953" s="144" t="s">
        <v>2058</v>
      </c>
      <c r="C953" s="143" t="s">
        <v>101</v>
      </c>
      <c r="D953" s="146" t="s">
        <v>501</v>
      </c>
      <c r="E953" s="142"/>
      <c r="F953" s="142"/>
    </row>
    <row r="954" spans="1:6" s="113" customFormat="1" ht="26.25" x14ac:dyDescent="0.25">
      <c r="A954" s="141">
        <v>2507</v>
      </c>
      <c r="B954" s="142" t="s">
        <v>561</v>
      </c>
      <c r="C954" s="143" t="s">
        <v>20</v>
      </c>
      <c r="D954" s="143" t="s">
        <v>150</v>
      </c>
      <c r="E954" s="142"/>
      <c r="F954" s="142"/>
    </row>
    <row r="955" spans="1:6" s="113" customFormat="1" x14ac:dyDescent="0.25">
      <c r="A955" s="141">
        <v>2512</v>
      </c>
      <c r="B955" s="144" t="s">
        <v>562</v>
      </c>
      <c r="C955" s="143" t="s">
        <v>101</v>
      </c>
      <c r="D955" s="146" t="s">
        <v>504</v>
      </c>
      <c r="E955" s="142"/>
      <c r="F955" s="142"/>
    </row>
    <row r="956" spans="1:6" s="113" customFormat="1" x14ac:dyDescent="0.25">
      <c r="A956" s="141">
        <v>2513</v>
      </c>
      <c r="B956" s="144" t="s">
        <v>563</v>
      </c>
      <c r="C956" s="143" t="s">
        <v>47</v>
      </c>
      <c r="D956" s="143" t="s">
        <v>159</v>
      </c>
      <c r="E956" s="142"/>
      <c r="F956" s="142"/>
    </row>
    <row r="957" spans="1:6" s="113" customFormat="1" x14ac:dyDescent="0.25">
      <c r="A957" s="141">
        <v>2516</v>
      </c>
      <c r="B957" s="144" t="s">
        <v>564</v>
      </c>
      <c r="C957" s="143" t="s">
        <v>41</v>
      </c>
      <c r="D957" s="146" t="s">
        <v>116</v>
      </c>
      <c r="E957" s="142"/>
      <c r="F957" s="142"/>
    </row>
    <row r="958" spans="1:6" s="113" customFormat="1" x14ac:dyDescent="0.25">
      <c r="A958" s="141">
        <v>2517</v>
      </c>
      <c r="B958" s="144" t="s">
        <v>565</v>
      </c>
      <c r="C958" s="143" t="s">
        <v>101</v>
      </c>
      <c r="D958" s="146" t="s">
        <v>7</v>
      </c>
      <c r="E958" s="142"/>
      <c r="F958" s="142"/>
    </row>
    <row r="959" spans="1:6" s="113" customFormat="1" x14ac:dyDescent="0.25">
      <c r="A959" s="141">
        <v>2518</v>
      </c>
      <c r="B959" s="144" t="s">
        <v>1497</v>
      </c>
      <c r="C959" s="143" t="s">
        <v>64</v>
      </c>
      <c r="D959" s="146" t="s">
        <v>237</v>
      </c>
      <c r="E959" s="142"/>
      <c r="F959" s="142"/>
    </row>
    <row r="960" spans="1:6" s="113" customFormat="1" ht="26.25" x14ac:dyDescent="0.25">
      <c r="A960" s="141">
        <v>2520</v>
      </c>
      <c r="B960" s="144" t="s">
        <v>566</v>
      </c>
      <c r="C960" s="143" t="s">
        <v>22</v>
      </c>
      <c r="D960" s="146" t="s">
        <v>242</v>
      </c>
      <c r="E960" s="142"/>
      <c r="F960" s="142"/>
    </row>
    <row r="961" spans="1:8" s="113" customFormat="1" x14ac:dyDescent="0.25">
      <c r="A961" s="141">
        <v>2521</v>
      </c>
      <c r="B961" s="142" t="s">
        <v>567</v>
      </c>
      <c r="C961" s="143" t="s">
        <v>324</v>
      </c>
      <c r="D961" s="143" t="s">
        <v>143</v>
      </c>
      <c r="E961" s="142"/>
      <c r="F961" s="142"/>
    </row>
    <row r="962" spans="1:8" s="113" customFormat="1" x14ac:dyDescent="0.25">
      <c r="A962" s="141">
        <v>2522</v>
      </c>
      <c r="B962" s="144" t="s">
        <v>568</v>
      </c>
      <c r="C962" s="143" t="s">
        <v>38</v>
      </c>
      <c r="D962" s="143" t="s">
        <v>109</v>
      </c>
      <c r="E962" s="142"/>
      <c r="F962" s="142"/>
    </row>
    <row r="963" spans="1:8" s="113" customFormat="1" x14ac:dyDescent="0.25">
      <c r="A963" s="141">
        <v>2524</v>
      </c>
      <c r="B963" s="144" t="s">
        <v>569</v>
      </c>
      <c r="C963" s="143" t="s">
        <v>122</v>
      </c>
      <c r="D963" s="146" t="s">
        <v>415</v>
      </c>
      <c r="E963" s="142"/>
      <c r="F963" s="142"/>
    </row>
    <row r="964" spans="1:8" s="113" customFormat="1" x14ac:dyDescent="0.25">
      <c r="A964" s="141">
        <v>2529</v>
      </c>
      <c r="B964" s="142" t="s">
        <v>570</v>
      </c>
      <c r="C964" s="143" t="s">
        <v>38</v>
      </c>
      <c r="D964" s="143" t="s">
        <v>453</v>
      </c>
      <c r="E964" s="142"/>
      <c r="F964" s="142"/>
    </row>
    <row r="965" spans="1:8" s="113" customFormat="1" x14ac:dyDescent="0.25">
      <c r="A965" s="301">
        <v>2530</v>
      </c>
      <c r="B965" s="608" t="s">
        <v>3340</v>
      </c>
      <c r="C965" s="608" t="s">
        <v>3341</v>
      </c>
      <c r="D965" s="608" t="s">
        <v>237</v>
      </c>
      <c r="E965" s="608"/>
      <c r="F965" s="608"/>
    </row>
    <row r="966" spans="1:8" s="113" customFormat="1" x14ac:dyDescent="0.25">
      <c r="A966" s="190">
        <v>2530</v>
      </c>
      <c r="B966" s="606" t="s">
        <v>3340</v>
      </c>
      <c r="C966" s="606" t="s">
        <v>64</v>
      </c>
      <c r="D966" s="606" t="s">
        <v>237</v>
      </c>
      <c r="E966" s="606"/>
      <c r="F966" s="606"/>
      <c r="G966" s="607"/>
      <c r="H966" s="607"/>
    </row>
    <row r="967" spans="1:8" s="113" customFormat="1" x14ac:dyDescent="0.25">
      <c r="A967" s="141">
        <v>2531</v>
      </c>
      <c r="B967" s="142" t="s">
        <v>571</v>
      </c>
      <c r="C967" s="143" t="s">
        <v>64</v>
      </c>
      <c r="D967" s="143" t="s">
        <v>156</v>
      </c>
      <c r="E967" s="142"/>
      <c r="F967" s="142"/>
    </row>
    <row r="968" spans="1:8" s="113" customFormat="1" ht="26.25" x14ac:dyDescent="0.25">
      <c r="A968" s="141">
        <v>2532</v>
      </c>
      <c r="B968" s="142" t="s">
        <v>1048</v>
      </c>
      <c r="C968" s="143" t="s">
        <v>417</v>
      </c>
      <c r="D968" s="251" t="s">
        <v>21</v>
      </c>
      <c r="E968" s="142"/>
      <c r="F968" s="142"/>
    </row>
    <row r="969" spans="1:8" s="113" customFormat="1" ht="26.25" x14ac:dyDescent="0.25">
      <c r="A969" s="141">
        <v>2533</v>
      </c>
      <c r="B969" s="142" t="s">
        <v>572</v>
      </c>
      <c r="C969" s="143" t="s">
        <v>417</v>
      </c>
      <c r="D969" s="143" t="s">
        <v>11</v>
      </c>
      <c r="E969" s="142"/>
      <c r="F969" s="142"/>
    </row>
    <row r="970" spans="1:8" s="113" customFormat="1" ht="26.25" x14ac:dyDescent="0.25">
      <c r="A970" s="141">
        <v>2534</v>
      </c>
      <c r="B970" s="142" t="s">
        <v>1049</v>
      </c>
      <c r="C970" s="143" t="s">
        <v>417</v>
      </c>
      <c r="D970" s="143" t="s">
        <v>154</v>
      </c>
      <c r="E970" s="142"/>
      <c r="F970" s="142"/>
    </row>
    <row r="971" spans="1:8" s="113" customFormat="1" x14ac:dyDescent="0.25">
      <c r="A971" s="141">
        <v>2535</v>
      </c>
      <c r="B971" s="142" t="s">
        <v>1051</v>
      </c>
      <c r="C971" s="143" t="s">
        <v>12</v>
      </c>
      <c r="D971" s="143" t="s">
        <v>540</v>
      </c>
      <c r="E971" s="142"/>
      <c r="F971" s="142"/>
    </row>
    <row r="972" spans="1:8" s="113" customFormat="1" x14ac:dyDescent="0.25">
      <c r="A972" s="141">
        <v>2537</v>
      </c>
      <c r="B972" s="142" t="s">
        <v>1099</v>
      </c>
      <c r="C972" s="143" t="s">
        <v>101</v>
      </c>
      <c r="D972" s="143" t="s">
        <v>501</v>
      </c>
      <c r="E972" s="142"/>
      <c r="F972" s="142"/>
    </row>
    <row r="973" spans="1:8" s="113" customFormat="1" ht="26.25" x14ac:dyDescent="0.25">
      <c r="A973" s="141">
        <v>2538</v>
      </c>
      <c r="B973" s="142" t="s">
        <v>1100</v>
      </c>
      <c r="C973" s="143" t="s">
        <v>16</v>
      </c>
      <c r="D973" s="143" t="s">
        <v>154</v>
      </c>
      <c r="E973" s="142"/>
      <c r="F973" s="142"/>
    </row>
    <row r="974" spans="1:8" s="113" customFormat="1" x14ac:dyDescent="0.25">
      <c r="A974" s="141">
        <v>2539</v>
      </c>
      <c r="B974" s="142" t="s">
        <v>1501</v>
      </c>
      <c r="C974" s="143" t="s">
        <v>64</v>
      </c>
      <c r="D974" s="143" t="s">
        <v>237</v>
      </c>
      <c r="E974" s="142"/>
      <c r="F974" s="142"/>
    </row>
    <row r="975" spans="1:8" s="113" customFormat="1" x14ac:dyDescent="0.25">
      <c r="A975" s="141">
        <v>2540</v>
      </c>
      <c r="B975" s="142" t="s">
        <v>1329</v>
      </c>
      <c r="C975" s="143" t="s">
        <v>64</v>
      </c>
      <c r="D975" s="143" t="s">
        <v>237</v>
      </c>
      <c r="E975" s="142"/>
      <c r="F975" s="142"/>
    </row>
    <row r="976" spans="1:8" s="113" customFormat="1" x14ac:dyDescent="0.25">
      <c r="A976" s="141">
        <v>2542</v>
      </c>
      <c r="B976" s="142" t="s">
        <v>1121</v>
      </c>
      <c r="C976" s="149" t="s">
        <v>67</v>
      </c>
      <c r="D976" s="143" t="s">
        <v>290</v>
      </c>
      <c r="E976" s="142"/>
      <c r="F976" s="142"/>
    </row>
    <row r="977" spans="1:6" s="113" customFormat="1" x14ac:dyDescent="0.25">
      <c r="A977" s="141">
        <v>2543</v>
      </c>
      <c r="B977" s="142" t="s">
        <v>1109</v>
      </c>
      <c r="C977" s="143" t="s">
        <v>12</v>
      </c>
      <c r="D977" s="143" t="s">
        <v>1105</v>
      </c>
      <c r="E977" s="142"/>
      <c r="F977" s="142"/>
    </row>
    <row r="978" spans="1:6" s="113" customFormat="1" ht="26.25" x14ac:dyDescent="0.25">
      <c r="A978" s="141">
        <v>2545</v>
      </c>
      <c r="B978" s="142" t="s">
        <v>1124</v>
      </c>
      <c r="C978" s="143" t="s">
        <v>417</v>
      </c>
      <c r="D978" s="143" t="s">
        <v>11</v>
      </c>
      <c r="E978" s="142"/>
      <c r="F978" s="142"/>
    </row>
    <row r="979" spans="1:6" s="113" customFormat="1" x14ac:dyDescent="0.25">
      <c r="A979" s="141">
        <v>2547</v>
      </c>
      <c r="B979" s="142" t="s">
        <v>2059</v>
      </c>
      <c r="C979" s="143" t="s">
        <v>24</v>
      </c>
      <c r="D979" s="143" t="s">
        <v>7</v>
      </c>
      <c r="E979" s="142"/>
      <c r="F979" s="142"/>
    </row>
    <row r="980" spans="1:6" s="113" customFormat="1" x14ac:dyDescent="0.25">
      <c r="A980" s="247">
        <v>2548</v>
      </c>
      <c r="B980" s="250" t="s">
        <v>2060</v>
      </c>
      <c r="C980" s="143" t="s">
        <v>24</v>
      </c>
      <c r="D980" s="260" t="s">
        <v>268</v>
      </c>
      <c r="E980" s="250"/>
      <c r="F980" s="250"/>
    </row>
    <row r="981" spans="1:6" s="113" customFormat="1" x14ac:dyDescent="0.25">
      <c r="A981" s="141">
        <v>2549</v>
      </c>
      <c r="B981" s="142" t="s">
        <v>1128</v>
      </c>
      <c r="C981" s="143" t="s">
        <v>64</v>
      </c>
      <c r="D981" s="143" t="s">
        <v>504</v>
      </c>
      <c r="E981" s="142"/>
      <c r="F981" s="142"/>
    </row>
    <row r="982" spans="1:6" s="113" customFormat="1" x14ac:dyDescent="0.25">
      <c r="A982" s="255">
        <v>2550</v>
      </c>
      <c r="B982" s="256" t="s">
        <v>1132</v>
      </c>
      <c r="C982" s="143" t="s">
        <v>64</v>
      </c>
      <c r="D982" s="257" t="s">
        <v>1133</v>
      </c>
      <c r="E982" s="248"/>
      <c r="F982" s="248"/>
    </row>
    <row r="983" spans="1:6" s="113" customFormat="1" x14ac:dyDescent="0.25">
      <c r="A983" s="141">
        <v>2551</v>
      </c>
      <c r="B983" s="142" t="s">
        <v>1146</v>
      </c>
      <c r="C983" s="143" t="s">
        <v>38</v>
      </c>
      <c r="D983" s="143" t="s">
        <v>148</v>
      </c>
      <c r="E983" s="142"/>
      <c r="F983" s="142"/>
    </row>
    <row r="984" spans="1:6" s="113" customFormat="1" x14ac:dyDescent="0.25">
      <c r="A984" s="141">
        <v>2552</v>
      </c>
      <c r="B984" s="142" t="s">
        <v>2061</v>
      </c>
      <c r="C984" s="143" t="s">
        <v>101</v>
      </c>
      <c r="D984" s="143" t="s">
        <v>1186</v>
      </c>
      <c r="E984" s="142"/>
      <c r="F984" s="142"/>
    </row>
    <row r="985" spans="1:6" s="113" customFormat="1" x14ac:dyDescent="0.25">
      <c r="A985" s="141">
        <v>2553</v>
      </c>
      <c r="B985" s="142" t="s">
        <v>1149</v>
      </c>
      <c r="C985" s="143" t="s">
        <v>64</v>
      </c>
      <c r="D985" s="143" t="s">
        <v>37</v>
      </c>
      <c r="E985" s="142"/>
      <c r="F985" s="142"/>
    </row>
    <row r="986" spans="1:6" s="113" customFormat="1" x14ac:dyDescent="0.25">
      <c r="A986" s="141">
        <v>2555</v>
      </c>
      <c r="B986" s="142" t="s">
        <v>3240</v>
      </c>
      <c r="C986" s="143" t="s">
        <v>101</v>
      </c>
      <c r="D986" s="143" t="s">
        <v>504</v>
      </c>
      <c r="E986" s="142"/>
      <c r="F986" s="142"/>
    </row>
    <row r="987" spans="1:6" s="113" customFormat="1" x14ac:dyDescent="0.25">
      <c r="A987" s="141">
        <v>2557</v>
      </c>
      <c r="B987" s="142" t="s">
        <v>1158</v>
      </c>
      <c r="C987" s="143" t="s">
        <v>64</v>
      </c>
      <c r="D987" s="143" t="s">
        <v>504</v>
      </c>
      <c r="E987" s="142"/>
      <c r="F987" s="142"/>
    </row>
    <row r="988" spans="1:6" s="113" customFormat="1" ht="26.25" x14ac:dyDescent="0.25">
      <c r="A988" s="141">
        <v>2558</v>
      </c>
      <c r="B988" s="142" t="s">
        <v>1153</v>
      </c>
      <c r="C988" s="143" t="s">
        <v>20</v>
      </c>
      <c r="D988" s="143" t="s">
        <v>302</v>
      </c>
      <c r="E988" s="142"/>
      <c r="F988" s="142"/>
    </row>
    <row r="989" spans="1:6" s="113" customFormat="1" x14ac:dyDescent="0.25">
      <c r="A989" s="141">
        <v>2559</v>
      </c>
      <c r="B989" s="142" t="s">
        <v>1155</v>
      </c>
      <c r="C989" s="143" t="s">
        <v>12</v>
      </c>
      <c r="D989" s="143" t="s">
        <v>415</v>
      </c>
      <c r="E989" s="142"/>
      <c r="F989" s="142"/>
    </row>
    <row r="990" spans="1:6" s="113" customFormat="1" x14ac:dyDescent="0.25">
      <c r="A990" s="141">
        <v>2560</v>
      </c>
      <c r="B990" s="142" t="s">
        <v>1152</v>
      </c>
      <c r="C990" s="143" t="s">
        <v>47</v>
      </c>
      <c r="D990" s="143" t="s">
        <v>501</v>
      </c>
      <c r="E990" s="142"/>
      <c r="F990" s="142"/>
    </row>
    <row r="991" spans="1:6" s="113" customFormat="1" ht="26.25" x14ac:dyDescent="0.25">
      <c r="A991" s="141">
        <v>2561</v>
      </c>
      <c r="B991" s="142" t="s">
        <v>3235</v>
      </c>
      <c r="C991" s="143" t="s">
        <v>20</v>
      </c>
      <c r="D991" s="143" t="s">
        <v>302</v>
      </c>
      <c r="E991" s="142"/>
      <c r="F991" s="142"/>
    </row>
    <row r="992" spans="1:6" s="113" customFormat="1" ht="26.25" x14ac:dyDescent="0.25">
      <c r="A992" s="141">
        <v>2562</v>
      </c>
      <c r="B992" s="142" t="s">
        <v>2939</v>
      </c>
      <c r="C992" s="143" t="s">
        <v>417</v>
      </c>
      <c r="D992" s="143" t="s">
        <v>1186</v>
      </c>
      <c r="E992" s="142"/>
      <c r="F992" s="142"/>
    </row>
    <row r="993" spans="1:6" s="113" customFormat="1" ht="26.25" x14ac:dyDescent="0.25">
      <c r="A993" s="141">
        <v>2563</v>
      </c>
      <c r="B993" s="142" t="s">
        <v>1156</v>
      </c>
      <c r="C993" s="143" t="s">
        <v>16</v>
      </c>
      <c r="D993" s="143" t="s">
        <v>242</v>
      </c>
      <c r="E993" s="142"/>
      <c r="F993" s="142"/>
    </row>
    <row r="994" spans="1:6" s="113" customFormat="1" x14ac:dyDescent="0.25">
      <c r="A994" s="141">
        <v>2565</v>
      </c>
      <c r="B994" s="142" t="s">
        <v>1188</v>
      </c>
      <c r="C994" s="143" t="s">
        <v>47</v>
      </c>
      <c r="D994" s="143" t="s">
        <v>159</v>
      </c>
      <c r="E994" s="142"/>
      <c r="F994" s="142"/>
    </row>
    <row r="995" spans="1:6" s="113" customFormat="1" x14ac:dyDescent="0.25">
      <c r="A995" s="247">
        <v>2566</v>
      </c>
      <c r="B995" s="250" t="s">
        <v>1189</v>
      </c>
      <c r="C995" s="143" t="s">
        <v>41</v>
      </c>
      <c r="D995" s="143" t="s">
        <v>116</v>
      </c>
      <c r="E995" s="250"/>
      <c r="F995" s="250"/>
    </row>
    <row r="996" spans="1:6" s="113" customFormat="1" x14ac:dyDescent="0.25">
      <c r="A996" s="247">
        <v>2567</v>
      </c>
      <c r="B996" s="250" t="s">
        <v>1341</v>
      </c>
      <c r="C996" s="143" t="s">
        <v>36</v>
      </c>
      <c r="D996" s="143" t="s">
        <v>1131</v>
      </c>
      <c r="E996" s="250"/>
      <c r="F996" s="250"/>
    </row>
    <row r="997" spans="1:6" s="113" customFormat="1" ht="26.25" x14ac:dyDescent="0.25">
      <c r="A997" s="141">
        <v>2569</v>
      </c>
      <c r="B997" s="142" t="s">
        <v>1193</v>
      </c>
      <c r="C997" s="143" t="s">
        <v>144</v>
      </c>
      <c r="D997" s="143" t="s">
        <v>173</v>
      </c>
      <c r="E997" s="142"/>
      <c r="F997" s="142"/>
    </row>
    <row r="998" spans="1:6" s="113" customFormat="1" x14ac:dyDescent="0.25">
      <c r="A998" s="141">
        <v>2570</v>
      </c>
      <c r="B998" s="142" t="s">
        <v>1195</v>
      </c>
      <c r="C998" s="143" t="s">
        <v>47</v>
      </c>
      <c r="D998" s="143" t="s">
        <v>159</v>
      </c>
      <c r="E998" s="142"/>
      <c r="F998" s="142"/>
    </row>
    <row r="999" spans="1:6" s="113" customFormat="1" ht="26.25" x14ac:dyDescent="0.25">
      <c r="A999" s="247">
        <v>2571</v>
      </c>
      <c r="B999" s="250" t="s">
        <v>1197</v>
      </c>
      <c r="C999" s="143" t="s">
        <v>144</v>
      </c>
      <c r="D999" s="260" t="s">
        <v>173</v>
      </c>
      <c r="E999" s="250"/>
      <c r="F999" s="250"/>
    </row>
    <row r="1000" spans="1:6" s="113" customFormat="1" ht="26.25" x14ac:dyDescent="0.25">
      <c r="A1000" s="247">
        <v>2572</v>
      </c>
      <c r="B1000" s="250" t="s">
        <v>2062</v>
      </c>
      <c r="C1000" s="143" t="s">
        <v>395</v>
      </c>
      <c r="D1000" s="260" t="s">
        <v>237</v>
      </c>
      <c r="E1000" s="250"/>
      <c r="F1000" s="250"/>
    </row>
    <row r="1001" spans="1:6" s="113" customFormat="1" x14ac:dyDescent="0.25">
      <c r="A1001" s="141">
        <v>2573</v>
      </c>
      <c r="B1001" s="142" t="s">
        <v>2063</v>
      </c>
      <c r="C1001" s="143" t="s">
        <v>64</v>
      </c>
      <c r="D1001" s="143" t="s">
        <v>415</v>
      </c>
      <c r="E1001" s="142"/>
      <c r="F1001" s="142"/>
    </row>
    <row r="1002" spans="1:6" s="113" customFormat="1" x14ac:dyDescent="0.25">
      <c r="A1002" s="247">
        <v>2574</v>
      </c>
      <c r="B1002" s="250" t="s">
        <v>1201</v>
      </c>
      <c r="C1002" s="143" t="s">
        <v>36</v>
      </c>
      <c r="D1002" s="260" t="s">
        <v>466</v>
      </c>
      <c r="E1002" s="250"/>
      <c r="F1002" s="250"/>
    </row>
    <row r="1003" spans="1:6" s="113" customFormat="1" x14ac:dyDescent="0.25">
      <c r="A1003" s="141">
        <v>2575</v>
      </c>
      <c r="B1003" s="142" t="s">
        <v>1202</v>
      </c>
      <c r="C1003" s="143" t="s">
        <v>140</v>
      </c>
      <c r="D1003" s="143" t="s">
        <v>453</v>
      </c>
      <c r="E1003" s="142"/>
      <c r="F1003" s="142"/>
    </row>
    <row r="1004" spans="1:6" s="113" customFormat="1" x14ac:dyDescent="0.25">
      <c r="A1004" s="141">
        <v>2576</v>
      </c>
      <c r="B1004" s="142" t="s">
        <v>1205</v>
      </c>
      <c r="C1004" s="143" t="s">
        <v>47</v>
      </c>
      <c r="D1004" s="143" t="s">
        <v>179</v>
      </c>
      <c r="E1004" s="142"/>
      <c r="F1004" s="142"/>
    </row>
    <row r="1005" spans="1:6" s="113" customFormat="1" ht="26.25" x14ac:dyDescent="0.25">
      <c r="A1005" s="141">
        <v>2577</v>
      </c>
      <c r="B1005" s="142" t="s">
        <v>1204</v>
      </c>
      <c r="C1005" s="143" t="s">
        <v>20</v>
      </c>
      <c r="D1005" s="143" t="s">
        <v>302</v>
      </c>
      <c r="E1005" s="142"/>
      <c r="F1005" s="142"/>
    </row>
    <row r="1006" spans="1:6" s="113" customFormat="1" ht="26.25" x14ac:dyDescent="0.25">
      <c r="A1006" s="141">
        <v>2578</v>
      </c>
      <c r="B1006" s="142" t="s">
        <v>2064</v>
      </c>
      <c r="C1006" s="143" t="s">
        <v>417</v>
      </c>
      <c r="D1006" s="143" t="s">
        <v>7</v>
      </c>
      <c r="E1006" s="142"/>
      <c r="F1006" s="142"/>
    </row>
    <row r="1007" spans="1:6" s="113" customFormat="1" x14ac:dyDescent="0.25">
      <c r="A1007" s="247">
        <v>2579</v>
      </c>
      <c r="B1007" s="250" t="s">
        <v>1206</v>
      </c>
      <c r="C1007" s="149" t="s">
        <v>67</v>
      </c>
      <c r="D1007" s="260" t="s">
        <v>2065</v>
      </c>
      <c r="E1007" s="250"/>
      <c r="F1007" s="250"/>
    </row>
    <row r="1008" spans="1:6" s="113" customFormat="1" x14ac:dyDescent="0.25">
      <c r="A1008" s="247">
        <v>2580</v>
      </c>
      <c r="B1008" s="250" t="s">
        <v>1208</v>
      </c>
      <c r="C1008" s="143" t="s">
        <v>47</v>
      </c>
      <c r="D1008" s="143" t="s">
        <v>159</v>
      </c>
      <c r="E1008" s="250"/>
      <c r="F1008" s="250"/>
    </row>
    <row r="1009" spans="1:6" s="113" customFormat="1" x14ac:dyDescent="0.25">
      <c r="A1009" s="247">
        <v>2582</v>
      </c>
      <c r="B1009" s="250" t="s">
        <v>1217</v>
      </c>
      <c r="C1009" s="143" t="s">
        <v>47</v>
      </c>
      <c r="D1009" s="143" t="s">
        <v>159</v>
      </c>
      <c r="E1009" s="250"/>
      <c r="F1009" s="250"/>
    </row>
    <row r="1010" spans="1:6" s="113" customFormat="1" ht="26.25" x14ac:dyDescent="0.25">
      <c r="A1010" s="247">
        <v>2583</v>
      </c>
      <c r="B1010" s="250" t="s">
        <v>1218</v>
      </c>
      <c r="C1010" s="143" t="s">
        <v>96</v>
      </c>
      <c r="D1010" s="143" t="s">
        <v>116</v>
      </c>
      <c r="E1010" s="250"/>
      <c r="F1010" s="250"/>
    </row>
    <row r="1011" spans="1:6" s="113" customFormat="1" x14ac:dyDescent="0.25">
      <c r="A1011" s="247">
        <v>2584</v>
      </c>
      <c r="B1011" s="250" t="s">
        <v>1219</v>
      </c>
      <c r="C1011" s="143" t="s">
        <v>64</v>
      </c>
      <c r="D1011" s="260" t="s">
        <v>237</v>
      </c>
      <c r="E1011" s="250"/>
      <c r="F1011" s="250"/>
    </row>
    <row r="1012" spans="1:6" s="113" customFormat="1" x14ac:dyDescent="0.25">
      <c r="A1012" s="247">
        <v>2585</v>
      </c>
      <c r="B1012" s="250" t="s">
        <v>1220</v>
      </c>
      <c r="C1012" s="149" t="s">
        <v>67</v>
      </c>
      <c r="D1012" s="260" t="s">
        <v>551</v>
      </c>
      <c r="E1012" s="250"/>
      <c r="F1012" s="250"/>
    </row>
    <row r="1013" spans="1:6" s="113" customFormat="1" x14ac:dyDescent="0.25">
      <c r="A1013" s="247">
        <v>2586</v>
      </c>
      <c r="B1013" s="250" t="s">
        <v>1212</v>
      </c>
      <c r="C1013" s="143" t="s">
        <v>64</v>
      </c>
      <c r="D1013" s="260" t="s">
        <v>504</v>
      </c>
      <c r="E1013" s="250"/>
      <c r="F1013" s="250"/>
    </row>
    <row r="1014" spans="1:6" s="113" customFormat="1" x14ac:dyDescent="0.25">
      <c r="A1014" s="141">
        <v>2587</v>
      </c>
      <c r="B1014" s="142" t="s">
        <v>1213</v>
      </c>
      <c r="C1014" s="143" t="s">
        <v>64</v>
      </c>
      <c r="D1014" s="143" t="s">
        <v>2066</v>
      </c>
      <c r="E1014" s="142"/>
      <c r="F1014" s="142"/>
    </row>
    <row r="1015" spans="1:6" s="113" customFormat="1" x14ac:dyDescent="0.25">
      <c r="A1015" s="141">
        <v>2588</v>
      </c>
      <c r="B1015" s="142" t="s">
        <v>1242</v>
      </c>
      <c r="C1015" s="143" t="s">
        <v>101</v>
      </c>
      <c r="D1015" s="143" t="s">
        <v>501</v>
      </c>
      <c r="E1015" s="142"/>
      <c r="F1015" s="142"/>
    </row>
    <row r="1016" spans="1:6" s="113" customFormat="1" x14ac:dyDescent="0.25">
      <c r="A1016" s="247">
        <v>2590</v>
      </c>
      <c r="B1016" s="250" t="s">
        <v>2067</v>
      </c>
      <c r="C1016" s="143" t="s">
        <v>64</v>
      </c>
      <c r="D1016" s="143" t="s">
        <v>237</v>
      </c>
      <c r="E1016" s="250"/>
      <c r="F1016" s="250"/>
    </row>
    <row r="1017" spans="1:6" s="113" customFormat="1" ht="26.25" x14ac:dyDescent="0.25">
      <c r="A1017" s="247">
        <v>2592</v>
      </c>
      <c r="B1017" s="250" t="s">
        <v>2068</v>
      </c>
      <c r="C1017" s="143" t="s">
        <v>1936</v>
      </c>
      <c r="D1017" s="143" t="s">
        <v>242</v>
      </c>
      <c r="E1017" s="250"/>
      <c r="F1017" s="250" t="s">
        <v>114</v>
      </c>
    </row>
    <row r="1018" spans="1:6" s="113" customFormat="1" x14ac:dyDescent="0.25">
      <c r="A1018" s="141">
        <v>2593</v>
      </c>
      <c r="B1018" s="142" t="s">
        <v>1266</v>
      </c>
      <c r="C1018" s="143" t="s">
        <v>90</v>
      </c>
      <c r="D1018" s="143" t="s">
        <v>109</v>
      </c>
      <c r="E1018" s="142"/>
      <c r="F1018" s="142"/>
    </row>
    <row r="1019" spans="1:6" s="113" customFormat="1" x14ac:dyDescent="0.25">
      <c r="A1019" s="247">
        <v>2594</v>
      </c>
      <c r="B1019" s="250" t="s">
        <v>1228</v>
      </c>
      <c r="C1019" s="143" t="s">
        <v>47</v>
      </c>
      <c r="D1019" s="143" t="s">
        <v>56</v>
      </c>
      <c r="E1019" s="250"/>
      <c r="F1019" s="250"/>
    </row>
    <row r="1020" spans="1:6" s="113" customFormat="1" x14ac:dyDescent="0.25">
      <c r="A1020" s="247">
        <v>2595</v>
      </c>
      <c r="B1020" s="250" t="s">
        <v>1271</v>
      </c>
      <c r="C1020" s="143" t="s">
        <v>101</v>
      </c>
      <c r="D1020" s="260" t="s">
        <v>504</v>
      </c>
      <c r="E1020" s="250"/>
      <c r="F1020" s="250"/>
    </row>
    <row r="1021" spans="1:6" s="113" customFormat="1" x14ac:dyDescent="0.25">
      <c r="A1021" s="247">
        <v>2596</v>
      </c>
      <c r="B1021" s="250" t="s">
        <v>1229</v>
      </c>
      <c r="C1021" s="143" t="s">
        <v>64</v>
      </c>
      <c r="D1021" s="260" t="s">
        <v>504</v>
      </c>
      <c r="E1021" s="250"/>
      <c r="F1021" s="250"/>
    </row>
    <row r="1022" spans="1:6" s="113" customFormat="1" x14ac:dyDescent="0.25">
      <c r="A1022" s="247">
        <v>2597</v>
      </c>
      <c r="B1022" s="250" t="s">
        <v>1235</v>
      </c>
      <c r="C1022" s="143" t="s">
        <v>140</v>
      </c>
      <c r="D1022" s="260" t="s">
        <v>109</v>
      </c>
      <c r="E1022" s="250"/>
      <c r="F1022" s="250"/>
    </row>
    <row r="1023" spans="1:6" s="113" customFormat="1" x14ac:dyDescent="0.25">
      <c r="A1023" s="247">
        <v>2600</v>
      </c>
      <c r="B1023" s="250" t="s">
        <v>1247</v>
      </c>
      <c r="C1023" s="143" t="s">
        <v>195</v>
      </c>
      <c r="D1023" s="260" t="s">
        <v>45</v>
      </c>
      <c r="E1023" s="250"/>
      <c r="F1023" s="250" t="s">
        <v>1070</v>
      </c>
    </row>
    <row r="1024" spans="1:6" s="113" customFormat="1" ht="26.25" x14ac:dyDescent="0.25">
      <c r="A1024" s="247">
        <v>2601</v>
      </c>
      <c r="B1024" s="250" t="s">
        <v>1490</v>
      </c>
      <c r="C1024" s="143" t="s">
        <v>27</v>
      </c>
      <c r="D1024" s="260" t="s">
        <v>2069</v>
      </c>
      <c r="E1024" s="250"/>
      <c r="F1024" s="250"/>
    </row>
    <row r="1025" spans="1:6" s="113" customFormat="1" x14ac:dyDescent="0.25">
      <c r="A1025" s="247">
        <v>2602</v>
      </c>
      <c r="B1025" s="250" t="s">
        <v>2070</v>
      </c>
      <c r="C1025" s="143" t="s">
        <v>47</v>
      </c>
      <c r="D1025" s="143" t="s">
        <v>179</v>
      </c>
      <c r="E1025" s="250"/>
      <c r="F1025" s="250"/>
    </row>
    <row r="1026" spans="1:6" s="113" customFormat="1" ht="26.25" x14ac:dyDescent="0.25">
      <c r="A1026" s="247">
        <v>2603</v>
      </c>
      <c r="B1026" s="250" t="s">
        <v>2071</v>
      </c>
      <c r="C1026" s="143" t="s">
        <v>1936</v>
      </c>
      <c r="D1026" s="143" t="s">
        <v>302</v>
      </c>
      <c r="E1026" s="250"/>
      <c r="F1026" s="250" t="s">
        <v>114</v>
      </c>
    </row>
    <row r="1027" spans="1:6" s="113" customFormat="1" x14ac:dyDescent="0.25">
      <c r="A1027" s="247">
        <v>2604</v>
      </c>
      <c r="B1027" s="250" t="s">
        <v>1252</v>
      </c>
      <c r="C1027" s="143" t="s">
        <v>38</v>
      </c>
      <c r="D1027" s="260" t="s">
        <v>453</v>
      </c>
      <c r="E1027" s="250"/>
      <c r="F1027" s="250"/>
    </row>
    <row r="1028" spans="1:6" s="113" customFormat="1" x14ac:dyDescent="0.25">
      <c r="A1028" s="247">
        <v>2605</v>
      </c>
      <c r="B1028" s="250" t="s">
        <v>1251</v>
      </c>
      <c r="C1028" s="143" t="s">
        <v>73</v>
      </c>
      <c r="D1028" s="143" t="s">
        <v>116</v>
      </c>
      <c r="E1028" s="250"/>
      <c r="F1028" s="250"/>
    </row>
    <row r="1029" spans="1:6" s="113" customFormat="1" x14ac:dyDescent="0.25">
      <c r="A1029" s="247">
        <v>2606</v>
      </c>
      <c r="B1029" s="250" t="s">
        <v>1254</v>
      </c>
      <c r="C1029" s="143" t="s">
        <v>17</v>
      </c>
      <c r="D1029" s="260" t="s">
        <v>154</v>
      </c>
      <c r="E1029" s="250"/>
      <c r="F1029" s="250"/>
    </row>
    <row r="1030" spans="1:6" s="113" customFormat="1" ht="26.25" x14ac:dyDescent="0.25">
      <c r="A1030" s="247">
        <v>2607</v>
      </c>
      <c r="B1030" s="250" t="s">
        <v>1257</v>
      </c>
      <c r="C1030" s="143" t="s">
        <v>22</v>
      </c>
      <c r="D1030" s="260" t="s">
        <v>116</v>
      </c>
      <c r="E1030" s="250"/>
      <c r="F1030" s="250"/>
    </row>
    <row r="1031" spans="1:6" s="113" customFormat="1" x14ac:dyDescent="0.25">
      <c r="A1031" s="247">
        <v>2609</v>
      </c>
      <c r="B1031" s="250" t="s">
        <v>1259</v>
      </c>
      <c r="C1031" s="143" t="s">
        <v>47</v>
      </c>
      <c r="D1031" s="143" t="s">
        <v>179</v>
      </c>
      <c r="E1031" s="250"/>
      <c r="F1031" s="250"/>
    </row>
    <row r="1032" spans="1:6" s="113" customFormat="1" ht="26.25" x14ac:dyDescent="0.25">
      <c r="A1032" s="247">
        <v>2610</v>
      </c>
      <c r="B1032" s="250" t="s">
        <v>1264</v>
      </c>
      <c r="C1032" s="143" t="s">
        <v>6</v>
      </c>
      <c r="D1032" s="143" t="s">
        <v>154</v>
      </c>
      <c r="E1032" s="250"/>
      <c r="F1032" s="250"/>
    </row>
    <row r="1033" spans="1:6" s="113" customFormat="1" x14ac:dyDescent="0.25">
      <c r="A1033" s="247">
        <v>2613</v>
      </c>
      <c r="B1033" s="250" t="s">
        <v>1270</v>
      </c>
      <c r="C1033" s="143" t="s">
        <v>101</v>
      </c>
      <c r="D1033" s="260" t="s">
        <v>504</v>
      </c>
      <c r="E1033" s="250"/>
      <c r="F1033" s="250"/>
    </row>
    <row r="1034" spans="1:6" s="113" customFormat="1" x14ac:dyDescent="0.25">
      <c r="A1034" s="247">
        <v>2615</v>
      </c>
      <c r="B1034" s="250" t="s">
        <v>1315</v>
      </c>
      <c r="C1034" s="143" t="s">
        <v>64</v>
      </c>
      <c r="D1034" s="143" t="s">
        <v>237</v>
      </c>
      <c r="E1034" s="250"/>
      <c r="F1034" s="250"/>
    </row>
    <row r="1035" spans="1:6" s="113" customFormat="1" ht="26.25" x14ac:dyDescent="0.25">
      <c r="A1035" s="247">
        <v>2617</v>
      </c>
      <c r="B1035" s="250" t="s">
        <v>1327</v>
      </c>
      <c r="C1035" s="143" t="s">
        <v>417</v>
      </c>
      <c r="D1035" s="260" t="s">
        <v>504</v>
      </c>
      <c r="E1035" s="250"/>
      <c r="F1035" s="250"/>
    </row>
    <row r="1036" spans="1:6" s="113" customFormat="1" x14ac:dyDescent="0.25">
      <c r="A1036" s="247">
        <v>2618</v>
      </c>
      <c r="B1036" s="250" t="s">
        <v>1369</v>
      </c>
      <c r="C1036" s="143" t="s">
        <v>384</v>
      </c>
      <c r="D1036" s="260" t="s">
        <v>45</v>
      </c>
      <c r="E1036" s="250"/>
      <c r="F1036" s="250"/>
    </row>
    <row r="1037" spans="1:6" s="113" customFormat="1" x14ac:dyDescent="0.25">
      <c r="A1037" s="190">
        <v>2619</v>
      </c>
      <c r="B1037" s="606" t="s">
        <v>2742</v>
      </c>
      <c r="C1037" s="606" t="s">
        <v>1936</v>
      </c>
      <c r="D1037" s="606" t="s">
        <v>302</v>
      </c>
      <c r="E1037" s="606"/>
      <c r="F1037" s="606"/>
    </row>
    <row r="1038" spans="1:6" s="113" customFormat="1" x14ac:dyDescent="0.25">
      <c r="A1038" s="247">
        <v>2620</v>
      </c>
      <c r="B1038" s="250" t="s">
        <v>1325</v>
      </c>
      <c r="C1038" s="143" t="s">
        <v>47</v>
      </c>
      <c r="D1038" s="260" t="s">
        <v>269</v>
      </c>
      <c r="E1038" s="250"/>
      <c r="F1038" s="250"/>
    </row>
    <row r="1039" spans="1:6" s="113" customFormat="1" x14ac:dyDescent="0.25">
      <c r="A1039" s="255">
        <v>2624</v>
      </c>
      <c r="B1039" s="259" t="s">
        <v>1333</v>
      </c>
      <c r="C1039" s="143" t="s">
        <v>38</v>
      </c>
      <c r="D1039" s="251" t="s">
        <v>109</v>
      </c>
      <c r="E1039" s="250"/>
      <c r="F1039" s="250"/>
    </row>
    <row r="1040" spans="1:6" s="113" customFormat="1" x14ac:dyDescent="0.25">
      <c r="A1040" s="255">
        <v>2625</v>
      </c>
      <c r="B1040" s="259" t="s">
        <v>1335</v>
      </c>
      <c r="C1040" s="143" t="s">
        <v>17</v>
      </c>
      <c r="D1040" s="251" t="s">
        <v>154</v>
      </c>
      <c r="E1040" s="250"/>
      <c r="F1040" s="250"/>
    </row>
    <row r="1041" spans="1:6" s="113" customFormat="1" x14ac:dyDescent="0.25">
      <c r="A1041" s="255">
        <v>2626</v>
      </c>
      <c r="B1041" s="259" t="s">
        <v>2072</v>
      </c>
      <c r="C1041" s="143" t="s">
        <v>64</v>
      </c>
      <c r="D1041" s="251" t="s">
        <v>504</v>
      </c>
      <c r="E1041" s="250"/>
      <c r="F1041" s="250"/>
    </row>
    <row r="1042" spans="1:6" s="113" customFormat="1" x14ac:dyDescent="0.25">
      <c r="A1042" s="255">
        <v>2629</v>
      </c>
      <c r="B1042" s="259" t="s">
        <v>1342</v>
      </c>
      <c r="C1042" s="143" t="s">
        <v>101</v>
      </c>
      <c r="D1042" s="251" t="s">
        <v>504</v>
      </c>
      <c r="E1042" s="250"/>
      <c r="F1042" s="250"/>
    </row>
    <row r="1043" spans="1:6" s="113" customFormat="1" x14ac:dyDescent="0.25">
      <c r="A1043" s="247">
        <v>2630</v>
      </c>
      <c r="B1043" s="248" t="s">
        <v>2846</v>
      </c>
      <c r="C1043" s="143" t="s">
        <v>64</v>
      </c>
      <c r="D1043" s="143" t="s">
        <v>504</v>
      </c>
      <c r="E1043" s="248"/>
      <c r="F1043" s="248"/>
    </row>
    <row r="1044" spans="1:6" s="113" customFormat="1" x14ac:dyDescent="0.25">
      <c r="A1044" s="247">
        <v>2631</v>
      </c>
      <c r="B1044" s="250" t="s">
        <v>2073</v>
      </c>
      <c r="C1044" s="143" t="s">
        <v>90</v>
      </c>
      <c r="D1044" s="260" t="s">
        <v>504</v>
      </c>
      <c r="E1044" s="250"/>
      <c r="F1044" s="250"/>
    </row>
    <row r="1045" spans="1:6" s="113" customFormat="1" x14ac:dyDescent="0.25">
      <c r="A1045" s="247">
        <v>2632</v>
      </c>
      <c r="B1045" s="250" t="s">
        <v>1381</v>
      </c>
      <c r="C1045" s="143" t="s">
        <v>1455</v>
      </c>
      <c r="D1045" s="260" t="s">
        <v>415</v>
      </c>
      <c r="E1045" s="250"/>
      <c r="F1045" s="250"/>
    </row>
    <row r="1046" spans="1:6" s="113" customFormat="1" ht="26.25" x14ac:dyDescent="0.25">
      <c r="A1046" s="247">
        <v>2633</v>
      </c>
      <c r="B1046" s="250" t="s">
        <v>1380</v>
      </c>
      <c r="C1046" s="143" t="s">
        <v>120</v>
      </c>
      <c r="D1046" s="260" t="s">
        <v>415</v>
      </c>
      <c r="E1046" s="250"/>
      <c r="F1046" s="250"/>
    </row>
    <row r="1047" spans="1:6" s="113" customFormat="1" ht="26.25" x14ac:dyDescent="0.25">
      <c r="A1047" s="247">
        <v>2634</v>
      </c>
      <c r="B1047" s="250" t="s">
        <v>1392</v>
      </c>
      <c r="C1047" s="143" t="s">
        <v>6</v>
      </c>
      <c r="D1047" s="143" t="s">
        <v>154</v>
      </c>
      <c r="E1047" s="250"/>
      <c r="F1047" s="250"/>
    </row>
    <row r="1048" spans="1:6" s="113" customFormat="1" x14ac:dyDescent="0.25">
      <c r="A1048" s="190">
        <v>2634</v>
      </c>
      <c r="B1048" s="606" t="s">
        <v>1392</v>
      </c>
      <c r="C1048" s="606" t="s">
        <v>6</v>
      </c>
      <c r="D1048" s="606" t="s">
        <v>242</v>
      </c>
      <c r="E1048" s="606"/>
      <c r="F1048" s="606"/>
    </row>
    <row r="1049" spans="1:6" s="113" customFormat="1" x14ac:dyDescent="0.25">
      <c r="A1049" s="247">
        <v>2635</v>
      </c>
      <c r="B1049" s="250" t="s">
        <v>1413</v>
      </c>
      <c r="C1049" s="143" t="s">
        <v>64</v>
      </c>
      <c r="D1049" s="260" t="s">
        <v>228</v>
      </c>
      <c r="E1049" s="250"/>
      <c r="F1049" s="250"/>
    </row>
    <row r="1050" spans="1:6" s="113" customFormat="1" x14ac:dyDescent="0.25">
      <c r="A1050" s="247">
        <v>2636</v>
      </c>
      <c r="B1050" s="250" t="s">
        <v>1404</v>
      </c>
      <c r="C1050" s="143" t="s">
        <v>64</v>
      </c>
      <c r="D1050" s="260" t="s">
        <v>504</v>
      </c>
      <c r="E1050" s="250"/>
      <c r="F1050" s="250"/>
    </row>
    <row r="1051" spans="1:6" s="113" customFormat="1" x14ac:dyDescent="0.25">
      <c r="A1051" s="247">
        <v>2637</v>
      </c>
      <c r="B1051" s="250" t="s">
        <v>1405</v>
      </c>
      <c r="C1051" s="143" t="s">
        <v>64</v>
      </c>
      <c r="D1051" s="260" t="s">
        <v>237</v>
      </c>
      <c r="E1051" s="250"/>
      <c r="F1051" s="250"/>
    </row>
    <row r="1052" spans="1:6" s="113" customFormat="1" x14ac:dyDescent="0.25">
      <c r="A1052" s="247">
        <v>2638</v>
      </c>
      <c r="B1052" s="250" t="s">
        <v>1407</v>
      </c>
      <c r="C1052" s="143" t="s">
        <v>47</v>
      </c>
      <c r="D1052" s="260" t="s">
        <v>269</v>
      </c>
      <c r="E1052" s="250"/>
      <c r="F1052" s="250"/>
    </row>
    <row r="1053" spans="1:6" s="113" customFormat="1" x14ac:dyDescent="0.25">
      <c r="A1053" s="247">
        <v>2639</v>
      </c>
      <c r="B1053" s="250" t="s">
        <v>1412</v>
      </c>
      <c r="C1053" s="149" t="s">
        <v>67</v>
      </c>
      <c r="D1053" s="260" t="s">
        <v>161</v>
      </c>
      <c r="E1053" s="250"/>
      <c r="F1053" s="250"/>
    </row>
    <row r="1054" spans="1:6" s="113" customFormat="1" x14ac:dyDescent="0.25">
      <c r="A1054" s="247">
        <v>2640</v>
      </c>
      <c r="B1054" s="250" t="s">
        <v>1415</v>
      </c>
      <c r="C1054" s="143" t="s">
        <v>64</v>
      </c>
      <c r="D1054" s="260" t="s">
        <v>237</v>
      </c>
      <c r="E1054" s="250"/>
      <c r="F1054" s="250"/>
    </row>
    <row r="1055" spans="1:6" s="113" customFormat="1" ht="26.25" x14ac:dyDescent="0.25">
      <c r="A1055" s="247">
        <v>2642</v>
      </c>
      <c r="B1055" s="250" t="s">
        <v>1423</v>
      </c>
      <c r="C1055" s="143" t="s">
        <v>417</v>
      </c>
      <c r="D1055" s="260" t="s">
        <v>7</v>
      </c>
      <c r="E1055" s="250"/>
      <c r="F1055" s="250"/>
    </row>
    <row r="1056" spans="1:6" s="113" customFormat="1" x14ac:dyDescent="0.25">
      <c r="A1056" s="247">
        <v>2643</v>
      </c>
      <c r="B1056" s="250" t="s">
        <v>1469</v>
      </c>
      <c r="C1056" s="143" t="s">
        <v>38</v>
      </c>
      <c r="D1056" s="143" t="s">
        <v>453</v>
      </c>
      <c r="E1056" s="250"/>
      <c r="F1056" s="250"/>
    </row>
    <row r="1057" spans="1:6" s="113" customFormat="1" x14ac:dyDescent="0.25">
      <c r="A1057" s="247">
        <v>2644</v>
      </c>
      <c r="B1057" s="250" t="s">
        <v>1438</v>
      </c>
      <c r="C1057" s="143" t="s">
        <v>64</v>
      </c>
      <c r="D1057" s="143" t="s">
        <v>228</v>
      </c>
      <c r="E1057" s="250"/>
      <c r="F1057" s="250"/>
    </row>
    <row r="1058" spans="1:6" s="113" customFormat="1" ht="39" x14ac:dyDescent="0.25">
      <c r="A1058" s="247">
        <v>2645</v>
      </c>
      <c r="B1058" s="250" t="s">
        <v>1526</v>
      </c>
      <c r="C1058" s="143" t="s">
        <v>1935</v>
      </c>
      <c r="D1058" s="260" t="s">
        <v>302</v>
      </c>
      <c r="E1058" s="250"/>
      <c r="F1058" s="250" t="s">
        <v>114</v>
      </c>
    </row>
    <row r="1059" spans="1:6" s="113" customFormat="1" x14ac:dyDescent="0.25">
      <c r="A1059" s="247">
        <v>2647</v>
      </c>
      <c r="B1059" s="250" t="s">
        <v>1451</v>
      </c>
      <c r="C1059" s="143" t="s">
        <v>64</v>
      </c>
      <c r="D1059" s="143" t="s">
        <v>237</v>
      </c>
      <c r="E1059" s="250"/>
      <c r="F1059" s="250"/>
    </row>
    <row r="1060" spans="1:6" s="113" customFormat="1" ht="26.25" x14ac:dyDescent="0.25">
      <c r="A1060" s="247">
        <v>2648</v>
      </c>
      <c r="B1060" s="250" t="s">
        <v>1449</v>
      </c>
      <c r="C1060" s="143" t="s">
        <v>417</v>
      </c>
      <c r="D1060" s="143" t="s">
        <v>504</v>
      </c>
      <c r="E1060" s="250"/>
      <c r="F1060" s="250"/>
    </row>
    <row r="1061" spans="1:6" s="113" customFormat="1" ht="26.25" x14ac:dyDescent="0.25">
      <c r="A1061" s="247">
        <v>2649</v>
      </c>
      <c r="B1061" s="250" t="s">
        <v>1450</v>
      </c>
      <c r="C1061" s="143" t="s">
        <v>417</v>
      </c>
      <c r="D1061" s="143" t="s">
        <v>415</v>
      </c>
      <c r="E1061" s="250"/>
      <c r="F1061" s="250"/>
    </row>
    <row r="1062" spans="1:6" s="113" customFormat="1" x14ac:dyDescent="0.25">
      <c r="A1062" s="247">
        <v>2650</v>
      </c>
      <c r="B1062" s="250" t="s">
        <v>1452</v>
      </c>
      <c r="C1062" s="143" t="s">
        <v>64</v>
      </c>
      <c r="D1062" s="143" t="s">
        <v>501</v>
      </c>
      <c r="E1062" s="250"/>
      <c r="F1062" s="250"/>
    </row>
    <row r="1063" spans="1:6" s="113" customFormat="1" x14ac:dyDescent="0.25">
      <c r="A1063" s="247">
        <v>2651</v>
      </c>
      <c r="B1063" s="250" t="s">
        <v>1454</v>
      </c>
      <c r="C1063" s="143" t="s">
        <v>1455</v>
      </c>
      <c r="D1063" s="143" t="s">
        <v>415</v>
      </c>
      <c r="E1063" s="250"/>
      <c r="F1063" s="250"/>
    </row>
    <row r="1064" spans="1:6" s="113" customFormat="1" x14ac:dyDescent="0.25">
      <c r="A1064" s="247">
        <v>2653</v>
      </c>
      <c r="B1064" s="250" t="s">
        <v>1461</v>
      </c>
      <c r="C1064" s="143" t="s">
        <v>41</v>
      </c>
      <c r="D1064" s="143" t="s">
        <v>116</v>
      </c>
      <c r="E1064" s="250"/>
      <c r="F1064" s="250"/>
    </row>
    <row r="1065" spans="1:6" s="113" customFormat="1" ht="26.25" x14ac:dyDescent="0.25">
      <c r="A1065" s="247">
        <v>2654</v>
      </c>
      <c r="B1065" s="250" t="s">
        <v>1458</v>
      </c>
      <c r="C1065" s="143" t="s">
        <v>27</v>
      </c>
      <c r="D1065" s="260" t="s">
        <v>116</v>
      </c>
      <c r="E1065" s="250"/>
      <c r="F1065" s="250"/>
    </row>
    <row r="1066" spans="1:6" s="113" customFormat="1" x14ac:dyDescent="0.25">
      <c r="A1066" s="247">
        <v>2655</v>
      </c>
      <c r="B1066" s="250" t="s">
        <v>1467</v>
      </c>
      <c r="C1066" s="143" t="s">
        <v>64</v>
      </c>
      <c r="D1066" s="260" t="s">
        <v>504</v>
      </c>
      <c r="E1066" s="250"/>
      <c r="F1066" s="250"/>
    </row>
    <row r="1067" spans="1:6" s="113" customFormat="1" x14ac:dyDescent="0.25">
      <c r="A1067" s="195">
        <v>2655</v>
      </c>
      <c r="B1067" s="188" t="s">
        <v>1467</v>
      </c>
      <c r="C1067" s="146" t="s">
        <v>64</v>
      </c>
      <c r="D1067" s="146" t="s">
        <v>504</v>
      </c>
      <c r="E1067" s="606"/>
      <c r="F1067" s="606"/>
    </row>
    <row r="1068" spans="1:6" s="113" customFormat="1" x14ac:dyDescent="0.25">
      <c r="A1068" s="247">
        <v>2657</v>
      </c>
      <c r="B1068" s="250" t="s">
        <v>1466</v>
      </c>
      <c r="C1068" s="143" t="s">
        <v>64</v>
      </c>
      <c r="D1068" s="260" t="s">
        <v>237</v>
      </c>
      <c r="E1068" s="250"/>
      <c r="F1068" s="250"/>
    </row>
    <row r="1069" spans="1:6" s="113" customFormat="1" x14ac:dyDescent="0.25">
      <c r="A1069" s="247">
        <v>2658</v>
      </c>
      <c r="B1069" s="250" t="s">
        <v>1468</v>
      </c>
      <c r="C1069" s="143" t="s">
        <v>47</v>
      </c>
      <c r="D1069" s="260" t="s">
        <v>501</v>
      </c>
      <c r="E1069" s="250"/>
      <c r="F1069" s="250"/>
    </row>
    <row r="1070" spans="1:6" s="113" customFormat="1" x14ac:dyDescent="0.25">
      <c r="A1070" s="247">
        <v>2659</v>
      </c>
      <c r="B1070" s="248" t="s">
        <v>1484</v>
      </c>
      <c r="C1070" s="143" t="s">
        <v>38</v>
      </c>
      <c r="D1070" s="244" t="s">
        <v>143</v>
      </c>
      <c r="E1070" s="248"/>
      <c r="F1070" s="248"/>
    </row>
    <row r="1071" spans="1:6" s="113" customFormat="1" ht="26.25" x14ac:dyDescent="0.25">
      <c r="A1071" s="247">
        <v>2660</v>
      </c>
      <c r="B1071" s="248" t="s">
        <v>1487</v>
      </c>
      <c r="C1071" s="143" t="s">
        <v>417</v>
      </c>
      <c r="D1071" s="260" t="s">
        <v>504</v>
      </c>
      <c r="E1071" s="248"/>
      <c r="F1071" s="248"/>
    </row>
    <row r="1072" spans="1:6" s="113" customFormat="1" x14ac:dyDescent="0.25">
      <c r="A1072" s="247">
        <v>2661</v>
      </c>
      <c r="B1072" s="248" t="s">
        <v>1491</v>
      </c>
      <c r="C1072" s="143" t="s">
        <v>17</v>
      </c>
      <c r="D1072" s="244" t="s">
        <v>154</v>
      </c>
      <c r="E1072" s="248"/>
      <c r="F1072" s="248"/>
    </row>
    <row r="1073" spans="1:6" s="113" customFormat="1" x14ac:dyDescent="0.25">
      <c r="A1073" s="247">
        <v>2662</v>
      </c>
      <c r="B1073" s="248" t="s">
        <v>1493</v>
      </c>
      <c r="C1073" s="143" t="s">
        <v>73</v>
      </c>
      <c r="D1073" s="244" t="s">
        <v>1494</v>
      </c>
      <c r="E1073" s="248"/>
      <c r="F1073" s="248"/>
    </row>
    <row r="1074" spans="1:6" s="113" customFormat="1" x14ac:dyDescent="0.25">
      <c r="A1074" s="247">
        <v>2663</v>
      </c>
      <c r="B1074" s="248" t="s">
        <v>1492</v>
      </c>
      <c r="C1074" s="143" t="s">
        <v>140</v>
      </c>
      <c r="D1074" s="244" t="s">
        <v>143</v>
      </c>
      <c r="E1074" s="248"/>
      <c r="F1074" s="248"/>
    </row>
    <row r="1075" spans="1:6" s="113" customFormat="1" x14ac:dyDescent="0.25">
      <c r="A1075" s="247">
        <v>2665</v>
      </c>
      <c r="B1075" s="248" t="s">
        <v>1499</v>
      </c>
      <c r="C1075" s="143" t="s">
        <v>384</v>
      </c>
      <c r="D1075" s="244" t="s">
        <v>21</v>
      </c>
      <c r="E1075" s="248"/>
      <c r="F1075" s="248"/>
    </row>
    <row r="1076" spans="1:6" s="113" customFormat="1" x14ac:dyDescent="0.25">
      <c r="A1076" s="247">
        <v>2666</v>
      </c>
      <c r="B1076" s="248" t="s">
        <v>1500</v>
      </c>
      <c r="C1076" s="143" t="s">
        <v>64</v>
      </c>
      <c r="D1076" s="244" t="s">
        <v>156</v>
      </c>
      <c r="E1076" s="248"/>
      <c r="F1076" s="248"/>
    </row>
    <row r="1077" spans="1:6" s="113" customFormat="1" x14ac:dyDescent="0.25">
      <c r="A1077" s="247">
        <v>2667</v>
      </c>
      <c r="B1077" s="248" t="s">
        <v>1510</v>
      </c>
      <c r="C1077" s="143" t="s">
        <v>47</v>
      </c>
      <c r="D1077" s="148" t="s">
        <v>159</v>
      </c>
      <c r="E1077" s="248"/>
      <c r="F1077" s="248"/>
    </row>
    <row r="1078" spans="1:6" s="113" customFormat="1" x14ac:dyDescent="0.25">
      <c r="A1078" s="247">
        <v>2668</v>
      </c>
      <c r="B1078" s="248" t="s">
        <v>1509</v>
      </c>
      <c r="C1078" s="143" t="s">
        <v>47</v>
      </c>
      <c r="D1078" s="148" t="s">
        <v>159</v>
      </c>
      <c r="E1078" s="248"/>
      <c r="F1078" s="248"/>
    </row>
    <row r="1079" spans="1:6" s="113" customFormat="1" x14ac:dyDescent="0.25">
      <c r="A1079" s="247">
        <v>2670</v>
      </c>
      <c r="B1079" s="250" t="s">
        <v>1511</v>
      </c>
      <c r="C1079" s="143" t="s">
        <v>216</v>
      </c>
      <c r="D1079" s="260" t="s">
        <v>1512</v>
      </c>
      <c r="E1079" s="250"/>
      <c r="F1079" s="250"/>
    </row>
    <row r="1080" spans="1:6" s="113" customFormat="1" x14ac:dyDescent="0.25">
      <c r="A1080" s="247">
        <v>2671</v>
      </c>
      <c r="B1080" s="250" t="s">
        <v>1517</v>
      </c>
      <c r="C1080" s="143" t="s">
        <v>36</v>
      </c>
      <c r="D1080" s="260" t="s">
        <v>1131</v>
      </c>
      <c r="E1080" s="250"/>
      <c r="F1080" s="250"/>
    </row>
    <row r="1081" spans="1:6" s="113" customFormat="1" x14ac:dyDescent="0.25">
      <c r="A1081" s="247">
        <v>2672</v>
      </c>
      <c r="B1081" s="250" t="s">
        <v>1551</v>
      </c>
      <c r="C1081" s="143" t="s">
        <v>36</v>
      </c>
      <c r="D1081" s="260" t="s">
        <v>45</v>
      </c>
      <c r="E1081" s="250"/>
      <c r="F1081" s="250"/>
    </row>
    <row r="1082" spans="1:6" s="113" customFormat="1" x14ac:dyDescent="0.25">
      <c r="A1082" s="247">
        <v>2673</v>
      </c>
      <c r="B1082" s="250" t="s">
        <v>1552</v>
      </c>
      <c r="C1082" s="143" t="s">
        <v>36</v>
      </c>
      <c r="D1082" s="260" t="s">
        <v>45</v>
      </c>
      <c r="E1082" s="250"/>
      <c r="F1082" s="250"/>
    </row>
    <row r="1083" spans="1:6" s="113" customFormat="1" x14ac:dyDescent="0.25">
      <c r="A1083" s="247">
        <v>2674</v>
      </c>
      <c r="B1083" s="250" t="s">
        <v>1530</v>
      </c>
      <c r="C1083" s="143" t="s">
        <v>64</v>
      </c>
      <c r="D1083" s="260" t="s">
        <v>150</v>
      </c>
      <c r="E1083" s="250"/>
      <c r="F1083" s="250"/>
    </row>
    <row r="1084" spans="1:6" s="113" customFormat="1" x14ac:dyDescent="0.25">
      <c r="A1084" s="247">
        <v>2676</v>
      </c>
      <c r="B1084" s="250" t="s">
        <v>1564</v>
      </c>
      <c r="C1084" s="143" t="s">
        <v>12</v>
      </c>
      <c r="D1084" s="260" t="s">
        <v>1105</v>
      </c>
      <c r="E1084" s="250"/>
      <c r="F1084" s="250"/>
    </row>
    <row r="1085" spans="1:6" s="113" customFormat="1" x14ac:dyDescent="0.25">
      <c r="A1085" s="247">
        <v>2677</v>
      </c>
      <c r="B1085" s="250" t="s">
        <v>1531</v>
      </c>
      <c r="C1085" s="143" t="s">
        <v>73</v>
      </c>
      <c r="D1085" s="148" t="s">
        <v>154</v>
      </c>
      <c r="E1085" s="250"/>
      <c r="F1085" s="250"/>
    </row>
    <row r="1086" spans="1:6" s="113" customFormat="1" x14ac:dyDescent="0.25">
      <c r="A1086" s="247">
        <v>2679</v>
      </c>
      <c r="B1086" s="250" t="s">
        <v>1541</v>
      </c>
      <c r="C1086" s="143" t="s">
        <v>47</v>
      </c>
      <c r="D1086" s="148" t="s">
        <v>269</v>
      </c>
      <c r="E1086" s="250"/>
      <c r="F1086" s="250"/>
    </row>
    <row r="1087" spans="1:6" s="113" customFormat="1" x14ac:dyDescent="0.25">
      <c r="A1087" s="247">
        <v>2680</v>
      </c>
      <c r="B1087" s="250" t="s">
        <v>1542</v>
      </c>
      <c r="C1087" s="143" t="s">
        <v>64</v>
      </c>
      <c r="D1087" s="260" t="s">
        <v>237</v>
      </c>
      <c r="E1087" s="250"/>
      <c r="F1087" s="250"/>
    </row>
    <row r="1088" spans="1:6" s="113" customFormat="1" ht="26.25" x14ac:dyDescent="0.25">
      <c r="A1088" s="247">
        <v>2681</v>
      </c>
      <c r="B1088" s="250" t="s">
        <v>1543</v>
      </c>
      <c r="C1088" s="143" t="s">
        <v>1936</v>
      </c>
      <c r="D1088" s="260" t="s">
        <v>302</v>
      </c>
      <c r="E1088" s="250"/>
      <c r="F1088" s="250" t="s">
        <v>447</v>
      </c>
    </row>
    <row r="1089" spans="1:6" s="113" customFormat="1" x14ac:dyDescent="0.25">
      <c r="A1089" s="247">
        <v>2682</v>
      </c>
      <c r="B1089" s="250" t="s">
        <v>1544</v>
      </c>
      <c r="C1089" s="143" t="s">
        <v>38</v>
      </c>
      <c r="D1089" s="260" t="s">
        <v>143</v>
      </c>
      <c r="E1089" s="250"/>
      <c r="F1089" s="250"/>
    </row>
    <row r="1090" spans="1:6" s="113" customFormat="1" x14ac:dyDescent="0.25">
      <c r="A1090" s="247">
        <v>2685</v>
      </c>
      <c r="B1090" s="250" t="s">
        <v>1537</v>
      </c>
      <c r="C1090" s="143" t="s">
        <v>64</v>
      </c>
      <c r="D1090" s="244" t="s">
        <v>1133</v>
      </c>
      <c r="E1090" s="250"/>
      <c r="F1090" s="250"/>
    </row>
    <row r="1091" spans="1:6" s="113" customFormat="1" x14ac:dyDescent="0.25">
      <c r="A1091" s="247">
        <v>2686</v>
      </c>
      <c r="B1091" s="250" t="s">
        <v>2074</v>
      </c>
      <c r="C1091" s="143" t="s">
        <v>107</v>
      </c>
      <c r="D1091" s="260" t="s">
        <v>237</v>
      </c>
      <c r="E1091" s="250"/>
      <c r="F1091" s="250" t="s">
        <v>3109</v>
      </c>
    </row>
    <row r="1092" spans="1:6" s="113" customFormat="1" ht="26.25" x14ac:dyDescent="0.25">
      <c r="A1092" s="247">
        <v>2687</v>
      </c>
      <c r="B1092" s="250" t="s">
        <v>2075</v>
      </c>
      <c r="C1092" s="143" t="s">
        <v>22</v>
      </c>
      <c r="D1092" s="244" t="s">
        <v>242</v>
      </c>
      <c r="E1092" s="250"/>
      <c r="F1092" s="250"/>
    </row>
    <row r="1093" spans="1:6" s="113" customFormat="1" x14ac:dyDescent="0.25">
      <c r="A1093" s="247">
        <v>2688</v>
      </c>
      <c r="B1093" s="250" t="s">
        <v>2076</v>
      </c>
      <c r="C1093" s="143" t="s">
        <v>122</v>
      </c>
      <c r="D1093" s="260" t="s">
        <v>415</v>
      </c>
      <c r="E1093" s="250"/>
      <c r="F1093" s="250"/>
    </row>
    <row r="1094" spans="1:6" s="113" customFormat="1" x14ac:dyDescent="0.25">
      <c r="A1094" s="247">
        <v>2689</v>
      </c>
      <c r="B1094" s="250" t="s">
        <v>1563</v>
      </c>
      <c r="C1094" s="143" t="s">
        <v>36</v>
      </c>
      <c r="D1094" s="260" t="s">
        <v>466</v>
      </c>
      <c r="E1094" s="250"/>
      <c r="F1094" s="250"/>
    </row>
    <row r="1095" spans="1:6" s="113" customFormat="1" ht="26.25" x14ac:dyDescent="0.25">
      <c r="A1095" s="247">
        <v>2690</v>
      </c>
      <c r="B1095" s="250" t="s">
        <v>1555</v>
      </c>
      <c r="C1095" s="143" t="s">
        <v>20</v>
      </c>
      <c r="D1095" s="260" t="s">
        <v>116</v>
      </c>
      <c r="E1095" s="250"/>
      <c r="F1095" s="250"/>
    </row>
    <row r="1096" spans="1:6" s="113" customFormat="1" x14ac:dyDescent="0.25">
      <c r="A1096" s="247">
        <v>2691</v>
      </c>
      <c r="B1096" s="250" t="s">
        <v>2077</v>
      </c>
      <c r="C1096" s="143" t="s">
        <v>195</v>
      </c>
      <c r="D1096" s="260" t="s">
        <v>21</v>
      </c>
      <c r="E1096" s="250"/>
      <c r="F1096" s="250"/>
    </row>
    <row r="1097" spans="1:6" s="113" customFormat="1" x14ac:dyDescent="0.25">
      <c r="A1097" s="247">
        <v>2692</v>
      </c>
      <c r="B1097" s="250" t="s">
        <v>2078</v>
      </c>
      <c r="C1097" s="143" t="s">
        <v>44</v>
      </c>
      <c r="D1097" s="260" t="s">
        <v>551</v>
      </c>
      <c r="E1097" s="250"/>
      <c r="F1097" s="250"/>
    </row>
    <row r="1098" spans="1:6" s="113" customFormat="1" x14ac:dyDescent="0.25">
      <c r="A1098" s="247">
        <v>2693</v>
      </c>
      <c r="B1098" s="250" t="s">
        <v>1573</v>
      </c>
      <c r="C1098" s="143" t="s">
        <v>64</v>
      </c>
      <c r="D1098" s="260" t="s">
        <v>237</v>
      </c>
      <c r="E1098" s="250"/>
      <c r="F1098" s="250"/>
    </row>
    <row r="1099" spans="1:6" s="113" customFormat="1" x14ac:dyDescent="0.25">
      <c r="A1099" s="247">
        <v>2694</v>
      </c>
      <c r="B1099" s="250" t="s">
        <v>1576</v>
      </c>
      <c r="C1099" s="143" t="s">
        <v>36</v>
      </c>
      <c r="D1099" s="260" t="s">
        <v>242</v>
      </c>
      <c r="E1099" s="250"/>
      <c r="F1099" s="250"/>
    </row>
    <row r="1100" spans="1:6" s="113" customFormat="1" x14ac:dyDescent="0.25">
      <c r="A1100" s="247">
        <v>2695</v>
      </c>
      <c r="B1100" s="250" t="s">
        <v>2079</v>
      </c>
      <c r="C1100" s="143" t="s">
        <v>64</v>
      </c>
      <c r="D1100" s="260" t="s">
        <v>504</v>
      </c>
      <c r="E1100" s="250"/>
      <c r="F1100" s="250"/>
    </row>
    <row r="1101" spans="1:6" s="113" customFormat="1" x14ac:dyDescent="0.25">
      <c r="A1101" s="190">
        <v>2697</v>
      </c>
      <c r="B1101" s="188" t="s">
        <v>2504</v>
      </c>
      <c r="C1101" s="146" t="s">
        <v>64</v>
      </c>
      <c r="D1101" s="606" t="s">
        <v>237</v>
      </c>
      <c r="E1101" s="606"/>
      <c r="F1101" s="187"/>
    </row>
    <row r="1102" spans="1:6" s="113" customFormat="1" x14ac:dyDescent="0.25">
      <c r="A1102" s="190">
        <v>2698</v>
      </c>
      <c r="B1102" s="188" t="s">
        <v>2514</v>
      </c>
      <c r="C1102" s="146" t="s">
        <v>36</v>
      </c>
      <c r="D1102" s="244" t="s">
        <v>466</v>
      </c>
      <c r="E1102" s="606"/>
      <c r="F1102" s="187"/>
    </row>
    <row r="1103" spans="1:6" s="113" customFormat="1" x14ac:dyDescent="0.25">
      <c r="A1103" s="190">
        <v>2699</v>
      </c>
      <c r="B1103" s="188" t="s">
        <v>2511</v>
      </c>
      <c r="C1103" s="146" t="s">
        <v>101</v>
      </c>
      <c r="D1103" s="187" t="s">
        <v>504</v>
      </c>
      <c r="E1103" s="606"/>
      <c r="F1103" s="606"/>
    </row>
    <row r="1104" spans="1:6" s="113" customFormat="1" x14ac:dyDescent="0.25">
      <c r="A1104" s="190">
        <v>2700</v>
      </c>
      <c r="B1104" s="188" t="s">
        <v>2518</v>
      </c>
      <c r="C1104" s="146" t="s">
        <v>64</v>
      </c>
      <c r="D1104" s="187" t="s">
        <v>37</v>
      </c>
      <c r="E1104" s="187"/>
      <c r="F1104" s="187"/>
    </row>
    <row r="1105" spans="1:6" s="113" customFormat="1" x14ac:dyDescent="0.25">
      <c r="A1105" s="190">
        <v>2700</v>
      </c>
      <c r="B1105" s="606" t="s">
        <v>2518</v>
      </c>
      <c r="C1105" s="606" t="s">
        <v>120</v>
      </c>
      <c r="D1105" s="606" t="s">
        <v>237</v>
      </c>
      <c r="E1105" s="606"/>
      <c r="F1105" s="606"/>
    </row>
    <row r="1106" spans="1:6" s="113" customFormat="1" x14ac:dyDescent="0.25">
      <c r="A1106" s="190">
        <v>2701</v>
      </c>
      <c r="B1106" s="188" t="s">
        <v>2517</v>
      </c>
      <c r="C1106" s="146" t="s">
        <v>64</v>
      </c>
      <c r="D1106" s="606" t="s">
        <v>504</v>
      </c>
      <c r="E1106" s="606"/>
      <c r="F1106" s="606"/>
    </row>
    <row r="1107" spans="1:6" s="113" customFormat="1" x14ac:dyDescent="0.25">
      <c r="A1107" s="190">
        <v>2702</v>
      </c>
      <c r="B1107" s="188" t="s">
        <v>2520</v>
      </c>
      <c r="C1107" s="146" t="s">
        <v>47</v>
      </c>
      <c r="D1107" s="148" t="s">
        <v>159</v>
      </c>
      <c r="E1107" s="187"/>
      <c r="F1107" s="187"/>
    </row>
    <row r="1108" spans="1:6" s="113" customFormat="1" ht="26.25" x14ac:dyDescent="0.25">
      <c r="A1108" s="190">
        <v>2703</v>
      </c>
      <c r="B1108" s="188" t="s">
        <v>2519</v>
      </c>
      <c r="C1108" s="146" t="s">
        <v>16</v>
      </c>
      <c r="D1108" s="187" t="s">
        <v>302</v>
      </c>
      <c r="E1108" s="606"/>
      <c r="F1108" s="606"/>
    </row>
    <row r="1109" spans="1:6" s="113" customFormat="1" x14ac:dyDescent="0.25">
      <c r="A1109" s="190">
        <v>2704</v>
      </c>
      <c r="B1109" s="188" t="s">
        <v>2526</v>
      </c>
      <c r="C1109" s="146" t="s">
        <v>67</v>
      </c>
      <c r="D1109" s="187" t="s">
        <v>551</v>
      </c>
      <c r="E1109" s="187"/>
      <c r="F1109" s="187"/>
    </row>
    <row r="1110" spans="1:6" s="113" customFormat="1" ht="26.25" x14ac:dyDescent="0.25">
      <c r="A1110" s="190">
        <v>2705</v>
      </c>
      <c r="B1110" s="188" t="s">
        <v>2527</v>
      </c>
      <c r="C1110" s="146" t="s">
        <v>417</v>
      </c>
      <c r="D1110" s="244" t="s">
        <v>501</v>
      </c>
      <c r="E1110" s="187"/>
      <c r="F1110" s="187"/>
    </row>
    <row r="1111" spans="1:6" s="113" customFormat="1" x14ac:dyDescent="0.25">
      <c r="A1111" s="190">
        <v>2706</v>
      </c>
      <c r="B1111" s="188" t="s">
        <v>2535</v>
      </c>
      <c r="C1111" s="146" t="s">
        <v>64</v>
      </c>
      <c r="D1111" s="187" t="s">
        <v>237</v>
      </c>
      <c r="E1111" s="187"/>
      <c r="F1111" s="187"/>
    </row>
    <row r="1112" spans="1:6" s="113" customFormat="1" x14ac:dyDescent="0.25">
      <c r="A1112" s="190">
        <v>2707</v>
      </c>
      <c r="B1112" s="188" t="s">
        <v>2534</v>
      </c>
      <c r="C1112" s="146" t="s">
        <v>64</v>
      </c>
      <c r="D1112" s="262" t="s">
        <v>504</v>
      </c>
      <c r="E1112" s="187"/>
      <c r="F1112" s="187"/>
    </row>
    <row r="1113" spans="1:6" s="113" customFormat="1" x14ac:dyDescent="0.25">
      <c r="A1113" s="190">
        <v>2708</v>
      </c>
      <c r="B1113" s="188" t="s">
        <v>2536</v>
      </c>
      <c r="C1113" s="146" t="s">
        <v>64</v>
      </c>
      <c r="D1113" s="262" t="s">
        <v>504</v>
      </c>
      <c r="E1113" s="187"/>
      <c r="F1113" s="187"/>
    </row>
    <row r="1114" spans="1:6" s="113" customFormat="1" x14ac:dyDescent="0.25">
      <c r="A1114" s="190">
        <v>2709</v>
      </c>
      <c r="B1114" s="188" t="s">
        <v>2537</v>
      </c>
      <c r="C1114" s="146" t="s">
        <v>24</v>
      </c>
      <c r="D1114" s="262" t="s">
        <v>37</v>
      </c>
      <c r="E1114" s="187"/>
      <c r="F1114" s="187"/>
    </row>
    <row r="1115" spans="1:6" s="113" customFormat="1" x14ac:dyDescent="0.25">
      <c r="A1115" s="190">
        <v>2710</v>
      </c>
      <c r="B1115" s="188" t="s">
        <v>2539</v>
      </c>
      <c r="C1115" s="146" t="s">
        <v>140</v>
      </c>
      <c r="D1115" s="262" t="s">
        <v>143</v>
      </c>
      <c r="E1115" s="606"/>
      <c r="F1115" s="606"/>
    </row>
    <row r="1116" spans="1:6" s="113" customFormat="1" x14ac:dyDescent="0.25">
      <c r="A1116" s="190">
        <v>2711</v>
      </c>
      <c r="B1116" s="188" t="s">
        <v>2545</v>
      </c>
      <c r="C1116" s="187" t="s">
        <v>64</v>
      </c>
      <c r="D1116" s="187" t="s">
        <v>237</v>
      </c>
      <c r="E1116" s="187"/>
      <c r="F1116" s="187"/>
    </row>
    <row r="1117" spans="1:6" s="113" customFormat="1" x14ac:dyDescent="0.25">
      <c r="A1117" s="190">
        <v>2713</v>
      </c>
      <c r="B1117" s="188" t="s">
        <v>2552</v>
      </c>
      <c r="C1117" s="187" t="s">
        <v>44</v>
      </c>
      <c r="D1117" s="187" t="s">
        <v>551</v>
      </c>
      <c r="E1117" s="187"/>
      <c r="F1117" s="187"/>
    </row>
    <row r="1118" spans="1:6" s="113" customFormat="1" x14ac:dyDescent="0.25">
      <c r="A1118" s="190">
        <v>2714</v>
      </c>
      <c r="B1118" s="188" t="s">
        <v>2553</v>
      </c>
      <c r="C1118" s="187" t="s">
        <v>64</v>
      </c>
      <c r="D1118" s="187" t="s">
        <v>2554</v>
      </c>
      <c r="E1118" s="187"/>
      <c r="F1118" s="187"/>
    </row>
    <row r="1119" spans="1:6" s="113" customFormat="1" x14ac:dyDescent="0.25">
      <c r="A1119" s="190">
        <v>2715</v>
      </c>
      <c r="B1119" s="188" t="s">
        <v>2551</v>
      </c>
      <c r="C1119" s="187" t="s">
        <v>140</v>
      </c>
      <c r="D1119" s="187" t="s">
        <v>143</v>
      </c>
      <c r="E1119" s="187"/>
      <c r="F1119" s="187"/>
    </row>
    <row r="1120" spans="1:6" s="113" customFormat="1" x14ac:dyDescent="0.25">
      <c r="A1120" s="190">
        <v>2716</v>
      </c>
      <c r="B1120" s="188" t="s">
        <v>2570</v>
      </c>
      <c r="C1120" s="187" t="s">
        <v>36</v>
      </c>
      <c r="D1120" s="244" t="s">
        <v>242</v>
      </c>
      <c r="E1120" s="187"/>
      <c r="F1120" s="187"/>
    </row>
    <row r="1121" spans="1:6" s="113" customFormat="1" x14ac:dyDescent="0.25">
      <c r="A1121" s="190">
        <v>2717</v>
      </c>
      <c r="B1121" s="188" t="s">
        <v>2572</v>
      </c>
      <c r="C1121" s="187" t="s">
        <v>64</v>
      </c>
      <c r="D1121" s="244" t="s">
        <v>228</v>
      </c>
      <c r="E1121" s="606"/>
      <c r="F1121" s="187"/>
    </row>
    <row r="1122" spans="1:6" s="113" customFormat="1" x14ac:dyDescent="0.25">
      <c r="A1122" s="190">
        <v>2719</v>
      </c>
      <c r="B1122" s="188" t="s">
        <v>2573</v>
      </c>
      <c r="C1122" s="187" t="s">
        <v>41</v>
      </c>
      <c r="D1122" s="244" t="s">
        <v>242</v>
      </c>
      <c r="E1122" s="189"/>
      <c r="F1122" s="187"/>
    </row>
    <row r="1123" spans="1:6" s="113" customFormat="1" x14ac:dyDescent="0.25">
      <c r="A1123" s="190">
        <v>2720</v>
      </c>
      <c r="B1123" s="188" t="s">
        <v>2578</v>
      </c>
      <c r="C1123" s="187" t="s">
        <v>47</v>
      </c>
      <c r="D1123" s="244" t="s">
        <v>269</v>
      </c>
      <c r="E1123" s="189"/>
      <c r="F1123" s="187"/>
    </row>
    <row r="1124" spans="1:6" s="113" customFormat="1" x14ac:dyDescent="0.25">
      <c r="A1124" s="190">
        <v>2721</v>
      </c>
      <c r="B1124" s="188" t="s">
        <v>2579</v>
      </c>
      <c r="C1124" s="187" t="s">
        <v>44</v>
      </c>
      <c r="D1124" s="244" t="s">
        <v>116</v>
      </c>
      <c r="E1124" s="189"/>
      <c r="F1124" s="187"/>
    </row>
    <row r="1125" spans="1:6" s="113" customFormat="1" x14ac:dyDescent="0.25">
      <c r="A1125" s="190">
        <v>2722</v>
      </c>
      <c r="B1125" s="188" t="s">
        <v>2580</v>
      </c>
      <c r="C1125" s="187" t="s">
        <v>20</v>
      </c>
      <c r="D1125" s="244" t="s">
        <v>302</v>
      </c>
      <c r="E1125" s="189"/>
      <c r="F1125" s="187"/>
    </row>
    <row r="1126" spans="1:6" s="113" customFormat="1" x14ac:dyDescent="0.25">
      <c r="A1126" s="190">
        <v>2723</v>
      </c>
      <c r="B1126" s="188" t="s">
        <v>2575</v>
      </c>
      <c r="C1126" s="187" t="s">
        <v>47</v>
      </c>
      <c r="D1126" s="244" t="s">
        <v>159</v>
      </c>
      <c r="E1126" s="189"/>
      <c r="F1126" s="606"/>
    </row>
    <row r="1127" spans="1:6" s="113" customFormat="1" x14ac:dyDescent="0.25">
      <c r="A1127" s="190">
        <v>2724</v>
      </c>
      <c r="B1127" s="188" t="s">
        <v>2589</v>
      </c>
      <c r="C1127" s="187" t="s">
        <v>417</v>
      </c>
      <c r="D1127" s="244" t="s">
        <v>501</v>
      </c>
      <c r="E1127" s="189"/>
      <c r="F1127" s="187"/>
    </row>
    <row r="1128" spans="1:6" s="113" customFormat="1" x14ac:dyDescent="0.25">
      <c r="A1128" s="190">
        <v>2725</v>
      </c>
      <c r="B1128" s="188" t="s">
        <v>2590</v>
      </c>
      <c r="C1128" s="146" t="s">
        <v>64</v>
      </c>
      <c r="D1128" s="148" t="s">
        <v>1133</v>
      </c>
      <c r="E1128" s="189"/>
      <c r="F1128" s="187"/>
    </row>
    <row r="1129" spans="1:6" s="113" customFormat="1" x14ac:dyDescent="0.25">
      <c r="A1129" s="187">
        <v>2726</v>
      </c>
      <c r="B1129" s="188" t="s">
        <v>2601</v>
      </c>
      <c r="C1129" s="146" t="s">
        <v>1455</v>
      </c>
      <c r="D1129" s="244" t="s">
        <v>415</v>
      </c>
      <c r="E1129" s="189"/>
      <c r="F1129" s="187"/>
    </row>
    <row r="1130" spans="1:6" s="113" customFormat="1" x14ac:dyDescent="0.25">
      <c r="A1130" s="261">
        <v>2727</v>
      </c>
      <c r="B1130" s="188" t="s">
        <v>2603</v>
      </c>
      <c r="C1130" s="146" t="s">
        <v>38</v>
      </c>
      <c r="D1130" s="606" t="s">
        <v>109</v>
      </c>
      <c r="E1130" s="189"/>
      <c r="F1130" s="187"/>
    </row>
    <row r="1131" spans="1:6" s="113" customFormat="1" x14ac:dyDescent="0.25">
      <c r="A1131" s="261">
        <v>2729</v>
      </c>
      <c r="B1131" s="188" t="s">
        <v>2612</v>
      </c>
      <c r="C1131" s="146" t="s">
        <v>64</v>
      </c>
      <c r="D1131" s="187" t="s">
        <v>504</v>
      </c>
      <c r="E1131" s="189"/>
      <c r="F1131" s="187"/>
    </row>
    <row r="1132" spans="1:6" s="113" customFormat="1" x14ac:dyDescent="0.25">
      <c r="A1132" s="190">
        <v>2736</v>
      </c>
      <c r="B1132" s="187" t="s">
        <v>2633</v>
      </c>
      <c r="C1132" s="187" t="s">
        <v>20</v>
      </c>
      <c r="D1132" s="187" t="s">
        <v>302</v>
      </c>
      <c r="E1132" s="189"/>
      <c r="F1132" s="606"/>
    </row>
    <row r="1133" spans="1:6" s="113" customFormat="1" x14ac:dyDescent="0.25">
      <c r="A1133" s="190">
        <v>2739</v>
      </c>
      <c r="B1133" s="263" t="s">
        <v>2640</v>
      </c>
      <c r="C1133" s="606" t="s">
        <v>64</v>
      </c>
      <c r="D1133" s="606" t="s">
        <v>504</v>
      </c>
      <c r="E1133" s="189"/>
      <c r="F1133" s="606"/>
    </row>
    <row r="1134" spans="1:6" s="113" customFormat="1" x14ac:dyDescent="0.25">
      <c r="A1134" s="187">
        <v>2740</v>
      </c>
      <c r="B1134" s="606" t="s">
        <v>2659</v>
      </c>
      <c r="C1134" s="606" t="s">
        <v>64</v>
      </c>
      <c r="D1134" s="606" t="s">
        <v>237</v>
      </c>
      <c r="E1134" s="189"/>
      <c r="F1134" s="187"/>
    </row>
    <row r="1135" spans="1:6" s="113" customFormat="1" x14ac:dyDescent="0.25">
      <c r="A1135" s="187">
        <v>2741</v>
      </c>
      <c r="B1135" s="606" t="s">
        <v>2662</v>
      </c>
      <c r="C1135" s="606" t="s">
        <v>73</v>
      </c>
      <c r="D1135" s="244" t="s">
        <v>116</v>
      </c>
      <c r="E1135" s="189"/>
      <c r="F1135" s="187"/>
    </row>
    <row r="1136" spans="1:6" s="113" customFormat="1" x14ac:dyDescent="0.25">
      <c r="A1136" s="187">
        <v>2743</v>
      </c>
      <c r="B1136" s="187" t="s">
        <v>2679</v>
      </c>
      <c r="C1136" s="187" t="s">
        <v>101</v>
      </c>
      <c r="D1136" s="187" t="s">
        <v>504</v>
      </c>
      <c r="E1136" s="189"/>
      <c r="F1136" s="187"/>
    </row>
    <row r="1137" spans="1:6" s="113" customFormat="1" x14ac:dyDescent="0.25">
      <c r="A1137" s="195">
        <v>2743</v>
      </c>
      <c r="B1137" s="188" t="s">
        <v>2679</v>
      </c>
      <c r="C1137" s="146" t="s">
        <v>101</v>
      </c>
      <c r="D1137" s="146" t="s">
        <v>504</v>
      </c>
      <c r="E1137" s="606"/>
      <c r="F1137" s="606"/>
    </row>
    <row r="1138" spans="1:6" s="113" customFormat="1" x14ac:dyDescent="0.25">
      <c r="A1138" s="168">
        <v>2745</v>
      </c>
      <c r="B1138" s="187" t="s">
        <v>2690</v>
      </c>
      <c r="C1138" s="187" t="s">
        <v>101</v>
      </c>
      <c r="D1138" s="187" t="s">
        <v>504</v>
      </c>
      <c r="E1138" s="606"/>
      <c r="F1138" s="187"/>
    </row>
    <row r="1139" spans="1:6" s="113" customFormat="1" x14ac:dyDescent="0.25">
      <c r="A1139" s="180">
        <v>2749</v>
      </c>
      <c r="B1139" s="187" t="s">
        <v>2699</v>
      </c>
      <c r="C1139" s="187" t="s">
        <v>47</v>
      </c>
      <c r="D1139" s="187" t="s">
        <v>269</v>
      </c>
      <c r="E1139" s="606"/>
      <c r="F1139" s="606"/>
    </row>
    <row r="1140" spans="1:6" s="113" customFormat="1" x14ac:dyDescent="0.25">
      <c r="A1140" s="180">
        <v>2750</v>
      </c>
      <c r="B1140" s="187" t="s">
        <v>2700</v>
      </c>
      <c r="C1140" s="187" t="s">
        <v>417</v>
      </c>
      <c r="D1140" s="187" t="s">
        <v>504</v>
      </c>
      <c r="E1140" s="606"/>
      <c r="F1140" s="606"/>
    </row>
    <row r="1141" spans="1:6" s="113" customFormat="1" x14ac:dyDescent="0.25">
      <c r="A1141" s="180">
        <v>2751</v>
      </c>
      <c r="B1141" s="187" t="s">
        <v>2702</v>
      </c>
      <c r="C1141" s="187" t="s">
        <v>417</v>
      </c>
      <c r="D1141" s="187" t="s">
        <v>7</v>
      </c>
      <c r="E1141" s="606"/>
      <c r="F1141" s="606"/>
    </row>
    <row r="1142" spans="1:6" s="113" customFormat="1" x14ac:dyDescent="0.25">
      <c r="A1142" s="180">
        <v>2752</v>
      </c>
      <c r="B1142" s="187" t="s">
        <v>2701</v>
      </c>
      <c r="C1142" s="187" t="s">
        <v>64</v>
      </c>
      <c r="D1142" s="187" t="s">
        <v>504</v>
      </c>
      <c r="E1142" s="606"/>
      <c r="F1142" s="606"/>
    </row>
    <row r="1143" spans="1:6" s="113" customFormat="1" x14ac:dyDescent="0.25">
      <c r="A1143" s="245">
        <v>2754</v>
      </c>
      <c r="B1143" s="246" t="s">
        <v>2704</v>
      </c>
      <c r="C1143" s="246" t="s">
        <v>44</v>
      </c>
      <c r="D1143" s="246" t="s">
        <v>148</v>
      </c>
      <c r="E1143" s="246"/>
      <c r="F1143" s="246"/>
    </row>
    <row r="1144" spans="1:6" s="113" customFormat="1" x14ac:dyDescent="0.25">
      <c r="A1144" s="245">
        <v>2755</v>
      </c>
      <c r="B1144" s="246" t="s">
        <v>3140</v>
      </c>
      <c r="C1144" s="246" t="s">
        <v>22</v>
      </c>
      <c r="D1144" s="246" t="s">
        <v>116</v>
      </c>
      <c r="E1144" s="246"/>
      <c r="F1144" s="246"/>
    </row>
    <row r="1145" spans="1:6" s="113" customFormat="1" x14ac:dyDescent="0.25">
      <c r="A1145" s="245">
        <v>2756</v>
      </c>
      <c r="B1145" s="246" t="s">
        <v>2706</v>
      </c>
      <c r="C1145" s="246" t="s">
        <v>64</v>
      </c>
      <c r="D1145" s="246" t="s">
        <v>237</v>
      </c>
      <c r="E1145" s="246"/>
      <c r="F1145" s="246"/>
    </row>
    <row r="1146" spans="1:6" s="113" customFormat="1" x14ac:dyDescent="0.25">
      <c r="A1146" s="245">
        <v>2757</v>
      </c>
      <c r="B1146" s="246" t="s">
        <v>2709</v>
      </c>
      <c r="C1146" s="146" t="s">
        <v>36</v>
      </c>
      <c r="D1146" s="244" t="s">
        <v>466</v>
      </c>
      <c r="E1146" s="246"/>
      <c r="F1146" s="246"/>
    </row>
    <row r="1147" spans="1:6" s="113" customFormat="1" x14ac:dyDescent="0.25">
      <c r="A1147" s="245">
        <v>2758</v>
      </c>
      <c r="B1147" s="246" t="s">
        <v>2708</v>
      </c>
      <c r="C1147" s="246" t="s">
        <v>64</v>
      </c>
      <c r="D1147" s="246" t="s">
        <v>504</v>
      </c>
      <c r="E1147" s="246"/>
      <c r="F1147" s="246"/>
    </row>
    <row r="1148" spans="1:6" s="113" customFormat="1" x14ac:dyDescent="0.25">
      <c r="A1148" s="187">
        <v>2760</v>
      </c>
      <c r="B1148" s="188" t="s">
        <v>2718</v>
      </c>
      <c r="C1148" s="146" t="s">
        <v>64</v>
      </c>
      <c r="D1148" s="148" t="s">
        <v>237</v>
      </c>
      <c r="E1148" s="606"/>
      <c r="F1148" s="606"/>
    </row>
    <row r="1149" spans="1:6" s="113" customFormat="1" x14ac:dyDescent="0.25">
      <c r="A1149" s="187">
        <v>2766</v>
      </c>
      <c r="B1149" s="188" t="s">
        <v>2722</v>
      </c>
      <c r="C1149" s="146" t="s">
        <v>47</v>
      </c>
      <c r="D1149" s="148" t="s">
        <v>179</v>
      </c>
      <c r="E1149" s="189"/>
      <c r="F1149" s="189"/>
    </row>
    <row r="1150" spans="1:6" s="113" customFormat="1" x14ac:dyDescent="0.25">
      <c r="A1150" s="190">
        <v>2771</v>
      </c>
      <c r="B1150" s="606" t="s">
        <v>2745</v>
      </c>
      <c r="C1150" s="606" t="s">
        <v>140</v>
      </c>
      <c r="D1150" s="606" t="s">
        <v>453</v>
      </c>
      <c r="E1150" s="189"/>
      <c r="F1150" s="189"/>
    </row>
    <row r="1151" spans="1:6" s="113" customFormat="1" x14ac:dyDescent="0.25">
      <c r="A1151" s="190">
        <v>2772</v>
      </c>
      <c r="B1151" s="606" t="s">
        <v>2746</v>
      </c>
      <c r="C1151" s="606" t="s">
        <v>417</v>
      </c>
      <c r="D1151" s="606" t="s">
        <v>501</v>
      </c>
      <c r="E1151" s="189"/>
      <c r="F1151" s="189"/>
    </row>
    <row r="1152" spans="1:6" s="113" customFormat="1" x14ac:dyDescent="0.25">
      <c r="A1152" s="190">
        <v>2773</v>
      </c>
      <c r="B1152" s="606" t="s">
        <v>2741</v>
      </c>
      <c r="C1152" s="606" t="s">
        <v>47</v>
      </c>
      <c r="D1152" s="606" t="s">
        <v>159</v>
      </c>
      <c r="E1152" s="189"/>
      <c r="F1152" s="189"/>
    </row>
    <row r="1153" spans="1:8" s="113" customFormat="1" x14ac:dyDescent="0.25">
      <c r="A1153" s="187">
        <v>2773</v>
      </c>
      <c r="B1153" s="188" t="s">
        <v>2741</v>
      </c>
      <c r="C1153" s="146" t="s">
        <v>47</v>
      </c>
      <c r="D1153" s="146" t="s">
        <v>159</v>
      </c>
      <c r="E1153" s="189"/>
      <c r="F1153" s="189"/>
    </row>
    <row r="1154" spans="1:8" s="113" customFormat="1" ht="26.25" x14ac:dyDescent="0.25">
      <c r="A1154" s="187">
        <v>2774</v>
      </c>
      <c r="B1154" s="188" t="s">
        <v>2754</v>
      </c>
      <c r="C1154" s="146" t="s">
        <v>417</v>
      </c>
      <c r="D1154" s="146" t="s">
        <v>504</v>
      </c>
      <c r="E1154" s="189"/>
      <c r="F1154" s="189"/>
    </row>
    <row r="1155" spans="1:8" s="113" customFormat="1" ht="26.25" x14ac:dyDescent="0.25">
      <c r="A1155" s="187">
        <v>2775</v>
      </c>
      <c r="B1155" s="188" t="s">
        <v>2756</v>
      </c>
      <c r="C1155" s="146" t="s">
        <v>20</v>
      </c>
      <c r="D1155" s="146" t="s">
        <v>302</v>
      </c>
      <c r="E1155" s="189"/>
      <c r="F1155" s="189"/>
    </row>
    <row r="1156" spans="1:8" s="113" customFormat="1" ht="26.25" x14ac:dyDescent="0.25">
      <c r="A1156" s="187">
        <v>2776</v>
      </c>
      <c r="B1156" s="188" t="s">
        <v>2757</v>
      </c>
      <c r="C1156" s="146" t="s">
        <v>22</v>
      </c>
      <c r="D1156" s="146" t="s">
        <v>116</v>
      </c>
      <c r="E1156" s="189"/>
      <c r="F1156" s="189"/>
    </row>
    <row r="1157" spans="1:8" s="113" customFormat="1" x14ac:dyDescent="0.25">
      <c r="A1157" s="187">
        <v>2778</v>
      </c>
      <c r="B1157" s="188" t="s">
        <v>2768</v>
      </c>
      <c r="C1157" s="146" t="s">
        <v>24</v>
      </c>
      <c r="D1157" s="148" t="s">
        <v>37</v>
      </c>
      <c r="E1157" s="189"/>
      <c r="F1157" s="189"/>
    </row>
    <row r="1158" spans="1:8" s="113" customFormat="1" x14ac:dyDescent="0.25">
      <c r="A1158" s="187">
        <v>2778</v>
      </c>
      <c r="B1158" s="188" t="s">
        <v>2768</v>
      </c>
      <c r="C1158" s="146" t="s">
        <v>24</v>
      </c>
      <c r="D1158" s="148" t="s">
        <v>37</v>
      </c>
      <c r="E1158" s="189"/>
      <c r="F1158" s="189"/>
      <c r="H1158" s="194"/>
    </row>
    <row r="1159" spans="1:8" s="113" customFormat="1" ht="26.25" x14ac:dyDescent="0.25">
      <c r="A1159" s="187">
        <v>2779</v>
      </c>
      <c r="B1159" s="188" t="s">
        <v>2762</v>
      </c>
      <c r="C1159" s="146" t="s">
        <v>22</v>
      </c>
      <c r="D1159" s="146" t="s">
        <v>501</v>
      </c>
      <c r="E1159" s="189"/>
      <c r="F1159" s="189"/>
    </row>
    <row r="1160" spans="1:8" s="113" customFormat="1" ht="26.25" x14ac:dyDescent="0.25">
      <c r="A1160" s="187">
        <v>2779</v>
      </c>
      <c r="B1160" s="188" t="s">
        <v>2762</v>
      </c>
      <c r="C1160" s="146" t="s">
        <v>22</v>
      </c>
      <c r="D1160" s="148" t="s">
        <v>501</v>
      </c>
      <c r="E1160" s="189"/>
      <c r="F1160" s="606"/>
    </row>
    <row r="1161" spans="1:8" s="113" customFormat="1" x14ac:dyDescent="0.25">
      <c r="A1161" s="187">
        <v>2780</v>
      </c>
      <c r="B1161" s="188" t="s">
        <v>2763</v>
      </c>
      <c r="C1161" s="146" t="s">
        <v>140</v>
      </c>
      <c r="D1161" s="146" t="s">
        <v>453</v>
      </c>
      <c r="E1161" s="189"/>
      <c r="F1161" s="606"/>
    </row>
    <row r="1162" spans="1:8" s="113" customFormat="1" x14ac:dyDescent="0.25">
      <c r="A1162" s="187">
        <v>2780</v>
      </c>
      <c r="B1162" s="188" t="s">
        <v>2763</v>
      </c>
      <c r="C1162" s="146" t="s">
        <v>140</v>
      </c>
      <c r="D1162" s="148" t="s">
        <v>453</v>
      </c>
      <c r="E1162" s="189"/>
      <c r="F1162" s="189"/>
    </row>
    <row r="1163" spans="1:8" s="113" customFormat="1" x14ac:dyDescent="0.25">
      <c r="A1163" s="190">
        <v>2781</v>
      </c>
      <c r="B1163" s="606" t="s">
        <v>2783</v>
      </c>
      <c r="C1163" s="606" t="s">
        <v>101</v>
      </c>
      <c r="D1163" s="606" t="s">
        <v>504</v>
      </c>
      <c r="E1163" s="189"/>
      <c r="F1163" s="606"/>
    </row>
    <row r="1164" spans="1:8" s="113" customFormat="1" ht="39" x14ac:dyDescent="0.25">
      <c r="A1164" s="187">
        <v>2782</v>
      </c>
      <c r="B1164" s="188" t="s">
        <v>2791</v>
      </c>
      <c r="C1164" s="146" t="s">
        <v>1935</v>
      </c>
      <c r="D1164" s="148" t="s">
        <v>302</v>
      </c>
      <c r="E1164" s="189"/>
      <c r="F1164" s="606"/>
      <c r="H1164" s="194"/>
    </row>
    <row r="1165" spans="1:8" s="113" customFormat="1" x14ac:dyDescent="0.25">
      <c r="A1165" s="190">
        <v>2784</v>
      </c>
      <c r="B1165" s="606" t="s">
        <v>2810</v>
      </c>
      <c r="C1165" s="606" t="s">
        <v>417</v>
      </c>
      <c r="D1165" s="606" t="s">
        <v>504</v>
      </c>
      <c r="E1165" s="189"/>
      <c r="F1165" s="189"/>
    </row>
    <row r="1166" spans="1:8" s="113" customFormat="1" x14ac:dyDescent="0.25">
      <c r="A1166" s="195">
        <v>2784</v>
      </c>
      <c r="B1166" s="187" t="s">
        <v>3048</v>
      </c>
      <c r="C1166" s="187" t="s">
        <v>417</v>
      </c>
      <c r="D1166" s="146" t="s">
        <v>504</v>
      </c>
      <c r="E1166" s="189"/>
      <c r="F1166" s="187"/>
    </row>
    <row r="1167" spans="1:8" s="113" customFormat="1" x14ac:dyDescent="0.25">
      <c r="A1167" s="190">
        <v>2785</v>
      </c>
      <c r="B1167" s="187" t="s">
        <v>2828</v>
      </c>
      <c r="C1167" s="187" t="s">
        <v>38</v>
      </c>
      <c r="D1167" s="606" t="s">
        <v>148</v>
      </c>
      <c r="E1167" s="189"/>
      <c r="F1167" s="606"/>
    </row>
    <row r="1168" spans="1:8" s="113" customFormat="1" x14ac:dyDescent="0.25">
      <c r="A1168" s="190">
        <v>2786</v>
      </c>
      <c r="B1168" s="187" t="s">
        <v>2829</v>
      </c>
      <c r="C1168" s="187" t="s">
        <v>44</v>
      </c>
      <c r="D1168" s="189" t="s">
        <v>504</v>
      </c>
      <c r="E1168" s="189"/>
      <c r="F1168" s="189"/>
    </row>
    <row r="1169" spans="1:8" s="113" customFormat="1" x14ac:dyDescent="0.25">
      <c r="A1169" s="195">
        <v>2786</v>
      </c>
      <c r="B1169" s="188" t="s">
        <v>2829</v>
      </c>
      <c r="C1169" s="146" t="s">
        <v>44</v>
      </c>
      <c r="D1169" s="146" t="s">
        <v>504</v>
      </c>
      <c r="E1169" s="189"/>
      <c r="F1169" s="187"/>
    </row>
    <row r="1170" spans="1:8" s="113" customFormat="1" x14ac:dyDescent="0.25">
      <c r="A1170" s="190">
        <v>2787</v>
      </c>
      <c r="B1170" s="187" t="s">
        <v>2830</v>
      </c>
      <c r="C1170" s="187" t="s">
        <v>22</v>
      </c>
      <c r="D1170" s="606" t="s">
        <v>268</v>
      </c>
      <c r="E1170" s="189"/>
      <c r="F1170" s="606"/>
    </row>
    <row r="1171" spans="1:8" s="113" customFormat="1" x14ac:dyDescent="0.25">
      <c r="A1171" s="190">
        <v>2792</v>
      </c>
      <c r="B1171" s="606" t="s">
        <v>2903</v>
      </c>
      <c r="C1171" s="606" t="s">
        <v>64</v>
      </c>
      <c r="D1171" s="189" t="s">
        <v>237</v>
      </c>
      <c r="E1171" s="189"/>
      <c r="F1171" s="189"/>
    </row>
    <row r="1172" spans="1:8" s="113" customFormat="1" x14ac:dyDescent="0.25">
      <c r="A1172" s="190">
        <v>2793</v>
      </c>
      <c r="B1172" s="189" t="s">
        <v>2898</v>
      </c>
      <c r="C1172" s="189" t="s">
        <v>64</v>
      </c>
      <c r="D1172" s="189" t="s">
        <v>237</v>
      </c>
      <c r="E1172" s="189"/>
      <c r="F1172" s="189"/>
    </row>
    <row r="1173" spans="1:8" s="113" customFormat="1" x14ac:dyDescent="0.25">
      <c r="A1173" s="190">
        <v>2793</v>
      </c>
      <c r="B1173" s="189" t="s">
        <v>2898</v>
      </c>
      <c r="C1173" s="189" t="s">
        <v>64</v>
      </c>
      <c r="D1173" s="189" t="s">
        <v>237</v>
      </c>
      <c r="E1173" s="189"/>
      <c r="F1173" s="189"/>
    </row>
    <row r="1174" spans="1:8" s="113" customFormat="1" x14ac:dyDescent="0.25">
      <c r="A1174" s="190">
        <v>2794</v>
      </c>
      <c r="B1174" s="189" t="s">
        <v>2900</v>
      </c>
      <c r="C1174" s="189" t="s">
        <v>36</v>
      </c>
      <c r="D1174" s="189" t="s">
        <v>302</v>
      </c>
      <c r="E1174" s="189"/>
      <c r="F1174" s="189"/>
      <c r="H1174" s="194"/>
    </row>
    <row r="1175" spans="1:8" s="113" customFormat="1" x14ac:dyDescent="0.25">
      <c r="A1175" s="190">
        <v>2796</v>
      </c>
      <c r="B1175" s="606" t="s">
        <v>2915</v>
      </c>
      <c r="C1175" s="606" t="s">
        <v>47</v>
      </c>
      <c r="D1175" s="606" t="s">
        <v>159</v>
      </c>
      <c r="E1175" s="189"/>
      <c r="F1175" s="606"/>
      <c r="G1175" s="194"/>
    </row>
    <row r="1176" spans="1:8" s="113" customFormat="1" x14ac:dyDescent="0.25">
      <c r="A1176" s="190">
        <v>2797</v>
      </c>
      <c r="B1176" s="606" t="s">
        <v>2914</v>
      </c>
      <c r="C1176" s="606" t="s">
        <v>24</v>
      </c>
      <c r="D1176" s="606" t="s">
        <v>37</v>
      </c>
      <c r="E1176" s="189"/>
      <c r="F1176" s="606"/>
    </row>
    <row r="1177" spans="1:8" s="113" customFormat="1" x14ac:dyDescent="0.25">
      <c r="A1177" s="190">
        <v>2799</v>
      </c>
      <c r="B1177" s="606" t="s">
        <v>2916</v>
      </c>
      <c r="C1177" s="606" t="s">
        <v>6</v>
      </c>
      <c r="D1177" s="606" t="s">
        <v>154</v>
      </c>
      <c r="E1177" s="189"/>
      <c r="F1177" s="606"/>
    </row>
    <row r="1178" spans="1:8" s="113" customFormat="1" x14ac:dyDescent="0.25">
      <c r="A1178" s="190">
        <v>2799</v>
      </c>
      <c r="B1178" s="189" t="s">
        <v>2916</v>
      </c>
      <c r="C1178" s="189" t="s">
        <v>6</v>
      </c>
      <c r="D1178" s="606" t="s">
        <v>7</v>
      </c>
      <c r="E1178" s="189"/>
      <c r="F1178" s="189"/>
    </row>
    <row r="1179" spans="1:8" s="113" customFormat="1" x14ac:dyDescent="0.25">
      <c r="A1179" s="190">
        <v>2800</v>
      </c>
      <c r="B1179" s="606" t="s">
        <v>2913</v>
      </c>
      <c r="C1179" s="606" t="s">
        <v>47</v>
      </c>
      <c r="D1179" s="606" t="s">
        <v>159</v>
      </c>
      <c r="E1179" s="606"/>
      <c r="F1179" s="606"/>
    </row>
    <row r="1180" spans="1:8" s="113" customFormat="1" x14ac:dyDescent="0.25">
      <c r="A1180" s="190">
        <v>2801</v>
      </c>
      <c r="B1180" s="606" t="s">
        <v>2931</v>
      </c>
      <c r="C1180" s="606" t="s">
        <v>47</v>
      </c>
      <c r="D1180" s="606" t="s">
        <v>179</v>
      </c>
      <c r="E1180" s="606"/>
      <c r="F1180" s="606"/>
    </row>
    <row r="1181" spans="1:8" s="113" customFormat="1" x14ac:dyDescent="0.25">
      <c r="A1181" s="195">
        <v>2801</v>
      </c>
      <c r="B1181" s="187" t="s">
        <v>2931</v>
      </c>
      <c r="C1181" s="187" t="s">
        <v>47</v>
      </c>
      <c r="D1181" s="148" t="s">
        <v>159</v>
      </c>
      <c r="E1181" s="189"/>
      <c r="F1181" s="187"/>
      <c r="G1181" s="194"/>
    </row>
    <row r="1182" spans="1:8" s="113" customFormat="1" x14ac:dyDescent="0.25">
      <c r="A1182" s="195">
        <v>2802</v>
      </c>
      <c r="B1182" s="188" t="s">
        <v>2946</v>
      </c>
      <c r="C1182" s="146" t="s">
        <v>36</v>
      </c>
      <c r="D1182" s="146" t="s">
        <v>1131</v>
      </c>
      <c r="E1182" s="189"/>
      <c r="F1182" s="187"/>
    </row>
    <row r="1183" spans="1:8" s="113" customFormat="1" x14ac:dyDescent="0.25">
      <c r="A1183" s="190">
        <v>2813</v>
      </c>
      <c r="B1183" s="606" t="s">
        <v>2937</v>
      </c>
      <c r="C1183" s="606" t="s">
        <v>36</v>
      </c>
      <c r="D1183" s="146" t="s">
        <v>242</v>
      </c>
      <c r="E1183" s="189"/>
      <c r="F1183" s="606" t="s">
        <v>2938</v>
      </c>
    </row>
    <row r="1184" spans="1:8" s="113" customFormat="1" x14ac:dyDescent="0.25">
      <c r="A1184" s="190">
        <v>2814</v>
      </c>
      <c r="B1184" s="606" t="s">
        <v>3164</v>
      </c>
      <c r="C1184" s="606" t="s">
        <v>22</v>
      </c>
      <c r="D1184" s="606" t="s">
        <v>116</v>
      </c>
      <c r="E1184" s="189"/>
      <c r="F1184" s="606"/>
    </row>
    <row r="1185" spans="1:8" s="113" customFormat="1" x14ac:dyDescent="0.25">
      <c r="A1185" s="187">
        <v>2814</v>
      </c>
      <c r="B1185" s="187" t="s">
        <v>3164</v>
      </c>
      <c r="C1185" s="187" t="s">
        <v>22</v>
      </c>
      <c r="D1185" s="187" t="s">
        <v>116</v>
      </c>
      <c r="E1185" s="187"/>
      <c r="F1185" s="187"/>
    </row>
    <row r="1186" spans="1:8" s="113" customFormat="1" x14ac:dyDescent="0.25">
      <c r="A1186" s="190">
        <v>2820</v>
      </c>
      <c r="B1186" s="606" t="s">
        <v>3268</v>
      </c>
      <c r="C1186" s="606" t="s">
        <v>122</v>
      </c>
      <c r="D1186" s="606" t="s">
        <v>415</v>
      </c>
      <c r="E1186" s="606"/>
      <c r="F1186" s="606"/>
      <c r="G1186" s="607"/>
    </row>
    <row r="1187" spans="1:8" s="113" customFormat="1" x14ac:dyDescent="0.25">
      <c r="A1187" s="190">
        <v>2820</v>
      </c>
      <c r="B1187" s="606" t="s">
        <v>3268</v>
      </c>
      <c r="C1187" s="606" t="s">
        <v>122</v>
      </c>
      <c r="D1187" s="606" t="s">
        <v>415</v>
      </c>
      <c r="E1187" s="606"/>
      <c r="F1187" s="606"/>
    </row>
    <row r="1188" spans="1:8" s="113" customFormat="1" x14ac:dyDescent="0.25">
      <c r="A1188" s="190">
        <v>2822</v>
      </c>
      <c r="B1188" s="606" t="s">
        <v>2940</v>
      </c>
      <c r="C1188" s="606" t="s">
        <v>599</v>
      </c>
      <c r="D1188" s="146" t="s">
        <v>11</v>
      </c>
      <c r="E1188" s="606"/>
      <c r="F1188" s="606"/>
    </row>
    <row r="1189" spans="1:8" s="113" customFormat="1" x14ac:dyDescent="0.25">
      <c r="A1189" s="195">
        <v>2822</v>
      </c>
      <c r="B1189" s="188" t="s">
        <v>2940</v>
      </c>
      <c r="C1189" s="146" t="s">
        <v>599</v>
      </c>
      <c r="D1189" s="146" t="s">
        <v>11</v>
      </c>
      <c r="E1189" s="606"/>
      <c r="F1189" s="187"/>
    </row>
    <row r="1190" spans="1:8" s="113" customFormat="1" x14ac:dyDescent="0.25">
      <c r="A1190" s="190">
        <v>2824</v>
      </c>
      <c r="B1190" s="606" t="s">
        <v>3163</v>
      </c>
      <c r="C1190" s="606" t="s">
        <v>417</v>
      </c>
      <c r="D1190" s="606" t="s">
        <v>242</v>
      </c>
      <c r="E1190" s="189"/>
      <c r="F1190" s="606"/>
    </row>
    <row r="1191" spans="1:8" s="113" customFormat="1" x14ac:dyDescent="0.25">
      <c r="A1191" s="190">
        <v>2825</v>
      </c>
      <c r="B1191" s="606" t="s">
        <v>3072</v>
      </c>
      <c r="C1191" s="606" t="s">
        <v>1455</v>
      </c>
      <c r="D1191" s="606" t="s">
        <v>415</v>
      </c>
      <c r="E1191" s="189"/>
      <c r="F1191" s="606"/>
    </row>
    <row r="1192" spans="1:8" s="113" customFormat="1" x14ac:dyDescent="0.25">
      <c r="A1192" s="187">
        <v>2825</v>
      </c>
      <c r="B1192" s="187" t="s">
        <v>3072</v>
      </c>
      <c r="C1192" s="187" t="s">
        <v>1455</v>
      </c>
      <c r="D1192" s="187" t="s">
        <v>415</v>
      </c>
      <c r="E1192" s="187"/>
      <c r="F1192" s="187"/>
    </row>
    <row r="1193" spans="1:8" s="113" customFormat="1" x14ac:dyDescent="0.25">
      <c r="A1193" s="190">
        <v>2826</v>
      </c>
      <c r="B1193" s="606" t="s">
        <v>3189</v>
      </c>
      <c r="C1193" s="606" t="s">
        <v>64</v>
      </c>
      <c r="D1193" s="606" t="s">
        <v>237</v>
      </c>
      <c r="E1193" s="606"/>
      <c r="F1193" s="606"/>
      <c r="G1193" s="194"/>
    </row>
    <row r="1194" spans="1:8" s="113" customFormat="1" x14ac:dyDescent="0.25">
      <c r="A1194" s="187">
        <v>2828</v>
      </c>
      <c r="B1194" s="187" t="s">
        <v>3629</v>
      </c>
      <c r="C1194" s="187" t="s">
        <v>64</v>
      </c>
      <c r="D1194" s="187" t="s">
        <v>504</v>
      </c>
      <c r="E1194" s="187"/>
      <c r="F1194" s="187"/>
    </row>
    <row r="1195" spans="1:8" s="113" customFormat="1" x14ac:dyDescent="0.25">
      <c r="A1195" s="190">
        <v>2829</v>
      </c>
      <c r="B1195" s="606" t="s">
        <v>3592</v>
      </c>
      <c r="C1195" s="606" t="s">
        <v>67</v>
      </c>
      <c r="D1195" s="606" t="s">
        <v>290</v>
      </c>
      <c r="E1195" s="606"/>
      <c r="F1195" s="606"/>
    </row>
    <row r="1196" spans="1:8" s="113" customFormat="1" x14ac:dyDescent="0.25">
      <c r="A1196" s="190">
        <v>2831</v>
      </c>
      <c r="B1196" s="606" t="s">
        <v>3184</v>
      </c>
      <c r="C1196" s="606" t="s">
        <v>36</v>
      </c>
      <c r="D1196" s="606" t="s">
        <v>154</v>
      </c>
      <c r="E1196" s="606"/>
      <c r="F1196" s="606"/>
    </row>
    <row r="1197" spans="1:8" s="113" customFormat="1" x14ac:dyDescent="0.25">
      <c r="A1197" s="187">
        <v>2834</v>
      </c>
      <c r="B1197" s="187" t="s">
        <v>3280</v>
      </c>
      <c r="C1197" s="187" t="s">
        <v>22</v>
      </c>
      <c r="D1197" s="146" t="s">
        <v>302</v>
      </c>
      <c r="E1197" s="606"/>
      <c r="F1197" s="187"/>
    </row>
    <row r="1198" spans="1:8" s="113" customFormat="1" x14ac:dyDescent="0.25">
      <c r="A1198" s="195">
        <v>2835</v>
      </c>
      <c r="B1198" s="187" t="s">
        <v>3121</v>
      </c>
      <c r="C1198" s="187" t="s">
        <v>20</v>
      </c>
      <c r="D1198" s="146" t="s">
        <v>7</v>
      </c>
      <c r="E1198" s="189"/>
      <c r="F1198" s="187"/>
    </row>
    <row r="1199" spans="1:8" s="113" customFormat="1" x14ac:dyDescent="0.25">
      <c r="A1199" s="301">
        <v>2838</v>
      </c>
      <c r="B1199" s="608" t="s">
        <v>3343</v>
      </c>
      <c r="C1199" s="608" t="s">
        <v>44</v>
      </c>
      <c r="D1199" s="608" t="s">
        <v>1186</v>
      </c>
      <c r="E1199" s="608"/>
      <c r="F1199" s="608"/>
      <c r="G1199" s="194"/>
      <c r="H1199" s="194"/>
    </row>
    <row r="1200" spans="1:8" s="113" customFormat="1" x14ac:dyDescent="0.25">
      <c r="A1200" s="190">
        <v>2842</v>
      </c>
      <c r="B1200" s="606" t="s">
        <v>3379</v>
      </c>
      <c r="C1200" s="606" t="s">
        <v>38</v>
      </c>
      <c r="D1200" s="606" t="s">
        <v>1231</v>
      </c>
      <c r="E1200" s="606"/>
      <c r="F1200" s="606"/>
    </row>
    <row r="1201" spans="1:8" s="113" customFormat="1" x14ac:dyDescent="0.25">
      <c r="A1201" s="190">
        <v>2842</v>
      </c>
      <c r="B1201" s="606" t="s">
        <v>3379</v>
      </c>
      <c r="C1201" s="606" t="s">
        <v>38</v>
      </c>
      <c r="D1201" s="606" t="s">
        <v>1231</v>
      </c>
      <c r="E1201" s="606"/>
      <c r="F1201" s="606"/>
    </row>
    <row r="1202" spans="1:8" s="113" customFormat="1" x14ac:dyDescent="0.25">
      <c r="A1202" s="141">
        <v>2843</v>
      </c>
      <c r="B1202" s="190" t="s">
        <v>3035</v>
      </c>
      <c r="C1202" s="190" t="s">
        <v>417</v>
      </c>
      <c r="D1202" s="148" t="s">
        <v>11</v>
      </c>
      <c r="E1202" s="190"/>
      <c r="F1202" s="190"/>
      <c r="G1202" s="229"/>
    </row>
    <row r="1203" spans="1:8" s="113" customFormat="1" x14ac:dyDescent="0.25">
      <c r="A1203" s="195">
        <v>2844</v>
      </c>
      <c r="B1203" s="187" t="s">
        <v>3049</v>
      </c>
      <c r="C1203" s="187" t="s">
        <v>417</v>
      </c>
      <c r="D1203" s="146" t="s">
        <v>501</v>
      </c>
      <c r="E1203" s="606"/>
      <c r="F1203" s="187"/>
      <c r="G1203" s="607"/>
      <c r="H1203" s="607"/>
    </row>
    <row r="1204" spans="1:8" s="113" customFormat="1" x14ac:dyDescent="0.25">
      <c r="A1204" s="190">
        <v>2847</v>
      </c>
      <c r="B1204" s="606" t="s">
        <v>3137</v>
      </c>
      <c r="C1204" s="606" t="s">
        <v>101</v>
      </c>
      <c r="D1204" s="606" t="s">
        <v>504</v>
      </c>
      <c r="E1204" s="606"/>
      <c r="F1204" s="606"/>
      <c r="G1204" s="607"/>
      <c r="H1204" s="607"/>
    </row>
    <row r="1205" spans="1:8" s="113" customFormat="1" x14ac:dyDescent="0.25">
      <c r="A1205" s="190">
        <v>2847</v>
      </c>
      <c r="B1205" s="606" t="s">
        <v>3137</v>
      </c>
      <c r="C1205" s="606" t="s">
        <v>101</v>
      </c>
      <c r="D1205" s="606" t="s">
        <v>504</v>
      </c>
      <c r="E1205" s="189"/>
      <c r="F1205" s="189"/>
    </row>
    <row r="1206" spans="1:8" s="113" customFormat="1" x14ac:dyDescent="0.25">
      <c r="A1206" s="187">
        <v>2847</v>
      </c>
      <c r="B1206" s="187" t="s">
        <v>3137</v>
      </c>
      <c r="C1206" s="187" t="s">
        <v>101</v>
      </c>
      <c r="D1206" s="187" t="s">
        <v>504</v>
      </c>
      <c r="E1206" s="187"/>
      <c r="F1206" s="187"/>
    </row>
    <row r="1207" spans="1:8" s="113" customFormat="1" x14ac:dyDescent="0.25">
      <c r="A1207" s="141">
        <v>2848</v>
      </c>
      <c r="B1207" s="190" t="s">
        <v>3021</v>
      </c>
      <c r="C1207" s="190" t="s">
        <v>24</v>
      </c>
      <c r="D1207" s="148" t="s">
        <v>242</v>
      </c>
      <c r="E1207" s="190"/>
      <c r="F1207" s="190"/>
    </row>
    <row r="1208" spans="1:8" s="113" customFormat="1" x14ac:dyDescent="0.25">
      <c r="A1208" s="190">
        <v>2848</v>
      </c>
      <c r="B1208" s="606" t="s">
        <v>3021</v>
      </c>
      <c r="C1208" s="606" t="s">
        <v>24</v>
      </c>
      <c r="D1208" s="606" t="s">
        <v>37</v>
      </c>
      <c r="E1208" s="606"/>
      <c r="F1208" s="606"/>
      <c r="G1208" s="229"/>
      <c r="H1208" s="607"/>
    </row>
    <row r="1209" spans="1:8" s="113" customFormat="1" x14ac:dyDescent="0.25">
      <c r="A1209" s="301">
        <v>2849</v>
      </c>
      <c r="B1209" s="608" t="s">
        <v>3348</v>
      </c>
      <c r="C1209" s="608" t="s">
        <v>47</v>
      </c>
      <c r="D1209" s="608" t="s">
        <v>159</v>
      </c>
      <c r="E1209" s="608"/>
      <c r="F1209" s="608"/>
    </row>
    <row r="1210" spans="1:8" s="113" customFormat="1" x14ac:dyDescent="0.25">
      <c r="A1210" s="190">
        <v>2850</v>
      </c>
      <c r="B1210" s="606" t="s">
        <v>3402</v>
      </c>
      <c r="C1210" s="606" t="s">
        <v>1455</v>
      </c>
      <c r="D1210" s="606" t="s">
        <v>501</v>
      </c>
      <c r="E1210" s="606"/>
      <c r="F1210" s="606"/>
    </row>
    <row r="1211" spans="1:8" s="113" customFormat="1" x14ac:dyDescent="0.25">
      <c r="A1211" s="190">
        <v>2852</v>
      </c>
      <c r="B1211" s="188" t="s">
        <v>2991</v>
      </c>
      <c r="C1211" s="146" t="s">
        <v>1455</v>
      </c>
      <c r="D1211" s="146" t="s">
        <v>2992</v>
      </c>
      <c r="E1211" s="189"/>
      <c r="F1211" s="189"/>
    </row>
    <row r="1212" spans="1:8" s="113" customFormat="1" x14ac:dyDescent="0.25">
      <c r="A1212" s="141">
        <v>2852</v>
      </c>
      <c r="B1212" s="190" t="s">
        <v>2991</v>
      </c>
      <c r="C1212" s="190" t="s">
        <v>1455</v>
      </c>
      <c r="D1212" s="148" t="s">
        <v>415</v>
      </c>
      <c r="E1212" s="190"/>
      <c r="F1212" s="190"/>
    </row>
    <row r="1213" spans="1:8" s="113" customFormat="1" x14ac:dyDescent="0.25">
      <c r="A1213" s="141">
        <v>2852</v>
      </c>
      <c r="B1213" s="190" t="s">
        <v>2991</v>
      </c>
      <c r="C1213" s="190" t="s">
        <v>1455</v>
      </c>
      <c r="D1213" s="148" t="s">
        <v>415</v>
      </c>
      <c r="E1213" s="190"/>
      <c r="F1213" s="190"/>
      <c r="G1213" s="607"/>
    </row>
    <row r="1214" spans="1:8" s="113" customFormat="1" x14ac:dyDescent="0.25">
      <c r="A1214" s="190">
        <v>2863</v>
      </c>
      <c r="B1214" s="606" t="s">
        <v>3299</v>
      </c>
      <c r="C1214" s="606" t="s">
        <v>17</v>
      </c>
      <c r="D1214" s="606" t="s">
        <v>154</v>
      </c>
      <c r="E1214" s="606"/>
      <c r="F1214" s="606"/>
      <c r="G1214" s="229"/>
    </row>
    <row r="1215" spans="1:8" s="113" customFormat="1" x14ac:dyDescent="0.25">
      <c r="A1215" s="187">
        <v>2863</v>
      </c>
      <c r="B1215" s="187" t="s">
        <v>3299</v>
      </c>
      <c r="C1215" s="187" t="s">
        <v>17</v>
      </c>
      <c r="D1215" s="187" t="s">
        <v>154</v>
      </c>
      <c r="E1215" s="187"/>
      <c r="F1215" s="187"/>
    </row>
    <row r="1216" spans="1:8" s="113" customFormat="1" x14ac:dyDescent="0.25">
      <c r="A1216" s="190">
        <v>2866</v>
      </c>
      <c r="B1216" s="606" t="s">
        <v>3069</v>
      </c>
      <c r="C1216" s="606" t="s">
        <v>3070</v>
      </c>
      <c r="D1216" s="606" t="s">
        <v>14</v>
      </c>
      <c r="E1216" s="606"/>
      <c r="F1216" s="606"/>
    </row>
    <row r="1217" spans="1:8" s="113" customFormat="1" x14ac:dyDescent="0.25">
      <c r="A1217" s="190">
        <v>2867</v>
      </c>
      <c r="B1217" s="606" t="s">
        <v>3207</v>
      </c>
      <c r="C1217" s="606" t="s">
        <v>64</v>
      </c>
      <c r="D1217" s="606" t="s">
        <v>504</v>
      </c>
      <c r="E1217" s="606"/>
      <c r="F1217" s="606"/>
    </row>
    <row r="1218" spans="1:8" s="113" customFormat="1" x14ac:dyDescent="0.25">
      <c r="A1218" s="187">
        <v>2868</v>
      </c>
      <c r="B1218" s="187" t="s">
        <v>3282</v>
      </c>
      <c r="C1218" s="187" t="s">
        <v>101</v>
      </c>
      <c r="D1218" s="146" t="s">
        <v>504</v>
      </c>
      <c r="E1218" s="606"/>
      <c r="F1218" s="187"/>
    </row>
    <row r="1219" spans="1:8" s="113" customFormat="1" x14ac:dyDescent="0.25">
      <c r="A1219" s="195">
        <v>2868</v>
      </c>
      <c r="B1219" s="187" t="s">
        <v>3282</v>
      </c>
      <c r="C1219" s="187" t="s">
        <v>101</v>
      </c>
      <c r="D1219" s="146" t="s">
        <v>501</v>
      </c>
      <c r="E1219" s="606"/>
      <c r="F1219" s="187"/>
    </row>
    <row r="1220" spans="1:8" s="113" customFormat="1" x14ac:dyDescent="0.25">
      <c r="A1220" s="187">
        <v>2870</v>
      </c>
      <c r="B1220" s="187" t="s">
        <v>3295</v>
      </c>
      <c r="C1220" s="187" t="s">
        <v>64</v>
      </c>
      <c r="D1220" s="146" t="s">
        <v>237</v>
      </c>
      <c r="E1220" s="189"/>
      <c r="F1220" s="187"/>
      <c r="G1220" s="607"/>
    </row>
    <row r="1221" spans="1:8" s="113" customFormat="1" x14ac:dyDescent="0.25">
      <c r="A1221" s="187">
        <v>2871</v>
      </c>
      <c r="B1221" s="187" t="s">
        <v>3260</v>
      </c>
      <c r="C1221" s="187" t="s">
        <v>64</v>
      </c>
      <c r="D1221" s="606" t="s">
        <v>237</v>
      </c>
      <c r="E1221" s="606"/>
      <c r="F1221" s="187"/>
    </row>
    <row r="1222" spans="1:8" s="113" customFormat="1" x14ac:dyDescent="0.25">
      <c r="A1222" s="141">
        <v>2872</v>
      </c>
      <c r="B1222" s="190" t="s">
        <v>3022</v>
      </c>
      <c r="C1222" s="190" t="s">
        <v>64</v>
      </c>
      <c r="D1222" s="148" t="s">
        <v>228</v>
      </c>
      <c r="E1222" s="190"/>
      <c r="F1222" s="190"/>
    </row>
    <row r="1223" spans="1:8" s="113" customFormat="1" x14ac:dyDescent="0.25">
      <c r="A1223" s="187">
        <v>2874</v>
      </c>
      <c r="B1223" s="188" t="s">
        <v>3080</v>
      </c>
      <c r="C1223" s="146" t="s">
        <v>24</v>
      </c>
      <c r="D1223" s="148" t="s">
        <v>3078</v>
      </c>
      <c r="E1223" s="606"/>
      <c r="F1223" s="606"/>
    </row>
    <row r="1224" spans="1:8" s="113" customFormat="1" x14ac:dyDescent="0.25">
      <c r="A1224" s="187">
        <v>2874</v>
      </c>
      <c r="B1224" s="187" t="s">
        <v>3080</v>
      </c>
      <c r="C1224" s="187" t="s">
        <v>24</v>
      </c>
      <c r="D1224" s="187" t="s">
        <v>415</v>
      </c>
      <c r="E1224" s="187"/>
      <c r="F1224" s="187"/>
    </row>
    <row r="1225" spans="1:8" s="113" customFormat="1" x14ac:dyDescent="0.25">
      <c r="A1225" s="195">
        <v>2877</v>
      </c>
      <c r="B1225" s="187" t="s">
        <v>3549</v>
      </c>
      <c r="C1225" s="187" t="s">
        <v>2787</v>
      </c>
      <c r="D1225" s="146" t="s">
        <v>302</v>
      </c>
      <c r="E1225" s="606"/>
      <c r="F1225" s="187"/>
    </row>
    <row r="1226" spans="1:8" s="113" customFormat="1" x14ac:dyDescent="0.25">
      <c r="A1226" s="190">
        <v>2879</v>
      </c>
      <c r="B1226" s="606" t="s">
        <v>3416</v>
      </c>
      <c r="C1226" s="606" t="s">
        <v>22</v>
      </c>
      <c r="D1226" s="606" t="s">
        <v>1637</v>
      </c>
      <c r="E1226" s="189"/>
      <c r="F1226" s="606"/>
    </row>
    <row r="1227" spans="1:8" s="113" customFormat="1" x14ac:dyDescent="0.25">
      <c r="A1227" s="301">
        <v>2880</v>
      </c>
      <c r="B1227" s="608" t="s">
        <v>3339</v>
      </c>
      <c r="C1227" s="608" t="s">
        <v>417</v>
      </c>
      <c r="D1227" s="608" t="s">
        <v>1880</v>
      </c>
      <c r="E1227" s="608"/>
      <c r="F1227" s="608"/>
    </row>
    <row r="1228" spans="1:8" s="113" customFormat="1" x14ac:dyDescent="0.25">
      <c r="A1228" s="187">
        <v>2883</v>
      </c>
      <c r="B1228" s="187" t="s">
        <v>3604</v>
      </c>
      <c r="C1228" s="187" t="s">
        <v>3070</v>
      </c>
      <c r="D1228" s="187" t="s">
        <v>11</v>
      </c>
      <c r="E1228" s="187"/>
      <c r="F1228" s="187"/>
    </row>
    <row r="1229" spans="1:8" s="113" customFormat="1" x14ac:dyDescent="0.25">
      <c r="A1229" s="187">
        <v>2884</v>
      </c>
      <c r="B1229" s="187" t="s">
        <v>3310</v>
      </c>
      <c r="C1229" s="187" t="s">
        <v>64</v>
      </c>
      <c r="D1229" s="187" t="s">
        <v>237</v>
      </c>
      <c r="E1229" s="187"/>
      <c r="F1229" s="187"/>
      <c r="G1229" s="607"/>
      <c r="H1229" s="607"/>
    </row>
    <row r="1230" spans="1:8" s="113" customFormat="1" x14ac:dyDescent="0.25">
      <c r="A1230" s="187">
        <v>2886</v>
      </c>
      <c r="B1230" s="188" t="s">
        <v>3108</v>
      </c>
      <c r="C1230" s="146" t="s">
        <v>384</v>
      </c>
      <c r="D1230" s="148" t="s">
        <v>11</v>
      </c>
      <c r="E1230" s="606"/>
      <c r="F1230" s="606" t="s">
        <v>3109</v>
      </c>
    </row>
    <row r="1231" spans="1:8" s="113" customFormat="1" x14ac:dyDescent="0.25">
      <c r="A1231" s="187">
        <v>2888</v>
      </c>
      <c r="B1231" s="187" t="s">
        <v>3298</v>
      </c>
      <c r="C1231" s="187" t="s">
        <v>47</v>
      </c>
      <c r="D1231" s="146" t="s">
        <v>159</v>
      </c>
      <c r="E1231" s="606"/>
      <c r="F1231" s="187"/>
      <c r="G1231" s="194"/>
      <c r="H1231" s="194"/>
    </row>
    <row r="1232" spans="1:8" s="113" customFormat="1" x14ac:dyDescent="0.25">
      <c r="A1232" s="190">
        <v>2889</v>
      </c>
      <c r="B1232" s="606" t="s">
        <v>3425</v>
      </c>
      <c r="C1232" s="606" t="s">
        <v>24</v>
      </c>
      <c r="D1232" s="606" t="s">
        <v>268</v>
      </c>
      <c r="E1232" s="606"/>
      <c r="F1232" s="606"/>
      <c r="G1232" s="194"/>
      <c r="H1232" s="194"/>
    </row>
    <row r="1233" spans="1:8" s="113" customFormat="1" x14ac:dyDescent="0.25">
      <c r="A1233" s="190">
        <v>2901</v>
      </c>
      <c r="B1233" s="606" t="s">
        <v>3423</v>
      </c>
      <c r="C1233" s="606" t="s">
        <v>38</v>
      </c>
      <c r="D1233" s="606" t="s">
        <v>109</v>
      </c>
      <c r="E1233" s="606"/>
      <c r="F1233" s="606"/>
    </row>
    <row r="1234" spans="1:8" s="113" customFormat="1" x14ac:dyDescent="0.25">
      <c r="A1234" s="187">
        <v>2902</v>
      </c>
      <c r="B1234" s="187" t="s">
        <v>3435</v>
      </c>
      <c r="C1234" s="187" t="s">
        <v>101</v>
      </c>
      <c r="D1234" s="187" t="s">
        <v>504</v>
      </c>
      <c r="E1234" s="187"/>
      <c r="F1234" s="187"/>
      <c r="G1234" s="194"/>
      <c r="H1234" s="194"/>
    </row>
    <row r="1235" spans="1:8" s="113" customFormat="1" x14ac:dyDescent="0.25">
      <c r="A1235" s="187">
        <v>2902</v>
      </c>
      <c r="B1235" s="187" t="s">
        <v>3435</v>
      </c>
      <c r="C1235" s="187" t="s">
        <v>101</v>
      </c>
      <c r="D1235" s="187" t="s">
        <v>504</v>
      </c>
      <c r="E1235" s="187"/>
      <c r="F1235" s="187"/>
      <c r="G1235" s="194"/>
      <c r="H1235" s="194"/>
    </row>
    <row r="1236" spans="1:8" s="113" customFormat="1" x14ac:dyDescent="0.25">
      <c r="A1236" s="187">
        <v>2903</v>
      </c>
      <c r="B1236" s="187" t="s">
        <v>3659</v>
      </c>
      <c r="C1236" s="187" t="s">
        <v>24</v>
      </c>
      <c r="D1236" s="146" t="s">
        <v>37</v>
      </c>
      <c r="E1236" s="606"/>
      <c r="F1236" s="187"/>
      <c r="G1236" s="607"/>
      <c r="H1236" s="607"/>
    </row>
    <row r="1237" spans="1:8" s="113" customFormat="1" x14ac:dyDescent="0.25">
      <c r="A1237" s="190">
        <v>2904</v>
      </c>
      <c r="B1237" s="606" t="s">
        <v>3232</v>
      </c>
      <c r="C1237" s="606" t="s">
        <v>3233</v>
      </c>
      <c r="D1237" s="606" t="s">
        <v>302</v>
      </c>
      <c r="E1237" s="189"/>
      <c r="F1237" s="606" t="s">
        <v>114</v>
      </c>
    </row>
    <row r="1238" spans="1:8" s="113" customFormat="1" x14ac:dyDescent="0.25">
      <c r="A1238" s="187">
        <v>2904</v>
      </c>
      <c r="B1238" s="187" t="s">
        <v>3232</v>
      </c>
      <c r="C1238" s="187" t="s">
        <v>3637</v>
      </c>
      <c r="D1238" s="187" t="s">
        <v>302</v>
      </c>
      <c r="E1238" s="187"/>
      <c r="F1238" s="187"/>
      <c r="G1238" s="194"/>
      <c r="H1238" s="194"/>
    </row>
    <row r="1239" spans="1:8" s="113" customFormat="1" x14ac:dyDescent="0.25">
      <c r="A1239" s="187">
        <v>2905</v>
      </c>
      <c r="B1239" s="187" t="s">
        <v>3583</v>
      </c>
      <c r="C1239" s="187" t="s">
        <v>64</v>
      </c>
      <c r="D1239" s="187" t="s">
        <v>237</v>
      </c>
      <c r="E1239" s="187"/>
      <c r="F1239" s="187"/>
      <c r="G1239" s="194"/>
      <c r="H1239" s="194"/>
    </row>
    <row r="1240" spans="1:8" s="113" customFormat="1" x14ac:dyDescent="0.25">
      <c r="A1240" s="187">
        <v>2905</v>
      </c>
      <c r="B1240" s="187" t="s">
        <v>3583</v>
      </c>
      <c r="C1240" s="187" t="s">
        <v>64</v>
      </c>
      <c r="D1240" s="187" t="s">
        <v>237</v>
      </c>
      <c r="E1240" s="187"/>
      <c r="F1240" s="187"/>
    </row>
    <row r="1241" spans="1:8" s="113" customFormat="1" x14ac:dyDescent="0.25">
      <c r="A1241" s="195">
        <v>2906</v>
      </c>
      <c r="B1241" s="187" t="s">
        <v>3519</v>
      </c>
      <c r="C1241" s="187" t="s">
        <v>64</v>
      </c>
      <c r="D1241" s="148" t="s">
        <v>237</v>
      </c>
      <c r="E1241" s="606"/>
      <c r="F1241" s="187"/>
      <c r="G1241" s="607"/>
      <c r="H1241" s="607"/>
    </row>
    <row r="1242" spans="1:8" s="113" customFormat="1" x14ac:dyDescent="0.25">
      <c r="A1242" s="195">
        <v>2906</v>
      </c>
      <c r="B1242" s="187" t="s">
        <v>3519</v>
      </c>
      <c r="C1242" s="187" t="s">
        <v>64</v>
      </c>
      <c r="D1242" s="146" t="s">
        <v>237</v>
      </c>
      <c r="E1242" s="606"/>
      <c r="F1242" s="187"/>
    </row>
    <row r="1243" spans="1:8" s="113" customFormat="1" x14ac:dyDescent="0.25">
      <c r="A1243" s="187">
        <v>2907</v>
      </c>
      <c r="B1243" s="187" t="s">
        <v>3701</v>
      </c>
      <c r="C1243" s="187" t="s">
        <v>64</v>
      </c>
      <c r="D1243" s="146" t="s">
        <v>237</v>
      </c>
      <c r="E1243" s="606"/>
      <c r="F1243" s="187"/>
      <c r="G1243" s="194"/>
      <c r="H1243" s="194"/>
    </row>
    <row r="1244" spans="1:8" s="113" customFormat="1" x14ac:dyDescent="0.25">
      <c r="A1244" s="187">
        <v>2908</v>
      </c>
      <c r="B1244" s="187" t="s">
        <v>3748</v>
      </c>
      <c r="C1244" s="187" t="s">
        <v>64</v>
      </c>
      <c r="D1244" s="187" t="s">
        <v>237</v>
      </c>
      <c r="E1244" s="187"/>
      <c r="F1244" s="187"/>
      <c r="G1244" s="229"/>
      <c r="H1244" s="229"/>
    </row>
    <row r="1245" spans="1:8" s="113" customFormat="1" x14ac:dyDescent="0.25">
      <c r="A1245" s="195">
        <v>2909</v>
      </c>
      <c r="B1245" s="187" t="s">
        <v>3553</v>
      </c>
      <c r="C1245" s="187" t="s">
        <v>47</v>
      </c>
      <c r="D1245" s="146" t="s">
        <v>159</v>
      </c>
      <c r="E1245" s="606"/>
      <c r="F1245" s="187"/>
    </row>
    <row r="1246" spans="1:8" s="113" customFormat="1" x14ac:dyDescent="0.25">
      <c r="A1246" s="195">
        <v>2911</v>
      </c>
      <c r="B1246" s="187" t="s">
        <v>3245</v>
      </c>
      <c r="C1246" s="187" t="s">
        <v>17</v>
      </c>
      <c r="D1246" s="146" t="s">
        <v>242</v>
      </c>
      <c r="E1246" s="606"/>
      <c r="F1246" s="187"/>
      <c r="G1246" s="607"/>
      <c r="H1246" s="607"/>
    </row>
    <row r="1247" spans="1:8" s="113" customFormat="1" x14ac:dyDescent="0.25">
      <c r="A1247" s="187">
        <v>2912</v>
      </c>
      <c r="B1247" s="187" t="s">
        <v>3634</v>
      </c>
      <c r="C1247" s="187" t="s">
        <v>64</v>
      </c>
      <c r="D1247" s="187" t="s">
        <v>237</v>
      </c>
      <c r="E1247" s="187"/>
      <c r="F1247" s="187"/>
      <c r="G1247" s="194"/>
      <c r="H1247" s="194"/>
    </row>
    <row r="1248" spans="1:8" s="113" customFormat="1" x14ac:dyDescent="0.25">
      <c r="A1248" s="187">
        <v>2913</v>
      </c>
      <c r="B1248" s="187" t="s">
        <v>3485</v>
      </c>
      <c r="C1248" s="187" t="s">
        <v>38</v>
      </c>
      <c r="D1248" s="187"/>
      <c r="E1248" s="187"/>
      <c r="F1248" s="187"/>
    </row>
    <row r="1249" spans="1:8" s="113" customFormat="1" x14ac:dyDescent="0.25">
      <c r="A1249" s="187">
        <v>2913</v>
      </c>
      <c r="B1249" s="187" t="s">
        <v>3485</v>
      </c>
      <c r="C1249" s="187" t="s">
        <v>38</v>
      </c>
      <c r="D1249" s="187" t="s">
        <v>109</v>
      </c>
      <c r="E1249" s="187"/>
      <c r="F1249" s="187"/>
      <c r="G1249" s="229"/>
      <c r="H1249" s="229"/>
    </row>
    <row r="1250" spans="1:8" s="113" customFormat="1" x14ac:dyDescent="0.25">
      <c r="A1250" s="190">
        <v>2914</v>
      </c>
      <c r="B1250" s="606" t="s">
        <v>3241</v>
      </c>
      <c r="C1250" s="606" t="s">
        <v>36</v>
      </c>
      <c r="D1250" s="606" t="s">
        <v>3242</v>
      </c>
      <c r="E1250" s="606"/>
      <c r="F1250" s="606" t="s">
        <v>3243</v>
      </c>
      <c r="G1250" s="607"/>
      <c r="H1250" s="607"/>
    </row>
    <row r="1251" spans="1:8" s="113" customFormat="1" x14ac:dyDescent="0.25">
      <c r="A1251" s="187">
        <v>2918</v>
      </c>
      <c r="B1251" s="187" t="s">
        <v>3642</v>
      </c>
      <c r="C1251" s="187" t="s">
        <v>47</v>
      </c>
      <c r="D1251" s="187" t="s">
        <v>3643</v>
      </c>
      <c r="E1251" s="187"/>
      <c r="F1251" s="187"/>
    </row>
    <row r="1252" spans="1:8" s="113" customFormat="1" x14ac:dyDescent="0.25">
      <c r="A1252" s="187">
        <v>2919</v>
      </c>
      <c r="B1252" s="187" t="s">
        <v>3431</v>
      </c>
      <c r="C1252" s="187" t="s">
        <v>3432</v>
      </c>
      <c r="D1252" s="187" t="s">
        <v>148</v>
      </c>
      <c r="E1252" s="187"/>
      <c r="F1252" s="187"/>
    </row>
    <row r="1253" spans="1:8" s="113" customFormat="1" x14ac:dyDescent="0.25">
      <c r="A1253" s="187">
        <v>2919</v>
      </c>
      <c r="B1253" s="187" t="s">
        <v>3431</v>
      </c>
      <c r="C1253" s="187" t="s">
        <v>108</v>
      </c>
      <c r="D1253" s="187" t="s">
        <v>148</v>
      </c>
      <c r="E1253" s="187"/>
      <c r="F1253" s="187"/>
    </row>
    <row r="1254" spans="1:8" s="113" customFormat="1" x14ac:dyDescent="0.25">
      <c r="A1254" s="187">
        <v>2921</v>
      </c>
      <c r="B1254" s="187" t="s">
        <v>3601</v>
      </c>
      <c r="C1254" s="187" t="s">
        <v>64</v>
      </c>
      <c r="D1254" s="187" t="s">
        <v>237</v>
      </c>
      <c r="E1254" s="187"/>
      <c r="F1254" s="187"/>
    </row>
    <row r="1255" spans="1:8" s="113" customFormat="1" x14ac:dyDescent="0.25">
      <c r="A1255" s="195">
        <v>2926</v>
      </c>
      <c r="B1255" s="187" t="s">
        <v>3511</v>
      </c>
      <c r="C1255" s="187" t="s">
        <v>47</v>
      </c>
      <c r="D1255" s="148" t="s">
        <v>3090</v>
      </c>
      <c r="E1255" s="606"/>
      <c r="F1255" s="187"/>
      <c r="G1255" s="607"/>
      <c r="H1255" s="607"/>
    </row>
    <row r="1256" spans="1:8" s="113" customFormat="1" x14ac:dyDescent="0.25">
      <c r="A1256" s="195">
        <v>2926</v>
      </c>
      <c r="B1256" s="187" t="s">
        <v>3511</v>
      </c>
      <c r="C1256" s="187" t="s">
        <v>47</v>
      </c>
      <c r="D1256" s="146" t="s">
        <v>179</v>
      </c>
      <c r="E1256" s="606"/>
      <c r="F1256" s="187"/>
    </row>
    <row r="1257" spans="1:8" s="113" customFormat="1" x14ac:dyDescent="0.25">
      <c r="A1257" s="187">
        <v>2929</v>
      </c>
      <c r="B1257" s="187" t="s">
        <v>3323</v>
      </c>
      <c r="C1257" s="187" t="s">
        <v>24</v>
      </c>
      <c r="D1257" s="187" t="s">
        <v>37</v>
      </c>
      <c r="E1257" s="187"/>
      <c r="F1257" s="187"/>
    </row>
    <row r="1258" spans="1:8" s="113" customFormat="1" x14ac:dyDescent="0.25">
      <c r="A1258" s="190">
        <v>2929</v>
      </c>
      <c r="B1258" s="606" t="s">
        <v>3323</v>
      </c>
      <c r="C1258" s="606" t="s">
        <v>3487</v>
      </c>
      <c r="D1258" s="606" t="s">
        <v>242</v>
      </c>
      <c r="E1258" s="606"/>
      <c r="F1258" s="606"/>
    </row>
    <row r="1259" spans="1:8" s="113" customFormat="1" x14ac:dyDescent="0.25">
      <c r="A1259" s="187">
        <v>2930</v>
      </c>
      <c r="B1259" s="187" t="s">
        <v>3589</v>
      </c>
      <c r="C1259" s="187" t="s">
        <v>22</v>
      </c>
      <c r="D1259" s="187" t="s">
        <v>3587</v>
      </c>
      <c r="E1259" s="187"/>
      <c r="F1259" s="187"/>
    </row>
    <row r="1260" spans="1:8" s="113" customFormat="1" x14ac:dyDescent="0.25">
      <c r="A1260" s="187">
        <v>2930</v>
      </c>
      <c r="B1260" s="187" t="s">
        <v>3589</v>
      </c>
      <c r="C1260" s="187" t="s">
        <v>22</v>
      </c>
      <c r="D1260" s="187" t="s">
        <v>3587</v>
      </c>
      <c r="E1260" s="187"/>
      <c r="F1260" s="187"/>
    </row>
    <row r="1261" spans="1:8" s="113" customFormat="1" x14ac:dyDescent="0.25">
      <c r="A1261" s="190">
        <v>2935</v>
      </c>
      <c r="B1261" s="606" t="s">
        <v>3678</v>
      </c>
      <c r="C1261" s="606" t="s">
        <v>64</v>
      </c>
      <c r="D1261" s="606" t="s">
        <v>504</v>
      </c>
      <c r="E1261" s="606"/>
      <c r="F1261" s="606"/>
    </row>
    <row r="1262" spans="1:8" s="113" customFormat="1" x14ac:dyDescent="0.25">
      <c r="A1262" s="187">
        <v>2937</v>
      </c>
      <c r="B1262" s="187" t="s">
        <v>3703</v>
      </c>
      <c r="C1262" s="187" t="s">
        <v>64</v>
      </c>
      <c r="D1262" s="146" t="s">
        <v>237</v>
      </c>
      <c r="E1262" s="189"/>
      <c r="F1262" s="187"/>
    </row>
    <row r="1263" spans="1:8" s="113" customFormat="1" x14ac:dyDescent="0.25">
      <c r="A1263" s="195">
        <v>2938</v>
      </c>
      <c r="B1263" s="187" t="s">
        <v>3516</v>
      </c>
      <c r="C1263" s="187" t="s">
        <v>90</v>
      </c>
      <c r="D1263" s="148" t="s">
        <v>504</v>
      </c>
      <c r="E1263" s="606"/>
      <c r="F1263" s="187"/>
    </row>
    <row r="1264" spans="1:8" s="113" customFormat="1" x14ac:dyDescent="0.25">
      <c r="A1264" s="190">
        <v>2938</v>
      </c>
      <c r="B1264" s="187" t="s">
        <v>3516</v>
      </c>
      <c r="C1264" s="187" t="s">
        <v>90</v>
      </c>
      <c r="D1264" s="187" t="s">
        <v>504</v>
      </c>
      <c r="E1264" s="606"/>
      <c r="F1264" s="606"/>
    </row>
    <row r="1265" spans="1:6" s="113" customFormat="1" x14ac:dyDescent="0.25">
      <c r="A1265" s="190">
        <v>2944</v>
      </c>
      <c r="B1265" s="606" t="s">
        <v>3386</v>
      </c>
      <c r="C1265" s="606" t="s">
        <v>101</v>
      </c>
      <c r="D1265" s="606" t="s">
        <v>504</v>
      </c>
      <c r="E1265" s="606"/>
      <c r="F1265" s="606"/>
    </row>
    <row r="1266" spans="1:6" s="113" customFormat="1" x14ac:dyDescent="0.25">
      <c r="A1266" s="187">
        <v>2944</v>
      </c>
      <c r="B1266" s="187" t="s">
        <v>3434</v>
      </c>
      <c r="C1266" s="187" t="s">
        <v>101</v>
      </c>
      <c r="D1266" s="187" t="s">
        <v>504</v>
      </c>
      <c r="E1266" s="187"/>
      <c r="F1266" s="187"/>
    </row>
    <row r="1267" spans="1:6" s="113" customFormat="1" x14ac:dyDescent="0.25">
      <c r="A1267" s="187">
        <v>2944</v>
      </c>
      <c r="B1267" s="187" t="s">
        <v>3434</v>
      </c>
      <c r="C1267" s="187" t="s">
        <v>101</v>
      </c>
      <c r="D1267" s="187" t="s">
        <v>504</v>
      </c>
      <c r="E1267" s="187"/>
      <c r="F1267" s="187"/>
    </row>
    <row r="1268" spans="1:6" s="113" customFormat="1" x14ac:dyDescent="0.25">
      <c r="A1268" s="190">
        <v>2945</v>
      </c>
      <c r="B1268" s="606" t="s">
        <v>3389</v>
      </c>
      <c r="C1268" s="606" t="s">
        <v>36</v>
      </c>
      <c r="D1268" s="606" t="s">
        <v>242</v>
      </c>
      <c r="E1268" s="606"/>
      <c r="F1268" s="606"/>
    </row>
    <row r="1269" spans="1:6" s="113" customFormat="1" x14ac:dyDescent="0.25">
      <c r="A1269" s="187">
        <v>2945</v>
      </c>
      <c r="B1269" s="187" t="s">
        <v>3389</v>
      </c>
      <c r="C1269" s="187" t="s">
        <v>36</v>
      </c>
      <c r="D1269" s="187" t="s">
        <v>242</v>
      </c>
      <c r="E1269" s="187"/>
      <c r="F1269" s="187"/>
    </row>
    <row r="1270" spans="1:6" s="113" customFormat="1" x14ac:dyDescent="0.25">
      <c r="A1270" s="187">
        <v>2946</v>
      </c>
      <c r="B1270" s="187" t="s">
        <v>3635</v>
      </c>
      <c r="C1270" s="187" t="s">
        <v>17</v>
      </c>
      <c r="D1270" s="187" t="s">
        <v>154</v>
      </c>
      <c r="E1270" s="187"/>
      <c r="F1270" s="187"/>
    </row>
    <row r="1271" spans="1:6" s="113" customFormat="1" x14ac:dyDescent="0.25">
      <c r="A1271" s="187">
        <v>2947</v>
      </c>
      <c r="B1271" s="187" t="s">
        <v>3445</v>
      </c>
      <c r="C1271" s="187" t="s">
        <v>73</v>
      </c>
      <c r="D1271" s="187" t="s">
        <v>154</v>
      </c>
      <c r="E1271" s="187"/>
      <c r="F1271" s="187"/>
    </row>
    <row r="1272" spans="1:6" s="113" customFormat="1" x14ac:dyDescent="0.25">
      <c r="A1272" s="195">
        <v>2947</v>
      </c>
      <c r="B1272" s="187" t="s">
        <v>3445</v>
      </c>
      <c r="C1272" s="187" t="s">
        <v>73</v>
      </c>
      <c r="D1272" s="146" t="s">
        <v>154</v>
      </c>
      <c r="E1272" s="606"/>
      <c r="F1272" s="187"/>
    </row>
    <row r="1273" spans="1:6" s="113" customFormat="1" x14ac:dyDescent="0.25">
      <c r="A1273" s="195">
        <v>2948</v>
      </c>
      <c r="B1273" s="187" t="s">
        <v>3491</v>
      </c>
      <c r="C1273" s="187" t="s">
        <v>101</v>
      </c>
      <c r="D1273" s="146" t="s">
        <v>504</v>
      </c>
      <c r="E1273" s="189"/>
      <c r="F1273" s="187"/>
    </row>
    <row r="1274" spans="1:6" s="113" customFormat="1" x14ac:dyDescent="0.25">
      <c r="A1274" s="190">
        <v>2948</v>
      </c>
      <c r="B1274" s="606" t="s">
        <v>3491</v>
      </c>
      <c r="C1274" s="606" t="s">
        <v>101</v>
      </c>
      <c r="D1274" s="606" t="s">
        <v>504</v>
      </c>
      <c r="E1274" s="606"/>
      <c r="F1274" s="606"/>
    </row>
    <row r="1275" spans="1:6" s="113" customFormat="1" x14ac:dyDescent="0.25">
      <c r="A1275" s="187">
        <v>2949</v>
      </c>
      <c r="B1275" s="187" t="s">
        <v>3750</v>
      </c>
      <c r="C1275" s="187" t="s">
        <v>64</v>
      </c>
      <c r="D1275" s="187" t="s">
        <v>504</v>
      </c>
      <c r="E1275" s="187"/>
      <c r="F1275" s="187"/>
    </row>
    <row r="1276" spans="1:6" s="113" customFormat="1" x14ac:dyDescent="0.25">
      <c r="A1276" s="187">
        <v>2952</v>
      </c>
      <c r="B1276" s="187" t="s">
        <v>3638</v>
      </c>
      <c r="C1276" s="187" t="s">
        <v>63</v>
      </c>
      <c r="D1276" s="187" t="s">
        <v>154</v>
      </c>
      <c r="E1276" s="187"/>
      <c r="F1276" s="187"/>
    </row>
    <row r="1277" spans="1:6" s="113" customFormat="1" x14ac:dyDescent="0.25">
      <c r="A1277" s="190">
        <v>2961</v>
      </c>
      <c r="B1277" s="606" t="s">
        <v>3382</v>
      </c>
      <c r="C1277" s="606"/>
      <c r="D1277" s="606"/>
      <c r="E1277" s="606"/>
      <c r="F1277" s="606"/>
    </row>
    <row r="1278" spans="1:6" s="113" customFormat="1" x14ac:dyDescent="0.25">
      <c r="A1278" s="187">
        <v>2962</v>
      </c>
      <c r="B1278" s="187" t="s">
        <v>3593</v>
      </c>
      <c r="C1278" s="187" t="s">
        <v>101</v>
      </c>
      <c r="D1278" s="187" t="s">
        <v>504</v>
      </c>
      <c r="E1278" s="187"/>
      <c r="F1278" s="187"/>
    </row>
    <row r="1279" spans="1:6" s="113" customFormat="1" x14ac:dyDescent="0.25">
      <c r="A1279" s="187">
        <v>2962</v>
      </c>
      <c r="B1279" s="187" t="s">
        <v>3593</v>
      </c>
      <c r="C1279" s="187" t="s">
        <v>101</v>
      </c>
      <c r="D1279" s="146" t="s">
        <v>504</v>
      </c>
      <c r="E1279" s="606"/>
      <c r="F1279" s="187"/>
    </row>
    <row r="1280" spans="1:6" s="113" customFormat="1" x14ac:dyDescent="0.25">
      <c r="A1280" s="195">
        <v>2988</v>
      </c>
      <c r="B1280" s="187" t="s">
        <v>3497</v>
      </c>
      <c r="C1280" s="187" t="s">
        <v>36</v>
      </c>
      <c r="D1280" s="146" t="s">
        <v>3498</v>
      </c>
      <c r="E1280" s="606"/>
      <c r="F1280" s="187"/>
    </row>
    <row r="1281" spans="1:8" s="113" customFormat="1" x14ac:dyDescent="0.25">
      <c r="A1281" s="195">
        <v>2988</v>
      </c>
      <c r="B1281" s="187" t="s">
        <v>3497</v>
      </c>
      <c r="C1281" s="187" t="s">
        <v>36</v>
      </c>
      <c r="D1281" s="148" t="s">
        <v>242</v>
      </c>
      <c r="E1281" s="606"/>
      <c r="F1281" s="187"/>
    </row>
    <row r="1282" spans="1:8" s="113" customFormat="1" x14ac:dyDescent="0.25">
      <c r="A1282" s="187">
        <v>2991</v>
      </c>
      <c r="B1282" s="187" t="s">
        <v>3558</v>
      </c>
      <c r="C1282" s="187" t="s">
        <v>17</v>
      </c>
      <c r="D1282" s="187" t="s">
        <v>154</v>
      </c>
      <c r="E1282" s="187"/>
      <c r="F1282" s="187"/>
    </row>
    <row r="1283" spans="1:8" s="113" customFormat="1" x14ac:dyDescent="0.25">
      <c r="A1283" s="187">
        <v>2993</v>
      </c>
      <c r="B1283" s="187" t="s">
        <v>3486</v>
      </c>
      <c r="C1283" s="187" t="s">
        <v>195</v>
      </c>
      <c r="D1283" s="187" t="s">
        <v>148</v>
      </c>
      <c r="E1283" s="187"/>
      <c r="F1283" s="187" t="s">
        <v>114</v>
      </c>
    </row>
    <row r="1284" spans="1:8" s="113" customFormat="1" x14ac:dyDescent="0.25">
      <c r="A1284" s="190">
        <v>2993</v>
      </c>
      <c r="B1284" s="606" t="s">
        <v>3486</v>
      </c>
      <c r="C1284" s="606" t="s">
        <v>3637</v>
      </c>
      <c r="D1284" s="606" t="s">
        <v>148</v>
      </c>
      <c r="E1284" s="606"/>
      <c r="F1284" s="606" t="s">
        <v>3648</v>
      </c>
    </row>
    <row r="1285" spans="1:8" s="113" customFormat="1" x14ac:dyDescent="0.25">
      <c r="A1285" s="190">
        <v>2998</v>
      </c>
      <c r="B1285" s="187" t="s">
        <v>3669</v>
      </c>
      <c r="C1285" s="187" t="s">
        <v>73</v>
      </c>
      <c r="D1285" s="187" t="s">
        <v>45</v>
      </c>
      <c r="E1285" s="606"/>
      <c r="F1285" s="606"/>
    </row>
    <row r="1286" spans="1:8" s="113" customFormat="1" x14ac:dyDescent="0.25">
      <c r="A1286" s="190">
        <v>2998</v>
      </c>
      <c r="B1286" s="606" t="s">
        <v>3669</v>
      </c>
      <c r="C1286" s="606" t="s">
        <v>73</v>
      </c>
      <c r="D1286" s="606" t="s">
        <v>45</v>
      </c>
      <c r="E1286" s="606"/>
      <c r="F1286" s="606"/>
    </row>
    <row r="1287" spans="1:8" s="113" customFormat="1" x14ac:dyDescent="0.25">
      <c r="A1287" s="187">
        <v>2999</v>
      </c>
      <c r="B1287" s="187" t="s">
        <v>3522</v>
      </c>
      <c r="C1287" s="187" t="s">
        <v>3523</v>
      </c>
      <c r="D1287" s="187" t="s">
        <v>148</v>
      </c>
      <c r="E1287" s="187"/>
      <c r="F1287" s="606" t="s">
        <v>114</v>
      </c>
    </row>
    <row r="1288" spans="1:8" s="113" customFormat="1" x14ac:dyDescent="0.25">
      <c r="A1288" s="187">
        <v>3008</v>
      </c>
      <c r="B1288" s="187" t="s">
        <v>3702</v>
      </c>
      <c r="C1288" s="187" t="s">
        <v>24</v>
      </c>
      <c r="D1288" s="146" t="s">
        <v>37</v>
      </c>
      <c r="E1288" s="606"/>
      <c r="F1288" s="187"/>
    </row>
    <row r="1289" spans="1:8" s="113" customFormat="1" x14ac:dyDescent="0.25">
      <c r="A1289" s="187">
        <v>3025</v>
      </c>
      <c r="B1289" s="187" t="s">
        <v>3624</v>
      </c>
      <c r="C1289" s="187" t="s">
        <v>195</v>
      </c>
      <c r="D1289" s="187" t="s">
        <v>302</v>
      </c>
      <c r="E1289" s="187"/>
      <c r="F1289" s="187" t="s">
        <v>114</v>
      </c>
    </row>
    <row r="1290" spans="1:8" s="113" customFormat="1" x14ac:dyDescent="0.25">
      <c r="A1290" s="190">
        <v>3025</v>
      </c>
      <c r="B1290" s="606" t="s">
        <v>3624</v>
      </c>
      <c r="C1290" s="606" t="s">
        <v>3637</v>
      </c>
      <c r="D1290" s="606" t="s">
        <v>302</v>
      </c>
      <c r="E1290" s="606"/>
      <c r="F1290" s="606" t="s">
        <v>3648</v>
      </c>
    </row>
    <row r="1291" spans="1:8" s="113" customFormat="1" x14ac:dyDescent="0.25">
      <c r="A1291" s="187">
        <v>3027</v>
      </c>
      <c r="B1291" s="187" t="s">
        <v>3623</v>
      </c>
      <c r="C1291" s="187" t="s">
        <v>64</v>
      </c>
      <c r="D1291" s="187" t="s">
        <v>504</v>
      </c>
      <c r="E1291" s="187"/>
      <c r="F1291" s="187"/>
    </row>
    <row r="1292" spans="1:8" s="113" customFormat="1" x14ac:dyDescent="0.25">
      <c r="A1292" s="187">
        <v>3027</v>
      </c>
      <c r="B1292" s="187" t="s">
        <v>3660</v>
      </c>
      <c r="C1292" s="187" t="s">
        <v>64</v>
      </c>
      <c r="D1292" s="606"/>
      <c r="E1292" s="606"/>
      <c r="F1292" s="187"/>
    </row>
    <row r="1293" spans="1:8" s="113" customFormat="1" x14ac:dyDescent="0.25">
      <c r="A1293" s="187">
        <v>9906</v>
      </c>
      <c r="B1293" s="606" t="s">
        <v>2660</v>
      </c>
      <c r="C1293" s="606" t="s">
        <v>2661</v>
      </c>
      <c r="D1293" s="606" t="s">
        <v>109</v>
      </c>
      <c r="E1293" s="606"/>
      <c r="F1293" s="187"/>
    </row>
    <row r="1294" spans="1:8" s="113" customFormat="1" ht="26.25" x14ac:dyDescent="0.25">
      <c r="A1294" s="141">
        <v>10367</v>
      </c>
      <c r="B1294" s="142" t="s">
        <v>573</v>
      </c>
      <c r="C1294" s="143" t="s">
        <v>16</v>
      </c>
      <c r="D1294" s="143" t="s">
        <v>302</v>
      </c>
      <c r="E1294" s="142"/>
      <c r="F1294" s="142"/>
      <c r="H1294" s="194"/>
    </row>
    <row r="1295" spans="1:8" s="113" customFormat="1" ht="26.25" x14ac:dyDescent="0.25">
      <c r="A1295" s="141">
        <v>10500</v>
      </c>
      <c r="B1295" s="142" t="s">
        <v>574</v>
      </c>
      <c r="C1295" s="143" t="s">
        <v>16</v>
      </c>
      <c r="D1295" s="143" t="s">
        <v>7</v>
      </c>
      <c r="E1295" s="142"/>
      <c r="F1295" s="142"/>
    </row>
    <row r="1296" spans="1:8" s="113" customFormat="1" x14ac:dyDescent="0.25">
      <c r="A1296" s="141">
        <v>10569</v>
      </c>
      <c r="B1296" s="142" t="s">
        <v>575</v>
      </c>
      <c r="C1296" s="143" t="s">
        <v>140</v>
      </c>
      <c r="D1296" s="143" t="s">
        <v>109</v>
      </c>
      <c r="E1296" s="142"/>
      <c r="F1296" s="142"/>
    </row>
    <row r="1297" spans="1:6" s="113" customFormat="1" ht="26.25" x14ac:dyDescent="0.25">
      <c r="A1297" s="141">
        <v>10599</v>
      </c>
      <c r="B1297" s="142" t="s">
        <v>576</v>
      </c>
      <c r="C1297" s="143" t="s">
        <v>16</v>
      </c>
      <c r="D1297" s="143" t="s">
        <v>154</v>
      </c>
      <c r="E1297" s="142"/>
      <c r="F1297" s="142"/>
    </row>
    <row r="1298" spans="1:6" s="113" customFormat="1" x14ac:dyDescent="0.25">
      <c r="A1298" s="156">
        <v>10605</v>
      </c>
      <c r="B1298" s="157" t="s">
        <v>577</v>
      </c>
      <c r="C1298" s="143" t="s">
        <v>17</v>
      </c>
      <c r="D1298" s="158" t="s">
        <v>154</v>
      </c>
      <c r="E1298" s="142"/>
      <c r="F1298" s="142"/>
    </row>
    <row r="1299" spans="1:6" s="113" customFormat="1" x14ac:dyDescent="0.25">
      <c r="A1299" s="141">
        <v>10617</v>
      </c>
      <c r="B1299" s="142" t="s">
        <v>1355</v>
      </c>
      <c r="C1299" s="143" t="s">
        <v>64</v>
      </c>
      <c r="D1299" s="143" t="s">
        <v>501</v>
      </c>
      <c r="E1299" s="142"/>
      <c r="F1299" s="142"/>
    </row>
    <row r="1300" spans="1:6" s="113" customFormat="1" ht="26.25" x14ac:dyDescent="0.25">
      <c r="A1300" s="141">
        <v>10650</v>
      </c>
      <c r="B1300" s="142" t="s">
        <v>2080</v>
      </c>
      <c r="C1300" s="143" t="s">
        <v>16</v>
      </c>
      <c r="D1300" s="143" t="s">
        <v>11</v>
      </c>
      <c r="E1300" s="142"/>
      <c r="F1300" s="142"/>
    </row>
    <row r="1301" spans="1:6" s="113" customFormat="1" ht="26.25" x14ac:dyDescent="0.25">
      <c r="A1301" s="141">
        <v>11093</v>
      </c>
      <c r="B1301" s="142" t="s">
        <v>1356</v>
      </c>
      <c r="C1301" s="143" t="s">
        <v>16</v>
      </c>
      <c r="D1301" s="143" t="s">
        <v>1357</v>
      </c>
      <c r="E1301" s="142"/>
      <c r="F1301" s="142"/>
    </row>
    <row r="1302" spans="1:6" s="113" customFormat="1" ht="26.25" x14ac:dyDescent="0.25">
      <c r="A1302" s="141">
        <v>11159</v>
      </c>
      <c r="B1302" s="142" t="s">
        <v>2081</v>
      </c>
      <c r="C1302" s="143" t="s">
        <v>96</v>
      </c>
      <c r="D1302" s="143" t="s">
        <v>109</v>
      </c>
      <c r="E1302" s="142"/>
      <c r="F1302" s="142"/>
    </row>
    <row r="1303" spans="1:6" s="113" customFormat="1" ht="26.25" x14ac:dyDescent="0.25">
      <c r="A1303" s="141">
        <v>11168</v>
      </c>
      <c r="B1303" s="142" t="s">
        <v>2082</v>
      </c>
      <c r="C1303" s="143" t="s">
        <v>1478</v>
      </c>
      <c r="D1303" s="143" t="s">
        <v>7</v>
      </c>
      <c r="E1303" s="142"/>
      <c r="F1303" s="142"/>
    </row>
    <row r="1304" spans="1:6" s="113" customFormat="1" x14ac:dyDescent="0.25">
      <c r="A1304" s="141">
        <v>11202</v>
      </c>
      <c r="B1304" s="142" t="s">
        <v>581</v>
      </c>
      <c r="C1304" s="143" t="s">
        <v>47</v>
      </c>
      <c r="D1304" s="143" t="s">
        <v>179</v>
      </c>
      <c r="E1304" s="142"/>
      <c r="F1304" s="142"/>
    </row>
    <row r="1305" spans="1:6" s="113" customFormat="1" ht="26.25" x14ac:dyDescent="0.25">
      <c r="A1305" s="141">
        <v>11453</v>
      </c>
      <c r="B1305" s="142" t="s">
        <v>582</v>
      </c>
      <c r="C1305" s="143" t="s">
        <v>16</v>
      </c>
      <c r="D1305" s="143" t="s">
        <v>154</v>
      </c>
      <c r="E1305" s="142"/>
      <c r="F1305" s="142"/>
    </row>
    <row r="1306" spans="1:6" s="113" customFormat="1" ht="26.25" x14ac:dyDescent="0.25">
      <c r="A1306" s="195">
        <v>11507</v>
      </c>
      <c r="B1306" s="188" t="s">
        <v>2876</v>
      </c>
      <c r="C1306" s="146" t="s">
        <v>16</v>
      </c>
      <c r="D1306" s="146" t="s">
        <v>302</v>
      </c>
      <c r="E1306" s="606"/>
      <c r="F1306" s="187"/>
    </row>
    <row r="1307" spans="1:6" s="113" customFormat="1" ht="26.25" x14ac:dyDescent="0.25">
      <c r="A1307" s="247">
        <v>11514</v>
      </c>
      <c r="B1307" s="250" t="s">
        <v>1272</v>
      </c>
      <c r="C1307" s="143" t="s">
        <v>16</v>
      </c>
      <c r="D1307" s="260" t="s">
        <v>302</v>
      </c>
      <c r="E1307" s="250"/>
      <c r="F1307" s="250"/>
    </row>
    <row r="1308" spans="1:6" s="113" customFormat="1" ht="26.25" x14ac:dyDescent="0.25">
      <c r="A1308" s="247">
        <v>11550</v>
      </c>
      <c r="B1308" s="250" t="s">
        <v>2083</v>
      </c>
      <c r="C1308" s="143" t="s">
        <v>16</v>
      </c>
      <c r="D1308" s="260" t="s">
        <v>116</v>
      </c>
      <c r="E1308" s="250"/>
      <c r="F1308" s="250"/>
    </row>
    <row r="1309" spans="1:6" s="113" customFormat="1" x14ac:dyDescent="0.25">
      <c r="A1309" s="190">
        <v>11558</v>
      </c>
      <c r="B1309" s="606" t="s">
        <v>3095</v>
      </c>
      <c r="C1309" s="606" t="s">
        <v>16</v>
      </c>
      <c r="D1309" s="606" t="s">
        <v>3092</v>
      </c>
      <c r="E1309" s="606"/>
      <c r="F1309" s="606"/>
    </row>
    <row r="1310" spans="1:6" s="113" customFormat="1" ht="26.25" x14ac:dyDescent="0.25">
      <c r="A1310" s="247">
        <v>11560</v>
      </c>
      <c r="B1310" s="250" t="s">
        <v>1273</v>
      </c>
      <c r="C1310" s="143" t="s">
        <v>16</v>
      </c>
      <c r="D1310" s="143" t="s">
        <v>242</v>
      </c>
      <c r="E1310" s="250"/>
      <c r="F1310" s="250"/>
    </row>
    <row r="1311" spans="1:6" s="113" customFormat="1" x14ac:dyDescent="0.25">
      <c r="A1311" s="141">
        <v>11563</v>
      </c>
      <c r="B1311" s="142" t="s">
        <v>583</v>
      </c>
      <c r="C1311" s="143" t="s">
        <v>73</v>
      </c>
      <c r="D1311" s="244" t="s">
        <v>116</v>
      </c>
      <c r="E1311" s="142"/>
      <c r="F1311" s="142"/>
    </row>
    <row r="1312" spans="1:6" s="113" customFormat="1" ht="26.25" x14ac:dyDescent="0.25">
      <c r="A1312" s="141">
        <v>11610</v>
      </c>
      <c r="B1312" s="142" t="s">
        <v>584</v>
      </c>
      <c r="C1312" s="143" t="s">
        <v>6</v>
      </c>
      <c r="D1312" s="143" t="s">
        <v>116</v>
      </c>
      <c r="E1312" s="142"/>
      <c r="F1312" s="142"/>
    </row>
    <row r="1313" spans="1:7" s="113" customFormat="1" ht="26.25" x14ac:dyDescent="0.25">
      <c r="A1313" s="141">
        <v>11620</v>
      </c>
      <c r="B1313" s="142" t="s">
        <v>585</v>
      </c>
      <c r="C1313" s="143" t="s">
        <v>16</v>
      </c>
      <c r="D1313" s="143" t="s">
        <v>154</v>
      </c>
      <c r="E1313" s="142"/>
      <c r="F1313" s="142"/>
    </row>
    <row r="1314" spans="1:7" s="113" customFormat="1" x14ac:dyDescent="0.25">
      <c r="A1314" s="141">
        <v>11627</v>
      </c>
      <c r="B1314" s="142" t="s">
        <v>586</v>
      </c>
      <c r="C1314" s="143" t="s">
        <v>32</v>
      </c>
      <c r="D1314" s="143" t="s">
        <v>154</v>
      </c>
      <c r="E1314" s="142"/>
      <c r="F1314" s="142"/>
    </row>
    <row r="1315" spans="1:7" s="113" customFormat="1" ht="26.25" x14ac:dyDescent="0.25">
      <c r="A1315" s="141">
        <v>11654</v>
      </c>
      <c r="B1315" s="142" t="s">
        <v>587</v>
      </c>
      <c r="C1315" s="143" t="s">
        <v>8</v>
      </c>
      <c r="D1315" s="143" t="s">
        <v>14</v>
      </c>
      <c r="E1315" s="142"/>
      <c r="F1315" s="142"/>
    </row>
    <row r="1316" spans="1:7" s="113" customFormat="1" x14ac:dyDescent="0.25">
      <c r="A1316" s="141">
        <v>11694</v>
      </c>
      <c r="B1316" s="142" t="s">
        <v>2084</v>
      </c>
      <c r="C1316" s="143" t="s">
        <v>32</v>
      </c>
      <c r="D1316" s="143" t="s">
        <v>154</v>
      </c>
      <c r="E1316" s="142"/>
      <c r="F1316" s="142"/>
    </row>
    <row r="1317" spans="1:7" s="113" customFormat="1" x14ac:dyDescent="0.25">
      <c r="A1317" s="141">
        <v>11810</v>
      </c>
      <c r="B1317" s="142" t="s">
        <v>588</v>
      </c>
      <c r="C1317" s="143" t="s">
        <v>9</v>
      </c>
      <c r="D1317" s="143" t="s">
        <v>11</v>
      </c>
      <c r="E1317" s="142"/>
      <c r="F1317" s="142"/>
    </row>
    <row r="1318" spans="1:7" s="113" customFormat="1" ht="26.25" x14ac:dyDescent="0.25">
      <c r="A1318" s="141">
        <v>12007</v>
      </c>
      <c r="B1318" s="142" t="s">
        <v>2085</v>
      </c>
      <c r="C1318" s="143" t="s">
        <v>5</v>
      </c>
      <c r="D1318" s="143" t="s">
        <v>21</v>
      </c>
      <c r="E1318" s="142"/>
      <c r="F1318" s="142"/>
    </row>
    <row r="1319" spans="1:7" s="113" customFormat="1" x14ac:dyDescent="0.25">
      <c r="A1319" s="141">
        <v>12033</v>
      </c>
      <c r="B1319" s="142" t="s">
        <v>589</v>
      </c>
      <c r="C1319" s="143" t="s">
        <v>12</v>
      </c>
      <c r="D1319" s="143" t="s">
        <v>11</v>
      </c>
      <c r="E1319" s="142"/>
      <c r="F1319" s="142"/>
    </row>
    <row r="1320" spans="1:7" s="113" customFormat="1" ht="26.25" x14ac:dyDescent="0.25">
      <c r="A1320" s="141">
        <v>12116</v>
      </c>
      <c r="B1320" s="142" t="s">
        <v>590</v>
      </c>
      <c r="C1320" s="143" t="s">
        <v>27</v>
      </c>
      <c r="D1320" s="143" t="s">
        <v>2086</v>
      </c>
      <c r="E1320" s="142"/>
      <c r="F1320" s="142"/>
    </row>
    <row r="1321" spans="1:7" s="113" customFormat="1" x14ac:dyDescent="0.25">
      <c r="A1321" s="141">
        <v>12140</v>
      </c>
      <c r="B1321" s="142" t="s">
        <v>591</v>
      </c>
      <c r="C1321" s="143" t="s">
        <v>384</v>
      </c>
      <c r="D1321" s="143" t="s">
        <v>45</v>
      </c>
      <c r="E1321" s="142"/>
      <c r="F1321" s="142"/>
      <c r="G1321" s="194"/>
    </row>
    <row r="1322" spans="1:7" s="113" customFormat="1" ht="26.25" x14ac:dyDescent="0.25">
      <c r="A1322" s="141">
        <v>12158</v>
      </c>
      <c r="B1322" s="142" t="s">
        <v>592</v>
      </c>
      <c r="C1322" s="143" t="s">
        <v>4</v>
      </c>
      <c r="D1322" s="143" t="s">
        <v>7</v>
      </c>
      <c r="E1322" s="142"/>
      <c r="F1322" s="142"/>
    </row>
    <row r="1323" spans="1:7" s="113" customFormat="1" x14ac:dyDescent="0.25">
      <c r="A1323" s="247">
        <v>12261</v>
      </c>
      <c r="B1323" s="248" t="s">
        <v>1370</v>
      </c>
      <c r="C1323" s="143" t="s">
        <v>10</v>
      </c>
      <c r="D1323" s="244" t="s">
        <v>325</v>
      </c>
      <c r="E1323" s="248"/>
      <c r="F1323" s="248"/>
    </row>
    <row r="1324" spans="1:7" s="113" customFormat="1" x14ac:dyDescent="0.25">
      <c r="A1324" s="141">
        <v>12573</v>
      </c>
      <c r="B1324" s="142" t="s">
        <v>2087</v>
      </c>
      <c r="C1324" s="143" t="s">
        <v>34</v>
      </c>
      <c r="D1324" s="143" t="s">
        <v>154</v>
      </c>
      <c r="E1324" s="142"/>
      <c r="F1324" s="142"/>
    </row>
    <row r="1325" spans="1:7" s="113" customFormat="1" ht="26.25" x14ac:dyDescent="0.25">
      <c r="A1325" s="141">
        <v>12609</v>
      </c>
      <c r="B1325" s="142" t="s">
        <v>2088</v>
      </c>
      <c r="C1325" s="143" t="s">
        <v>8</v>
      </c>
      <c r="D1325" s="143" t="s">
        <v>11</v>
      </c>
      <c r="E1325" s="142"/>
      <c r="F1325" s="142"/>
    </row>
    <row r="1326" spans="1:7" s="113" customFormat="1" x14ac:dyDescent="0.25">
      <c r="A1326" s="247">
        <v>12626</v>
      </c>
      <c r="B1326" s="250" t="s">
        <v>1524</v>
      </c>
      <c r="C1326" s="143" t="s">
        <v>9</v>
      </c>
      <c r="D1326" s="260" t="s">
        <v>811</v>
      </c>
      <c r="E1326" s="250"/>
      <c r="F1326" s="250"/>
    </row>
    <row r="1327" spans="1:7" s="113" customFormat="1" x14ac:dyDescent="0.25">
      <c r="A1327" s="141">
        <v>12686</v>
      </c>
      <c r="B1327" s="142" t="s">
        <v>2089</v>
      </c>
      <c r="C1327" s="143" t="s">
        <v>24</v>
      </c>
      <c r="D1327" s="143" t="s">
        <v>21</v>
      </c>
      <c r="E1327" s="142"/>
      <c r="F1327" s="142"/>
    </row>
    <row r="1328" spans="1:7" s="113" customFormat="1" x14ac:dyDescent="0.25">
      <c r="A1328" s="141">
        <v>12687</v>
      </c>
      <c r="B1328" s="142" t="s">
        <v>593</v>
      </c>
      <c r="C1328" s="143" t="s">
        <v>32</v>
      </c>
      <c r="D1328" s="143" t="s">
        <v>11</v>
      </c>
      <c r="E1328" s="142"/>
      <c r="F1328" s="142"/>
    </row>
    <row r="1329" spans="1:8" s="113" customFormat="1" x14ac:dyDescent="0.25">
      <c r="A1329" s="141">
        <v>12747</v>
      </c>
      <c r="B1329" s="142" t="s">
        <v>594</v>
      </c>
      <c r="C1329" s="143" t="s">
        <v>10</v>
      </c>
      <c r="D1329" s="143" t="s">
        <v>11</v>
      </c>
      <c r="E1329" s="142"/>
      <c r="F1329" s="142"/>
    </row>
    <row r="1330" spans="1:8" s="113" customFormat="1" x14ac:dyDescent="0.25">
      <c r="A1330" s="141">
        <v>12754</v>
      </c>
      <c r="B1330" s="142" t="s">
        <v>595</v>
      </c>
      <c r="C1330" s="143" t="s">
        <v>17</v>
      </c>
      <c r="D1330" s="143" t="s">
        <v>154</v>
      </c>
      <c r="E1330" s="142"/>
      <c r="F1330" s="142"/>
    </row>
    <row r="1331" spans="1:8" s="113" customFormat="1" ht="26.25" x14ac:dyDescent="0.25">
      <c r="A1331" s="141">
        <v>12784</v>
      </c>
      <c r="B1331" s="142" t="s">
        <v>2090</v>
      </c>
      <c r="C1331" s="143" t="s">
        <v>27</v>
      </c>
      <c r="D1331" s="143" t="s">
        <v>154</v>
      </c>
      <c r="E1331" s="142"/>
      <c r="F1331" s="142"/>
    </row>
    <row r="1332" spans="1:8" s="113" customFormat="1" x14ac:dyDescent="0.25">
      <c r="A1332" s="190">
        <v>12813</v>
      </c>
      <c r="B1332" s="187" t="s">
        <v>2680</v>
      </c>
      <c r="C1332" s="187" t="s">
        <v>8</v>
      </c>
      <c r="D1332" s="187" t="s">
        <v>50</v>
      </c>
      <c r="E1332" s="606"/>
      <c r="F1332" s="606"/>
    </row>
    <row r="1333" spans="1:8" s="113" customFormat="1" x14ac:dyDescent="0.25">
      <c r="A1333" s="190">
        <v>12813</v>
      </c>
      <c r="B1333" s="606" t="s">
        <v>2680</v>
      </c>
      <c r="C1333" s="606" t="s">
        <v>8</v>
      </c>
      <c r="D1333" s="606" t="s">
        <v>3411</v>
      </c>
      <c r="E1333" s="606"/>
      <c r="F1333" s="606"/>
    </row>
    <row r="1334" spans="1:8" s="113" customFormat="1" ht="26.25" x14ac:dyDescent="0.25">
      <c r="A1334" s="141">
        <v>12834</v>
      </c>
      <c r="B1334" s="142" t="s">
        <v>596</v>
      </c>
      <c r="C1334" s="143" t="s">
        <v>53</v>
      </c>
      <c r="D1334" s="143" t="s">
        <v>1591</v>
      </c>
      <c r="E1334" s="142"/>
      <c r="F1334" s="142"/>
    </row>
    <row r="1335" spans="1:8" s="113" customFormat="1" ht="26.25" x14ac:dyDescent="0.25">
      <c r="A1335" s="141">
        <v>12869</v>
      </c>
      <c r="B1335" s="142" t="s">
        <v>2091</v>
      </c>
      <c r="C1335" s="143" t="s">
        <v>20</v>
      </c>
      <c r="D1335" s="143" t="s">
        <v>302</v>
      </c>
      <c r="E1335" s="142"/>
      <c r="F1335" s="142"/>
    </row>
    <row r="1336" spans="1:8" s="113" customFormat="1" ht="26.25" x14ac:dyDescent="0.25">
      <c r="A1336" s="141">
        <v>12922</v>
      </c>
      <c r="B1336" s="142" t="s">
        <v>2092</v>
      </c>
      <c r="C1336" s="143" t="s">
        <v>8</v>
      </c>
      <c r="D1336" s="143" t="s">
        <v>154</v>
      </c>
      <c r="E1336" s="142"/>
      <c r="F1336" s="142"/>
    </row>
    <row r="1337" spans="1:8" s="113" customFormat="1" x14ac:dyDescent="0.25">
      <c r="A1337" s="141">
        <v>12927</v>
      </c>
      <c r="B1337" s="142" t="s">
        <v>597</v>
      </c>
      <c r="C1337" s="143" t="s">
        <v>17</v>
      </c>
      <c r="D1337" s="143" t="s">
        <v>11</v>
      </c>
      <c r="E1337" s="142"/>
      <c r="F1337" s="142"/>
    </row>
    <row r="1338" spans="1:8" s="113" customFormat="1" ht="26.25" x14ac:dyDescent="0.25">
      <c r="A1338" s="141">
        <v>12936</v>
      </c>
      <c r="B1338" s="144" t="s">
        <v>598</v>
      </c>
      <c r="C1338" s="143" t="s">
        <v>27</v>
      </c>
      <c r="D1338" s="143" t="s">
        <v>21</v>
      </c>
      <c r="E1338" s="142"/>
      <c r="F1338" s="142"/>
      <c r="H1338" s="194"/>
    </row>
    <row r="1339" spans="1:8" s="113" customFormat="1" ht="26.25" x14ac:dyDescent="0.25">
      <c r="A1339" s="141">
        <v>12942</v>
      </c>
      <c r="B1339" s="142" t="s">
        <v>2093</v>
      </c>
      <c r="C1339" s="143" t="s">
        <v>49</v>
      </c>
      <c r="D1339" s="143" t="s">
        <v>150</v>
      </c>
      <c r="E1339" s="142"/>
      <c r="F1339" s="142"/>
    </row>
    <row r="1340" spans="1:8" s="113" customFormat="1" x14ac:dyDescent="0.25">
      <c r="A1340" s="153">
        <v>12952</v>
      </c>
      <c r="B1340" s="154" t="s">
        <v>2094</v>
      </c>
      <c r="C1340" s="143" t="s">
        <v>53</v>
      </c>
      <c r="D1340" s="143" t="s">
        <v>154</v>
      </c>
      <c r="E1340" s="142"/>
      <c r="F1340" s="142"/>
    </row>
    <row r="1341" spans="1:8" s="113" customFormat="1" x14ac:dyDescent="0.25">
      <c r="A1341" s="141">
        <v>12956</v>
      </c>
      <c r="B1341" s="142" t="s">
        <v>2095</v>
      </c>
      <c r="C1341" s="143" t="s">
        <v>599</v>
      </c>
      <c r="D1341" s="143" t="s">
        <v>154</v>
      </c>
      <c r="E1341" s="142"/>
      <c r="F1341" s="142"/>
    </row>
    <row r="1342" spans="1:8" s="113" customFormat="1" ht="26.25" x14ac:dyDescent="0.25">
      <c r="A1342" s="141">
        <v>13011</v>
      </c>
      <c r="B1342" s="142" t="s">
        <v>600</v>
      </c>
      <c r="C1342" s="143" t="s">
        <v>5</v>
      </c>
      <c r="D1342" s="143" t="s">
        <v>154</v>
      </c>
      <c r="E1342" s="142"/>
      <c r="F1342" s="142"/>
    </row>
    <row r="1343" spans="1:8" s="113" customFormat="1" x14ac:dyDescent="0.25">
      <c r="A1343" s="141">
        <v>13164</v>
      </c>
      <c r="B1343" s="142" t="s">
        <v>601</v>
      </c>
      <c r="C1343" s="143" t="s">
        <v>63</v>
      </c>
      <c r="D1343" s="143" t="s">
        <v>1164</v>
      </c>
      <c r="E1343" s="142"/>
      <c r="F1343" s="142"/>
    </row>
    <row r="1344" spans="1:8" s="113" customFormat="1" ht="26.25" x14ac:dyDescent="0.25">
      <c r="A1344" s="141">
        <v>13275</v>
      </c>
      <c r="B1344" s="142" t="s">
        <v>1134</v>
      </c>
      <c r="C1344" s="143" t="s">
        <v>5</v>
      </c>
      <c r="D1344" s="143" t="s">
        <v>7</v>
      </c>
      <c r="E1344" s="142"/>
      <c r="F1344" s="142"/>
    </row>
    <row r="1345" spans="1:8" s="113" customFormat="1" x14ac:dyDescent="0.25">
      <c r="A1345" s="141">
        <v>13363</v>
      </c>
      <c r="B1345" s="142" t="s">
        <v>602</v>
      </c>
      <c r="C1345" s="143" t="s">
        <v>63</v>
      </c>
      <c r="D1345" s="143" t="s">
        <v>325</v>
      </c>
      <c r="E1345" s="142"/>
      <c r="F1345" s="142"/>
    </row>
    <row r="1346" spans="1:8" s="113" customFormat="1" ht="26.25" x14ac:dyDescent="0.25">
      <c r="A1346" s="141">
        <v>13387</v>
      </c>
      <c r="B1346" s="142" t="s">
        <v>2096</v>
      </c>
      <c r="C1346" s="143" t="s">
        <v>27</v>
      </c>
      <c r="D1346" s="143" t="s">
        <v>50</v>
      </c>
      <c r="E1346" s="142"/>
      <c r="F1346" s="142"/>
    </row>
    <row r="1347" spans="1:8" s="113" customFormat="1" x14ac:dyDescent="0.25">
      <c r="A1347" s="264">
        <v>13403</v>
      </c>
      <c r="B1347" s="265" t="s">
        <v>2530</v>
      </c>
      <c r="C1347" s="146" t="s">
        <v>24</v>
      </c>
      <c r="D1347" s="265" t="s">
        <v>1635</v>
      </c>
      <c r="E1347" s="265"/>
      <c r="F1347" s="265"/>
    </row>
    <row r="1348" spans="1:8" s="113" customFormat="1" x14ac:dyDescent="0.25">
      <c r="A1348" s="141">
        <v>13421</v>
      </c>
      <c r="B1348" s="142" t="s">
        <v>2097</v>
      </c>
      <c r="C1348" s="143" t="s">
        <v>64</v>
      </c>
      <c r="D1348" s="143" t="s">
        <v>501</v>
      </c>
      <c r="E1348" s="142"/>
      <c r="F1348" s="142"/>
    </row>
    <row r="1349" spans="1:8" s="113" customFormat="1" ht="26.25" x14ac:dyDescent="0.25">
      <c r="A1349" s="141">
        <v>13425</v>
      </c>
      <c r="B1349" s="142" t="s">
        <v>1166</v>
      </c>
      <c r="C1349" s="143" t="s">
        <v>5</v>
      </c>
      <c r="D1349" s="143" t="s">
        <v>154</v>
      </c>
      <c r="E1349" s="142"/>
      <c r="F1349" s="142"/>
    </row>
    <row r="1350" spans="1:8" s="113" customFormat="1" ht="26.25" x14ac:dyDescent="0.25">
      <c r="A1350" s="141">
        <v>13492</v>
      </c>
      <c r="B1350" s="142" t="s">
        <v>2098</v>
      </c>
      <c r="C1350" s="143" t="s">
        <v>5</v>
      </c>
      <c r="D1350" s="143" t="s">
        <v>242</v>
      </c>
      <c r="E1350" s="142"/>
      <c r="F1350" s="142"/>
      <c r="G1350" s="607"/>
      <c r="H1350" s="607"/>
    </row>
    <row r="1351" spans="1:8" s="113" customFormat="1" x14ac:dyDescent="0.25">
      <c r="A1351" s="141">
        <v>13506</v>
      </c>
      <c r="B1351" s="142" t="s">
        <v>2099</v>
      </c>
      <c r="C1351" s="143" t="s">
        <v>32</v>
      </c>
      <c r="D1351" s="143" t="s">
        <v>7</v>
      </c>
      <c r="E1351" s="142"/>
      <c r="F1351" s="142"/>
    </row>
    <row r="1352" spans="1:8" s="113" customFormat="1" x14ac:dyDescent="0.25">
      <c r="A1352" s="190">
        <v>13548</v>
      </c>
      <c r="B1352" s="188" t="s">
        <v>2516</v>
      </c>
      <c r="C1352" s="146" t="s">
        <v>10</v>
      </c>
      <c r="D1352" s="606" t="s">
        <v>154</v>
      </c>
      <c r="E1352" s="606"/>
      <c r="F1352" s="606"/>
    </row>
    <row r="1353" spans="1:8" s="113" customFormat="1" ht="26.25" x14ac:dyDescent="0.25">
      <c r="A1353" s="141">
        <v>13565</v>
      </c>
      <c r="B1353" s="142" t="s">
        <v>2100</v>
      </c>
      <c r="C1353" s="143" t="s">
        <v>3</v>
      </c>
      <c r="D1353" s="143" t="s">
        <v>21</v>
      </c>
      <c r="E1353" s="142"/>
      <c r="F1353" s="142"/>
    </row>
    <row r="1354" spans="1:8" s="113" customFormat="1" x14ac:dyDescent="0.25">
      <c r="A1354" s="141">
        <v>13570</v>
      </c>
      <c r="B1354" s="142" t="s">
        <v>604</v>
      </c>
      <c r="C1354" s="143" t="s">
        <v>24</v>
      </c>
      <c r="D1354" s="143" t="s">
        <v>415</v>
      </c>
      <c r="E1354" s="142"/>
      <c r="F1354" s="142"/>
    </row>
    <row r="1355" spans="1:8" s="113" customFormat="1" ht="26.25" x14ac:dyDescent="0.25">
      <c r="A1355" s="141">
        <v>13596</v>
      </c>
      <c r="B1355" s="142" t="s">
        <v>605</v>
      </c>
      <c r="C1355" s="143" t="s">
        <v>8</v>
      </c>
      <c r="D1355" s="143" t="s">
        <v>154</v>
      </c>
      <c r="E1355" s="142"/>
      <c r="F1355" s="142"/>
    </row>
    <row r="1356" spans="1:8" s="113" customFormat="1" ht="26.25" x14ac:dyDescent="0.25">
      <c r="A1356" s="141">
        <v>13600</v>
      </c>
      <c r="B1356" s="142" t="s">
        <v>2101</v>
      </c>
      <c r="C1356" s="143" t="s">
        <v>22</v>
      </c>
      <c r="D1356" s="143" t="s">
        <v>11</v>
      </c>
      <c r="E1356" s="142"/>
      <c r="F1356" s="142"/>
    </row>
    <row r="1357" spans="1:8" s="113" customFormat="1" x14ac:dyDescent="0.25">
      <c r="A1357" s="141">
        <v>13732</v>
      </c>
      <c r="B1357" s="142" t="s">
        <v>606</v>
      </c>
      <c r="C1357" s="143" t="s">
        <v>140</v>
      </c>
      <c r="D1357" s="143" t="s">
        <v>11</v>
      </c>
      <c r="E1357" s="142"/>
      <c r="F1357" s="142"/>
    </row>
    <row r="1358" spans="1:8" s="113" customFormat="1" ht="26.25" x14ac:dyDescent="0.25">
      <c r="A1358" s="141">
        <v>14101</v>
      </c>
      <c r="B1358" s="142" t="s">
        <v>2102</v>
      </c>
      <c r="C1358" s="143" t="s">
        <v>16</v>
      </c>
      <c r="D1358" s="143" t="s">
        <v>302</v>
      </c>
      <c r="E1358" s="142"/>
      <c r="F1358" s="142"/>
      <c r="G1358" s="194"/>
      <c r="H1358" s="194"/>
    </row>
    <row r="1359" spans="1:8" s="113" customFormat="1" x14ac:dyDescent="0.25">
      <c r="A1359" s="141">
        <v>14108</v>
      </c>
      <c r="B1359" s="142" t="s">
        <v>2103</v>
      </c>
      <c r="C1359" s="143" t="s">
        <v>64</v>
      </c>
      <c r="D1359" s="143" t="s">
        <v>2066</v>
      </c>
      <c r="E1359" s="142"/>
      <c r="F1359" s="142"/>
    </row>
    <row r="1360" spans="1:8" s="113" customFormat="1" ht="26.25" x14ac:dyDescent="0.25">
      <c r="A1360" s="247">
        <v>14119</v>
      </c>
      <c r="B1360" s="250" t="s">
        <v>2104</v>
      </c>
      <c r="C1360" s="143" t="s">
        <v>16</v>
      </c>
      <c r="D1360" s="260" t="s">
        <v>302</v>
      </c>
      <c r="E1360" s="250"/>
      <c r="F1360" s="250"/>
    </row>
    <row r="1361" spans="1:7" s="113" customFormat="1" x14ac:dyDescent="0.25">
      <c r="A1361" s="141">
        <v>14166</v>
      </c>
      <c r="B1361" s="142" t="s">
        <v>607</v>
      </c>
      <c r="C1361" s="143" t="s">
        <v>9</v>
      </c>
      <c r="D1361" s="143" t="s">
        <v>1105</v>
      </c>
      <c r="E1361" s="142"/>
      <c r="F1361" s="142"/>
    </row>
    <row r="1362" spans="1:7" s="113" customFormat="1" ht="26.25" x14ac:dyDescent="0.25">
      <c r="A1362" s="141">
        <v>14213</v>
      </c>
      <c r="B1362" s="142" t="s">
        <v>2105</v>
      </c>
      <c r="C1362" s="143" t="s">
        <v>157</v>
      </c>
      <c r="D1362" s="143" t="s">
        <v>154</v>
      </c>
      <c r="E1362" s="142"/>
      <c r="F1362" s="142"/>
    </row>
    <row r="1363" spans="1:7" s="113" customFormat="1" x14ac:dyDescent="0.25">
      <c r="A1363" s="247">
        <v>14239</v>
      </c>
      <c r="B1363" s="250" t="s">
        <v>2106</v>
      </c>
      <c r="C1363" s="143" t="s">
        <v>12</v>
      </c>
      <c r="D1363" s="143" t="s">
        <v>811</v>
      </c>
      <c r="E1363" s="250"/>
      <c r="F1363" s="250"/>
    </row>
    <row r="1364" spans="1:7" s="113" customFormat="1" x14ac:dyDescent="0.25">
      <c r="A1364" s="141">
        <v>14244</v>
      </c>
      <c r="B1364" s="142" t="s">
        <v>2107</v>
      </c>
      <c r="C1364" s="143" t="s">
        <v>167</v>
      </c>
      <c r="D1364" s="143" t="s">
        <v>173</v>
      </c>
      <c r="E1364" s="142"/>
      <c r="F1364" s="142"/>
    </row>
    <row r="1365" spans="1:7" s="113" customFormat="1" ht="26.25" x14ac:dyDescent="0.25">
      <c r="A1365" s="141">
        <v>14269</v>
      </c>
      <c r="B1365" s="142" t="s">
        <v>608</v>
      </c>
      <c r="C1365" s="143" t="s">
        <v>1478</v>
      </c>
      <c r="D1365" s="143" t="s">
        <v>173</v>
      </c>
      <c r="E1365" s="142"/>
      <c r="F1365" s="142"/>
    </row>
    <row r="1366" spans="1:7" s="113" customFormat="1" x14ac:dyDescent="0.25">
      <c r="A1366" s="141">
        <v>14282</v>
      </c>
      <c r="B1366" s="142" t="s">
        <v>609</v>
      </c>
      <c r="C1366" s="143" t="s">
        <v>44</v>
      </c>
      <c r="D1366" s="143" t="s">
        <v>109</v>
      </c>
      <c r="E1366" s="142"/>
      <c r="F1366" s="142"/>
    </row>
    <row r="1367" spans="1:7" s="113" customFormat="1" x14ac:dyDescent="0.25">
      <c r="A1367" s="247">
        <v>14286</v>
      </c>
      <c r="B1367" s="250" t="s">
        <v>1584</v>
      </c>
      <c r="C1367" s="143" t="s">
        <v>17</v>
      </c>
      <c r="D1367" s="260" t="s">
        <v>242</v>
      </c>
      <c r="E1367" s="250"/>
      <c r="F1367" s="250"/>
    </row>
    <row r="1368" spans="1:7" s="113" customFormat="1" x14ac:dyDescent="0.25">
      <c r="A1368" s="245">
        <v>14300</v>
      </c>
      <c r="B1368" s="246" t="s">
        <v>2684</v>
      </c>
      <c r="C1368" s="246" t="s">
        <v>140</v>
      </c>
      <c r="D1368" s="143" t="s">
        <v>109</v>
      </c>
      <c r="E1368" s="246"/>
      <c r="F1368" s="246"/>
      <c r="G1368" s="194"/>
    </row>
    <row r="1369" spans="1:7" s="113" customFormat="1" ht="26.25" x14ac:dyDescent="0.25">
      <c r="A1369" s="141">
        <v>14304</v>
      </c>
      <c r="B1369" s="142" t="s">
        <v>610</v>
      </c>
      <c r="C1369" s="143" t="s">
        <v>96</v>
      </c>
      <c r="D1369" s="143" t="s">
        <v>109</v>
      </c>
      <c r="E1369" s="142"/>
      <c r="F1369" s="142"/>
    </row>
    <row r="1370" spans="1:7" s="113" customFormat="1" x14ac:dyDescent="0.25">
      <c r="A1370" s="141">
        <v>14364</v>
      </c>
      <c r="B1370" s="142" t="s">
        <v>611</v>
      </c>
      <c r="C1370" s="143" t="s">
        <v>17</v>
      </c>
      <c r="D1370" s="143" t="s">
        <v>154</v>
      </c>
      <c r="E1370" s="142"/>
      <c r="F1370" s="142"/>
    </row>
    <row r="1371" spans="1:7" s="113" customFormat="1" ht="26.25" x14ac:dyDescent="0.25">
      <c r="A1371" s="141">
        <v>14372</v>
      </c>
      <c r="B1371" s="142" t="s">
        <v>612</v>
      </c>
      <c r="C1371" s="143" t="s">
        <v>8</v>
      </c>
      <c r="D1371" s="143" t="s">
        <v>154</v>
      </c>
      <c r="E1371" s="142"/>
      <c r="F1371" s="142"/>
    </row>
    <row r="1372" spans="1:7" s="113" customFormat="1" ht="26.25" x14ac:dyDescent="0.25">
      <c r="A1372" s="141">
        <v>14379</v>
      </c>
      <c r="B1372" s="142" t="s">
        <v>2108</v>
      </c>
      <c r="C1372" s="143" t="s">
        <v>27</v>
      </c>
      <c r="D1372" s="143" t="s">
        <v>7</v>
      </c>
      <c r="E1372" s="142"/>
      <c r="F1372" s="142"/>
    </row>
    <row r="1373" spans="1:7" s="113" customFormat="1" ht="26.25" x14ac:dyDescent="0.25">
      <c r="A1373" s="141">
        <v>14381</v>
      </c>
      <c r="B1373" s="142" t="s">
        <v>2109</v>
      </c>
      <c r="C1373" s="143" t="s">
        <v>3</v>
      </c>
      <c r="D1373" s="143" t="s">
        <v>11</v>
      </c>
      <c r="E1373" s="142"/>
      <c r="F1373" s="142"/>
    </row>
    <row r="1374" spans="1:7" s="113" customFormat="1" ht="39" x14ac:dyDescent="0.25">
      <c r="A1374" s="141">
        <v>14387</v>
      </c>
      <c r="B1374" s="142" t="s">
        <v>613</v>
      </c>
      <c r="C1374" s="143" t="s">
        <v>2110</v>
      </c>
      <c r="D1374" s="143" t="s">
        <v>1105</v>
      </c>
      <c r="E1374" s="142"/>
      <c r="F1374" s="142"/>
    </row>
    <row r="1375" spans="1:7" s="113" customFormat="1" ht="26.25" x14ac:dyDescent="0.25">
      <c r="A1375" s="141">
        <v>14408</v>
      </c>
      <c r="B1375" s="142" t="s">
        <v>614</v>
      </c>
      <c r="C1375" s="143" t="s">
        <v>8</v>
      </c>
      <c r="D1375" s="143" t="s">
        <v>242</v>
      </c>
      <c r="E1375" s="142"/>
      <c r="F1375" s="142"/>
    </row>
    <row r="1376" spans="1:7" s="113" customFormat="1" x14ac:dyDescent="0.25">
      <c r="A1376" s="141">
        <v>14446</v>
      </c>
      <c r="B1376" s="142" t="s">
        <v>615</v>
      </c>
      <c r="C1376" s="143" t="s">
        <v>10</v>
      </c>
      <c r="D1376" s="143" t="s">
        <v>154</v>
      </c>
      <c r="E1376" s="142"/>
      <c r="F1376" s="142"/>
    </row>
    <row r="1377" spans="1:8" s="113" customFormat="1" ht="26.25" x14ac:dyDescent="0.25">
      <c r="A1377" s="141">
        <v>14460</v>
      </c>
      <c r="B1377" s="142" t="s">
        <v>616</v>
      </c>
      <c r="C1377" s="143" t="s">
        <v>10</v>
      </c>
      <c r="D1377" s="143" t="s">
        <v>2111</v>
      </c>
      <c r="E1377" s="142"/>
      <c r="F1377" s="142"/>
    </row>
    <row r="1378" spans="1:8" s="113" customFormat="1" x14ac:dyDescent="0.25">
      <c r="A1378" s="141">
        <v>14467</v>
      </c>
      <c r="B1378" s="142" t="s">
        <v>2112</v>
      </c>
      <c r="C1378" s="143" t="s">
        <v>10</v>
      </c>
      <c r="D1378" s="143" t="s">
        <v>154</v>
      </c>
      <c r="E1378" s="142"/>
      <c r="F1378" s="142"/>
    </row>
    <row r="1379" spans="1:8" s="113" customFormat="1" x14ac:dyDescent="0.25">
      <c r="A1379" s="190">
        <v>14727</v>
      </c>
      <c r="B1379" s="188" t="s">
        <v>2882</v>
      </c>
      <c r="C1379" s="146" t="s">
        <v>10</v>
      </c>
      <c r="D1379" s="262" t="s">
        <v>154</v>
      </c>
      <c r="E1379" s="187"/>
      <c r="F1379" s="187"/>
    </row>
    <row r="1380" spans="1:8" s="113" customFormat="1" x14ac:dyDescent="0.25">
      <c r="A1380" s="141">
        <v>14905</v>
      </c>
      <c r="B1380" s="142" t="s">
        <v>617</v>
      </c>
      <c r="C1380" s="143" t="s">
        <v>10</v>
      </c>
      <c r="D1380" s="143" t="s">
        <v>7</v>
      </c>
      <c r="E1380" s="142"/>
      <c r="F1380" s="142"/>
    </row>
    <row r="1381" spans="1:8" s="113" customFormat="1" x14ac:dyDescent="0.25">
      <c r="A1381" s="141">
        <v>14924</v>
      </c>
      <c r="B1381" s="142" t="s">
        <v>618</v>
      </c>
      <c r="C1381" s="143" t="s">
        <v>10</v>
      </c>
      <c r="D1381" s="148" t="s">
        <v>124</v>
      </c>
      <c r="E1381" s="144"/>
      <c r="F1381" s="142"/>
    </row>
    <row r="1382" spans="1:8" s="113" customFormat="1" x14ac:dyDescent="0.25">
      <c r="A1382" s="141">
        <v>14996</v>
      </c>
      <c r="B1382" s="142" t="s">
        <v>620</v>
      </c>
      <c r="C1382" s="143" t="s">
        <v>10</v>
      </c>
      <c r="D1382" s="143" t="s">
        <v>154</v>
      </c>
      <c r="E1382" s="142"/>
      <c r="F1382" s="142"/>
    </row>
    <row r="1383" spans="1:8" s="113" customFormat="1" x14ac:dyDescent="0.25">
      <c r="A1383" s="156">
        <v>15034</v>
      </c>
      <c r="B1383" s="157" t="s">
        <v>621</v>
      </c>
      <c r="C1383" s="143" t="s">
        <v>10</v>
      </c>
      <c r="D1383" s="158" t="s">
        <v>154</v>
      </c>
      <c r="E1383" s="142"/>
      <c r="F1383" s="142"/>
    </row>
    <row r="1384" spans="1:8" s="113" customFormat="1" ht="26.25" x14ac:dyDescent="0.25">
      <c r="A1384" s="141">
        <v>15047</v>
      </c>
      <c r="B1384" s="142" t="s">
        <v>2113</v>
      </c>
      <c r="C1384" s="143" t="s">
        <v>3039</v>
      </c>
      <c r="D1384" s="143" t="s">
        <v>21</v>
      </c>
      <c r="E1384" s="142"/>
      <c r="F1384" s="142"/>
      <c r="H1384" s="194"/>
    </row>
    <row r="1385" spans="1:8" s="113" customFormat="1" x14ac:dyDescent="0.25">
      <c r="A1385" s="141">
        <v>15086</v>
      </c>
      <c r="B1385" s="142" t="s">
        <v>622</v>
      </c>
      <c r="C1385" s="143" t="s">
        <v>63</v>
      </c>
      <c r="D1385" s="143" t="s">
        <v>242</v>
      </c>
      <c r="E1385" s="142"/>
      <c r="F1385" s="142"/>
    </row>
    <row r="1386" spans="1:8" s="113" customFormat="1" x14ac:dyDescent="0.25">
      <c r="A1386" s="190">
        <v>15152</v>
      </c>
      <c r="B1386" s="188" t="s">
        <v>2531</v>
      </c>
      <c r="C1386" s="146" t="s">
        <v>10</v>
      </c>
      <c r="D1386" s="262" t="s">
        <v>325</v>
      </c>
      <c r="E1386" s="187"/>
      <c r="F1386" s="187"/>
    </row>
    <row r="1387" spans="1:8" s="113" customFormat="1" x14ac:dyDescent="0.25">
      <c r="A1387" s="190">
        <v>15181</v>
      </c>
      <c r="B1387" s="188" t="s">
        <v>2594</v>
      </c>
      <c r="C1387" s="187" t="s">
        <v>3039</v>
      </c>
      <c r="D1387" s="244" t="s">
        <v>14</v>
      </c>
      <c r="E1387" s="606"/>
      <c r="F1387" s="606"/>
    </row>
    <row r="1388" spans="1:8" s="113" customFormat="1" x14ac:dyDescent="0.25">
      <c r="A1388" s="141">
        <v>15197</v>
      </c>
      <c r="B1388" s="142" t="s">
        <v>2114</v>
      </c>
      <c r="C1388" s="143" t="s">
        <v>47</v>
      </c>
      <c r="D1388" s="143" t="s">
        <v>56</v>
      </c>
      <c r="E1388" s="142"/>
      <c r="F1388" s="142"/>
    </row>
    <row r="1389" spans="1:8" s="113" customFormat="1" x14ac:dyDescent="0.25">
      <c r="A1389" s="247">
        <v>15298</v>
      </c>
      <c r="B1389" s="250" t="s">
        <v>1274</v>
      </c>
      <c r="C1389" s="143" t="s">
        <v>10</v>
      </c>
      <c r="D1389" s="260" t="s">
        <v>7</v>
      </c>
      <c r="E1389" s="250"/>
      <c r="F1389" s="250"/>
    </row>
    <row r="1390" spans="1:8" s="113" customFormat="1" x14ac:dyDescent="0.25">
      <c r="A1390" s="190">
        <v>15329</v>
      </c>
      <c r="B1390" s="606" t="s">
        <v>3287</v>
      </c>
      <c r="C1390" s="606" t="s">
        <v>10</v>
      </c>
      <c r="D1390" s="606" t="s">
        <v>3288</v>
      </c>
      <c r="E1390" s="606"/>
      <c r="F1390" s="606"/>
    </row>
    <row r="1391" spans="1:8" s="113" customFormat="1" x14ac:dyDescent="0.25">
      <c r="A1391" s="187">
        <v>15329</v>
      </c>
      <c r="B1391" s="187" t="s">
        <v>3441</v>
      </c>
      <c r="C1391" s="187" t="s">
        <v>10</v>
      </c>
      <c r="D1391" s="187" t="s">
        <v>3442</v>
      </c>
      <c r="E1391" s="187"/>
      <c r="F1391" s="187"/>
    </row>
    <row r="1392" spans="1:8" s="113" customFormat="1" x14ac:dyDescent="0.25">
      <c r="A1392" s="195">
        <v>15363</v>
      </c>
      <c r="B1392" s="188" t="s">
        <v>3009</v>
      </c>
      <c r="C1392" s="146" t="s">
        <v>1455</v>
      </c>
      <c r="D1392" s="148" t="s">
        <v>415</v>
      </c>
      <c r="E1392" s="606"/>
      <c r="F1392" s="187"/>
    </row>
    <row r="1393" spans="1:7" s="113" customFormat="1" x14ac:dyDescent="0.25">
      <c r="A1393" s="195">
        <v>15363</v>
      </c>
      <c r="B1393" s="187" t="s">
        <v>3009</v>
      </c>
      <c r="C1393" s="187" t="s">
        <v>1455</v>
      </c>
      <c r="D1393" s="146" t="s">
        <v>415</v>
      </c>
      <c r="E1393" s="606"/>
      <c r="F1393" s="187"/>
    </row>
    <row r="1394" spans="1:7" s="113" customFormat="1" x14ac:dyDescent="0.25">
      <c r="A1394" s="141">
        <v>15417</v>
      </c>
      <c r="B1394" s="142" t="s">
        <v>624</v>
      </c>
      <c r="C1394" s="143" t="s">
        <v>167</v>
      </c>
      <c r="D1394" s="143" t="s">
        <v>109</v>
      </c>
      <c r="E1394" s="142"/>
      <c r="F1394" s="142"/>
    </row>
    <row r="1395" spans="1:7" s="113" customFormat="1" x14ac:dyDescent="0.25">
      <c r="A1395" s="141">
        <v>15433</v>
      </c>
      <c r="B1395" s="142" t="s">
        <v>2115</v>
      </c>
      <c r="C1395" s="143" t="s">
        <v>17</v>
      </c>
      <c r="D1395" s="143" t="s">
        <v>21</v>
      </c>
      <c r="E1395" s="142"/>
      <c r="F1395" s="142"/>
    </row>
    <row r="1396" spans="1:7" s="113" customFormat="1" ht="26.25" x14ac:dyDescent="0.25">
      <c r="A1396" s="190">
        <v>15434</v>
      </c>
      <c r="B1396" s="188" t="s">
        <v>2513</v>
      </c>
      <c r="C1396" s="146" t="s">
        <v>1478</v>
      </c>
      <c r="D1396" s="187" t="s">
        <v>173</v>
      </c>
      <c r="E1396" s="606"/>
      <c r="F1396" s="187"/>
    </row>
    <row r="1397" spans="1:7" s="113" customFormat="1" ht="26.25" x14ac:dyDescent="0.25">
      <c r="A1397" s="141">
        <v>15449</v>
      </c>
      <c r="B1397" s="142" t="s">
        <v>2116</v>
      </c>
      <c r="C1397" s="143" t="s">
        <v>1478</v>
      </c>
      <c r="D1397" s="143" t="s">
        <v>173</v>
      </c>
      <c r="E1397" s="142"/>
      <c r="F1397" s="142"/>
    </row>
    <row r="1398" spans="1:7" s="113" customFormat="1" x14ac:dyDescent="0.25">
      <c r="A1398" s="141">
        <v>15462</v>
      </c>
      <c r="B1398" s="142" t="s">
        <v>625</v>
      </c>
      <c r="C1398" s="143" t="s">
        <v>10</v>
      </c>
      <c r="D1398" s="143" t="s">
        <v>242</v>
      </c>
      <c r="E1398" s="142"/>
      <c r="F1398" s="142"/>
    </row>
    <row r="1399" spans="1:7" s="113" customFormat="1" x14ac:dyDescent="0.25">
      <c r="A1399" s="141">
        <v>15466</v>
      </c>
      <c r="B1399" s="142" t="s">
        <v>2117</v>
      </c>
      <c r="C1399" s="143" t="s">
        <v>1455</v>
      </c>
      <c r="D1399" s="143" t="s">
        <v>415</v>
      </c>
      <c r="E1399" s="142"/>
      <c r="F1399" s="142"/>
    </row>
    <row r="1400" spans="1:7" s="113" customFormat="1" x14ac:dyDescent="0.25">
      <c r="A1400" s="141">
        <v>15472</v>
      </c>
      <c r="B1400" s="142" t="s">
        <v>626</v>
      </c>
      <c r="C1400" s="143" t="s">
        <v>167</v>
      </c>
      <c r="D1400" s="143" t="s">
        <v>7</v>
      </c>
      <c r="E1400" s="142"/>
      <c r="F1400" s="142"/>
    </row>
    <row r="1401" spans="1:7" s="113" customFormat="1" x14ac:dyDescent="0.25">
      <c r="A1401" s="261">
        <v>15506</v>
      </c>
      <c r="B1401" s="188" t="s">
        <v>2608</v>
      </c>
      <c r="C1401" s="146" t="s">
        <v>17</v>
      </c>
      <c r="D1401" s="606"/>
      <c r="E1401" s="606"/>
      <c r="F1401" s="187"/>
    </row>
    <row r="1402" spans="1:7" s="113" customFormat="1" ht="26.25" x14ac:dyDescent="0.25">
      <c r="A1402" s="141">
        <v>15522</v>
      </c>
      <c r="B1402" s="142" t="s">
        <v>627</v>
      </c>
      <c r="C1402" s="143" t="s">
        <v>1478</v>
      </c>
      <c r="D1402" s="143" t="s">
        <v>1867</v>
      </c>
      <c r="E1402" s="142"/>
      <c r="F1402" s="142"/>
    </row>
    <row r="1403" spans="1:7" s="113" customFormat="1" x14ac:dyDescent="0.25">
      <c r="A1403" s="190">
        <v>15528</v>
      </c>
      <c r="B1403" s="606" t="s">
        <v>3380</v>
      </c>
      <c r="C1403" s="606" t="s">
        <v>16</v>
      </c>
      <c r="D1403" s="606" t="s">
        <v>302</v>
      </c>
      <c r="E1403" s="606"/>
      <c r="F1403" s="606"/>
    </row>
    <row r="1404" spans="1:7" s="113" customFormat="1" x14ac:dyDescent="0.25">
      <c r="A1404" s="190">
        <v>15528</v>
      </c>
      <c r="B1404" s="606" t="s">
        <v>3380</v>
      </c>
      <c r="C1404" s="606" t="s">
        <v>16</v>
      </c>
      <c r="D1404" s="606" t="s">
        <v>302</v>
      </c>
      <c r="E1404" s="606"/>
      <c r="F1404" s="606"/>
    </row>
    <row r="1405" spans="1:7" s="113" customFormat="1" ht="26.25" x14ac:dyDescent="0.25">
      <c r="A1405" s="141">
        <v>15529</v>
      </c>
      <c r="B1405" s="142" t="s">
        <v>628</v>
      </c>
      <c r="C1405" s="143" t="s">
        <v>22</v>
      </c>
      <c r="D1405" s="143" t="s">
        <v>7</v>
      </c>
      <c r="E1405" s="142"/>
      <c r="F1405" s="142"/>
      <c r="G1405" s="607"/>
    </row>
    <row r="1406" spans="1:7" s="113" customFormat="1" x14ac:dyDescent="0.25">
      <c r="A1406" s="141">
        <v>15635</v>
      </c>
      <c r="B1406" s="142" t="s">
        <v>2118</v>
      </c>
      <c r="C1406" s="143" t="s">
        <v>32</v>
      </c>
      <c r="D1406" s="143" t="s">
        <v>154</v>
      </c>
      <c r="E1406" s="142"/>
      <c r="F1406" s="142"/>
    </row>
    <row r="1407" spans="1:7" s="113" customFormat="1" ht="26.25" x14ac:dyDescent="0.25">
      <c r="A1407" s="141">
        <v>15673</v>
      </c>
      <c r="B1407" s="142" t="s">
        <v>2119</v>
      </c>
      <c r="C1407" s="143" t="s">
        <v>16</v>
      </c>
      <c r="D1407" s="143" t="s">
        <v>154</v>
      </c>
      <c r="E1407" s="142"/>
      <c r="F1407" s="142"/>
    </row>
    <row r="1408" spans="1:7" s="113" customFormat="1" x14ac:dyDescent="0.25">
      <c r="A1408" s="141">
        <v>15818</v>
      </c>
      <c r="B1408" s="142" t="s">
        <v>629</v>
      </c>
      <c r="C1408" s="143" t="s">
        <v>44</v>
      </c>
      <c r="D1408" s="143" t="s">
        <v>453</v>
      </c>
      <c r="E1408" s="142"/>
      <c r="F1408" s="142"/>
    </row>
    <row r="1409" spans="1:7" s="113" customFormat="1" x14ac:dyDescent="0.25">
      <c r="A1409" s="141">
        <v>15850</v>
      </c>
      <c r="B1409" s="142" t="s">
        <v>2120</v>
      </c>
      <c r="C1409" s="143" t="s">
        <v>73</v>
      </c>
      <c r="D1409" s="143" t="s">
        <v>242</v>
      </c>
      <c r="E1409" s="142"/>
      <c r="F1409" s="142"/>
    </row>
    <row r="1410" spans="1:7" s="113" customFormat="1" ht="26.25" x14ac:dyDescent="0.25">
      <c r="A1410" s="141">
        <v>15927</v>
      </c>
      <c r="B1410" s="142" t="s">
        <v>630</v>
      </c>
      <c r="C1410" s="143" t="s">
        <v>6</v>
      </c>
      <c r="D1410" s="143" t="s">
        <v>21</v>
      </c>
      <c r="E1410" s="142"/>
      <c r="F1410" s="142"/>
    </row>
    <row r="1411" spans="1:7" s="113" customFormat="1" ht="26.25" x14ac:dyDescent="0.25">
      <c r="A1411" s="141">
        <v>15933</v>
      </c>
      <c r="B1411" s="142" t="s">
        <v>631</v>
      </c>
      <c r="C1411" s="143" t="s">
        <v>1478</v>
      </c>
      <c r="D1411" s="143" t="s">
        <v>11</v>
      </c>
      <c r="E1411" s="142"/>
      <c r="F1411" s="142"/>
    </row>
    <row r="1412" spans="1:7" s="113" customFormat="1" ht="26.25" x14ac:dyDescent="0.25">
      <c r="A1412" s="141">
        <v>16000</v>
      </c>
      <c r="B1412" s="142" t="s">
        <v>2121</v>
      </c>
      <c r="C1412" s="143" t="s">
        <v>6</v>
      </c>
      <c r="D1412" s="143" t="s">
        <v>242</v>
      </c>
      <c r="E1412" s="142"/>
      <c r="F1412" s="142"/>
    </row>
    <row r="1413" spans="1:7" s="113" customFormat="1" x14ac:dyDescent="0.25">
      <c r="A1413" s="141">
        <v>16003</v>
      </c>
      <c r="B1413" s="142" t="s">
        <v>2122</v>
      </c>
      <c r="C1413" s="143" t="s">
        <v>64</v>
      </c>
      <c r="D1413" s="143" t="s">
        <v>504</v>
      </c>
      <c r="E1413" s="142"/>
      <c r="F1413" s="142"/>
      <c r="G1413" s="194"/>
    </row>
    <row r="1414" spans="1:7" s="113" customFormat="1" ht="26.25" x14ac:dyDescent="0.25">
      <c r="A1414" s="141">
        <v>16012</v>
      </c>
      <c r="B1414" s="142" t="s">
        <v>2123</v>
      </c>
      <c r="C1414" s="143" t="s">
        <v>96</v>
      </c>
      <c r="D1414" s="143" t="s">
        <v>11</v>
      </c>
      <c r="E1414" s="142"/>
      <c r="F1414" s="142"/>
    </row>
    <row r="1415" spans="1:7" s="113" customFormat="1" ht="26.25" x14ac:dyDescent="0.25">
      <c r="A1415" s="141">
        <v>16056</v>
      </c>
      <c r="B1415" s="142" t="s">
        <v>2124</v>
      </c>
      <c r="C1415" s="143" t="s">
        <v>32</v>
      </c>
      <c r="D1415" s="143" t="s">
        <v>1591</v>
      </c>
      <c r="E1415" s="142"/>
      <c r="F1415" s="142"/>
    </row>
    <row r="1416" spans="1:7" s="113" customFormat="1" ht="26.25" x14ac:dyDescent="0.25">
      <c r="A1416" s="141">
        <v>16151</v>
      </c>
      <c r="B1416" s="142" t="s">
        <v>2125</v>
      </c>
      <c r="C1416" s="143" t="s">
        <v>8</v>
      </c>
      <c r="D1416" s="143" t="s">
        <v>7</v>
      </c>
      <c r="E1416" s="142"/>
      <c r="F1416" s="142"/>
    </row>
    <row r="1417" spans="1:7" s="113" customFormat="1" ht="26.25" x14ac:dyDescent="0.25">
      <c r="A1417" s="141">
        <v>16188</v>
      </c>
      <c r="B1417" s="142" t="s">
        <v>2126</v>
      </c>
      <c r="C1417" s="143" t="s">
        <v>1478</v>
      </c>
      <c r="D1417" s="143" t="s">
        <v>173</v>
      </c>
      <c r="E1417" s="142"/>
      <c r="F1417" s="142"/>
    </row>
    <row r="1418" spans="1:7" s="113" customFormat="1" x14ac:dyDescent="0.25">
      <c r="A1418" s="141">
        <v>16282</v>
      </c>
      <c r="B1418" s="142" t="s">
        <v>632</v>
      </c>
      <c r="C1418" s="143" t="s">
        <v>63</v>
      </c>
      <c r="D1418" s="143" t="s">
        <v>242</v>
      </c>
      <c r="E1418" s="142"/>
      <c r="F1418" s="142"/>
    </row>
    <row r="1419" spans="1:7" s="113" customFormat="1" ht="26.25" x14ac:dyDescent="0.25">
      <c r="A1419" s="141">
        <v>16309</v>
      </c>
      <c r="B1419" s="142" t="s">
        <v>2127</v>
      </c>
      <c r="C1419" s="143" t="s">
        <v>6</v>
      </c>
      <c r="D1419" s="143" t="s">
        <v>154</v>
      </c>
      <c r="E1419" s="142"/>
      <c r="F1419" s="142"/>
    </row>
    <row r="1420" spans="1:7" s="113" customFormat="1" ht="26.25" x14ac:dyDescent="0.25">
      <c r="A1420" s="141">
        <v>16336</v>
      </c>
      <c r="B1420" s="142" t="s">
        <v>1358</v>
      </c>
      <c r="C1420" s="143" t="s">
        <v>144</v>
      </c>
      <c r="D1420" s="143" t="s">
        <v>7</v>
      </c>
      <c r="E1420" s="142"/>
      <c r="F1420" s="142"/>
    </row>
    <row r="1421" spans="1:7" s="113" customFormat="1" ht="26.25" x14ac:dyDescent="0.25">
      <c r="A1421" s="141">
        <v>17179</v>
      </c>
      <c r="B1421" s="142" t="s">
        <v>2128</v>
      </c>
      <c r="C1421" s="143" t="s">
        <v>120</v>
      </c>
      <c r="D1421" s="143" t="s">
        <v>415</v>
      </c>
      <c r="E1421" s="142"/>
      <c r="F1421" s="142"/>
    </row>
    <row r="1422" spans="1:7" s="113" customFormat="1" x14ac:dyDescent="0.25">
      <c r="A1422" s="190">
        <v>17263</v>
      </c>
      <c r="B1422" s="188" t="s">
        <v>2510</v>
      </c>
      <c r="C1422" s="146" t="s">
        <v>1455</v>
      </c>
      <c r="D1422" s="187" t="s">
        <v>415</v>
      </c>
      <c r="E1422" s="606"/>
      <c r="F1422" s="606"/>
    </row>
    <row r="1423" spans="1:7" s="113" customFormat="1" x14ac:dyDescent="0.25">
      <c r="A1423" s="129">
        <v>17279</v>
      </c>
      <c r="B1423" s="606" t="s">
        <v>3101</v>
      </c>
      <c r="C1423" s="606" t="s">
        <v>10</v>
      </c>
      <c r="D1423" s="606" t="s">
        <v>242</v>
      </c>
      <c r="E1423" s="606"/>
      <c r="F1423" s="606"/>
    </row>
    <row r="1424" spans="1:7" s="113" customFormat="1" ht="39" x14ac:dyDescent="0.25">
      <c r="A1424" s="141">
        <v>17299</v>
      </c>
      <c r="B1424" s="142" t="s">
        <v>2129</v>
      </c>
      <c r="C1424" s="143" t="s">
        <v>1529</v>
      </c>
      <c r="D1424" s="143" t="s">
        <v>1223</v>
      </c>
      <c r="E1424" s="142"/>
      <c r="F1424" s="142"/>
    </row>
    <row r="1425" spans="1:6" s="113" customFormat="1" ht="26.25" x14ac:dyDescent="0.25">
      <c r="A1425" s="195">
        <v>17396</v>
      </c>
      <c r="B1425" s="188" t="s">
        <v>2985</v>
      </c>
      <c r="C1425" s="146" t="s">
        <v>16</v>
      </c>
      <c r="D1425" s="146" t="s">
        <v>242</v>
      </c>
      <c r="E1425" s="606"/>
      <c r="F1425" s="187"/>
    </row>
    <row r="1426" spans="1:6" s="113" customFormat="1" x14ac:dyDescent="0.25">
      <c r="A1426" s="190">
        <v>17396</v>
      </c>
      <c r="B1426" s="606" t="s">
        <v>2985</v>
      </c>
      <c r="C1426" s="606" t="s">
        <v>16</v>
      </c>
      <c r="D1426" s="606" t="s">
        <v>242</v>
      </c>
      <c r="E1426" s="606"/>
      <c r="F1426" s="606"/>
    </row>
    <row r="1427" spans="1:6" s="113" customFormat="1" x14ac:dyDescent="0.25">
      <c r="A1427" s="190">
        <v>17411</v>
      </c>
      <c r="B1427" s="606" t="s">
        <v>2779</v>
      </c>
      <c r="C1427" s="606" t="s">
        <v>16</v>
      </c>
      <c r="D1427" s="606" t="s">
        <v>21</v>
      </c>
      <c r="E1427" s="606"/>
      <c r="F1427" s="606"/>
    </row>
    <row r="1428" spans="1:6" s="113" customFormat="1" x14ac:dyDescent="0.25">
      <c r="A1428" s="190">
        <v>17411</v>
      </c>
      <c r="B1428" s="606" t="s">
        <v>2779</v>
      </c>
      <c r="C1428" s="606" t="s">
        <v>16</v>
      </c>
      <c r="D1428" s="606" t="s">
        <v>3067</v>
      </c>
      <c r="E1428" s="606"/>
      <c r="F1428" s="606"/>
    </row>
    <row r="1429" spans="1:6" s="113" customFormat="1" x14ac:dyDescent="0.25">
      <c r="A1429" s="190">
        <v>17504</v>
      </c>
      <c r="B1429" s="606" t="s">
        <v>3279</v>
      </c>
      <c r="C1429" s="151" t="s">
        <v>633</v>
      </c>
      <c r="D1429" s="606" t="s">
        <v>3304</v>
      </c>
      <c r="E1429" s="606"/>
      <c r="F1429" s="606"/>
    </row>
    <row r="1430" spans="1:6" s="113" customFormat="1" x14ac:dyDescent="0.25">
      <c r="A1430" s="247">
        <v>17508</v>
      </c>
      <c r="B1430" s="250" t="s">
        <v>1533</v>
      </c>
      <c r="C1430" s="143" t="s">
        <v>36</v>
      </c>
      <c r="D1430" s="260" t="s">
        <v>11</v>
      </c>
      <c r="E1430" s="250"/>
      <c r="F1430" s="250"/>
    </row>
    <row r="1431" spans="1:6" s="113" customFormat="1" ht="26.25" x14ac:dyDescent="0.25">
      <c r="A1431" s="195">
        <v>17548</v>
      </c>
      <c r="B1431" s="188" t="s">
        <v>2681</v>
      </c>
      <c r="C1431" s="146" t="s">
        <v>914</v>
      </c>
      <c r="D1431" s="146" t="s">
        <v>242</v>
      </c>
      <c r="E1431" s="606"/>
      <c r="F1431" s="187"/>
    </row>
    <row r="1432" spans="1:6" s="113" customFormat="1" x14ac:dyDescent="0.25">
      <c r="A1432" s="190">
        <v>17548</v>
      </c>
      <c r="B1432" s="187" t="s">
        <v>2681</v>
      </c>
      <c r="C1432" s="606"/>
      <c r="D1432" s="606" t="s">
        <v>242</v>
      </c>
      <c r="E1432" s="606"/>
      <c r="F1432" s="606"/>
    </row>
    <row r="1433" spans="1:6" s="113" customFormat="1" x14ac:dyDescent="0.25">
      <c r="A1433" s="141">
        <v>17562</v>
      </c>
      <c r="B1433" s="142" t="s">
        <v>2130</v>
      </c>
      <c r="C1433" s="143" t="s">
        <v>44</v>
      </c>
      <c r="D1433" s="143" t="s">
        <v>1131</v>
      </c>
      <c r="E1433" s="142"/>
      <c r="F1433" s="142"/>
    </row>
    <row r="1434" spans="1:6" s="113" customFormat="1" x14ac:dyDescent="0.25">
      <c r="A1434" s="141">
        <v>17579</v>
      </c>
      <c r="B1434" s="142" t="s">
        <v>634</v>
      </c>
      <c r="C1434" s="143" t="s">
        <v>36</v>
      </c>
      <c r="D1434" s="143" t="s">
        <v>1131</v>
      </c>
      <c r="E1434" s="142"/>
      <c r="F1434" s="142"/>
    </row>
    <row r="1435" spans="1:6" s="113" customFormat="1" ht="26.25" x14ac:dyDescent="0.25">
      <c r="A1435" s="141">
        <v>17580</v>
      </c>
      <c r="B1435" s="142" t="s">
        <v>2131</v>
      </c>
      <c r="C1435" s="143" t="s">
        <v>914</v>
      </c>
      <c r="D1435" s="143" t="s">
        <v>7</v>
      </c>
      <c r="E1435" s="142"/>
      <c r="F1435" s="142"/>
    </row>
    <row r="1436" spans="1:6" s="113" customFormat="1" x14ac:dyDescent="0.25">
      <c r="A1436" s="141">
        <v>17582</v>
      </c>
      <c r="B1436" s="142" t="s">
        <v>635</v>
      </c>
      <c r="C1436" s="143" t="s">
        <v>36</v>
      </c>
      <c r="D1436" s="143" t="s">
        <v>7</v>
      </c>
      <c r="E1436" s="142"/>
      <c r="F1436" s="142"/>
    </row>
    <row r="1437" spans="1:6" s="113" customFormat="1" x14ac:dyDescent="0.25">
      <c r="A1437" s="141">
        <v>17586</v>
      </c>
      <c r="B1437" s="142" t="s">
        <v>2132</v>
      </c>
      <c r="C1437" s="143" t="s">
        <v>32</v>
      </c>
      <c r="D1437" s="143" t="s">
        <v>154</v>
      </c>
      <c r="E1437" s="142"/>
      <c r="F1437" s="142"/>
    </row>
    <row r="1438" spans="1:6" s="113" customFormat="1" x14ac:dyDescent="0.25">
      <c r="A1438" s="141">
        <v>17587</v>
      </c>
      <c r="B1438" s="142" t="s">
        <v>2133</v>
      </c>
      <c r="C1438" s="143" t="s">
        <v>44</v>
      </c>
      <c r="D1438" s="143" t="s">
        <v>7</v>
      </c>
      <c r="E1438" s="142"/>
      <c r="F1438" s="142"/>
    </row>
    <row r="1439" spans="1:6" s="113" customFormat="1" x14ac:dyDescent="0.25">
      <c r="A1439" s="190">
        <v>17594</v>
      </c>
      <c r="B1439" s="187" t="s">
        <v>2696</v>
      </c>
      <c r="C1439" s="187" t="s">
        <v>32</v>
      </c>
      <c r="D1439" s="187" t="s">
        <v>154</v>
      </c>
      <c r="E1439" s="606"/>
      <c r="F1439" s="606"/>
    </row>
    <row r="1440" spans="1:6" s="113" customFormat="1" x14ac:dyDescent="0.25">
      <c r="A1440" s="245">
        <v>17594</v>
      </c>
      <c r="B1440" s="246" t="s">
        <v>2696</v>
      </c>
      <c r="C1440" s="246" t="s">
        <v>32</v>
      </c>
      <c r="D1440" s="246" t="s">
        <v>154</v>
      </c>
      <c r="E1440" s="246"/>
      <c r="F1440" s="246"/>
    </row>
    <row r="1441" spans="1:8" s="113" customFormat="1" x14ac:dyDescent="0.25">
      <c r="A1441" s="195">
        <v>17596</v>
      </c>
      <c r="B1441" s="187" t="s">
        <v>3122</v>
      </c>
      <c r="C1441" s="187" t="s">
        <v>67</v>
      </c>
      <c r="D1441" s="146" t="s">
        <v>1494</v>
      </c>
      <c r="E1441" s="606"/>
      <c r="F1441" s="187"/>
    </row>
    <row r="1442" spans="1:8" s="113" customFormat="1" x14ac:dyDescent="0.25">
      <c r="A1442" s="141">
        <v>17605</v>
      </c>
      <c r="B1442" s="142" t="s">
        <v>636</v>
      </c>
      <c r="C1442" s="143" t="s">
        <v>44</v>
      </c>
      <c r="D1442" s="143" t="s">
        <v>1131</v>
      </c>
      <c r="E1442" s="142"/>
      <c r="F1442" s="142"/>
    </row>
    <row r="1443" spans="1:8" s="113" customFormat="1" ht="26.25" x14ac:dyDescent="0.25">
      <c r="A1443" s="247">
        <v>17624</v>
      </c>
      <c r="B1443" s="250" t="s">
        <v>1135</v>
      </c>
      <c r="C1443" s="143" t="s">
        <v>22</v>
      </c>
      <c r="D1443" s="260" t="s">
        <v>154</v>
      </c>
      <c r="E1443" s="250"/>
      <c r="F1443" s="250"/>
    </row>
    <row r="1444" spans="1:8" s="113" customFormat="1" x14ac:dyDescent="0.25">
      <c r="A1444" s="141">
        <v>17660</v>
      </c>
      <c r="B1444" s="142" t="s">
        <v>2134</v>
      </c>
      <c r="C1444" s="149" t="s">
        <v>67</v>
      </c>
      <c r="D1444" s="143" t="s">
        <v>11</v>
      </c>
      <c r="E1444" s="142"/>
      <c r="F1444" s="142"/>
    </row>
    <row r="1445" spans="1:8" s="113" customFormat="1" x14ac:dyDescent="0.25">
      <c r="A1445" s="141">
        <v>17664</v>
      </c>
      <c r="B1445" s="142" t="s">
        <v>2135</v>
      </c>
      <c r="C1445" s="143" t="s">
        <v>140</v>
      </c>
      <c r="D1445" s="143" t="s">
        <v>11</v>
      </c>
      <c r="E1445" s="142"/>
      <c r="F1445" s="142"/>
    </row>
    <row r="1446" spans="1:8" s="113" customFormat="1" x14ac:dyDescent="0.25">
      <c r="A1446" s="190">
        <v>17683</v>
      </c>
      <c r="B1446" s="188" t="s">
        <v>2607</v>
      </c>
      <c r="C1446" s="187" t="s">
        <v>24</v>
      </c>
      <c r="D1446" s="148" t="s">
        <v>1835</v>
      </c>
      <c r="E1446" s="606"/>
      <c r="F1446" s="606"/>
    </row>
    <row r="1447" spans="1:8" s="113" customFormat="1" x14ac:dyDescent="0.25">
      <c r="A1447" s="141">
        <v>17695</v>
      </c>
      <c r="B1447" s="142" t="s">
        <v>637</v>
      </c>
      <c r="C1447" s="143" t="s">
        <v>24</v>
      </c>
      <c r="D1447" s="143" t="s">
        <v>1835</v>
      </c>
      <c r="E1447" s="142"/>
      <c r="F1447" s="142"/>
    </row>
    <row r="1448" spans="1:8" s="113" customFormat="1" x14ac:dyDescent="0.25">
      <c r="A1448" s="141">
        <v>17698</v>
      </c>
      <c r="B1448" s="142" t="s">
        <v>638</v>
      </c>
      <c r="C1448" s="143" t="s">
        <v>36</v>
      </c>
      <c r="D1448" s="143" t="s">
        <v>1131</v>
      </c>
      <c r="E1448" s="142"/>
      <c r="F1448" s="142"/>
    </row>
    <row r="1449" spans="1:8" s="113" customFormat="1" x14ac:dyDescent="0.25">
      <c r="A1449" s="141">
        <v>17713</v>
      </c>
      <c r="B1449" s="142" t="s">
        <v>2136</v>
      </c>
      <c r="C1449" s="143" t="s">
        <v>73</v>
      </c>
      <c r="D1449" s="251" t="s">
        <v>11</v>
      </c>
      <c r="E1449" s="142"/>
      <c r="F1449" s="142"/>
    </row>
    <row r="1450" spans="1:8" s="113" customFormat="1" x14ac:dyDescent="0.25">
      <c r="A1450" s="141">
        <v>17743</v>
      </c>
      <c r="B1450" s="142" t="s">
        <v>639</v>
      </c>
      <c r="C1450" s="149" t="s">
        <v>67</v>
      </c>
      <c r="D1450" s="143" t="s">
        <v>7</v>
      </c>
      <c r="E1450" s="142"/>
      <c r="F1450" s="142"/>
    </row>
    <row r="1451" spans="1:8" s="113" customFormat="1" x14ac:dyDescent="0.25">
      <c r="A1451" s="141">
        <v>17747</v>
      </c>
      <c r="B1451" s="142" t="s">
        <v>640</v>
      </c>
      <c r="C1451" s="143" t="s">
        <v>36</v>
      </c>
      <c r="D1451" s="143" t="s">
        <v>150</v>
      </c>
      <c r="E1451" s="142"/>
      <c r="F1451" s="142"/>
    </row>
    <row r="1452" spans="1:8" s="113" customFormat="1" ht="26.25" x14ac:dyDescent="0.25">
      <c r="A1452" s="141">
        <v>17795</v>
      </c>
      <c r="B1452" s="142" t="s">
        <v>2137</v>
      </c>
      <c r="C1452" s="143" t="s">
        <v>16</v>
      </c>
      <c r="D1452" s="143" t="s">
        <v>154</v>
      </c>
      <c r="E1452" s="142"/>
      <c r="F1452" s="142"/>
    </row>
    <row r="1453" spans="1:8" s="113" customFormat="1" x14ac:dyDescent="0.25">
      <c r="A1453" s="141">
        <v>17809</v>
      </c>
      <c r="B1453" s="142" t="s">
        <v>2138</v>
      </c>
      <c r="C1453" s="143" t="s">
        <v>36</v>
      </c>
      <c r="D1453" s="143" t="s">
        <v>1131</v>
      </c>
      <c r="E1453" s="142"/>
      <c r="F1453" s="142"/>
    </row>
    <row r="1454" spans="1:8" s="113" customFormat="1" x14ac:dyDescent="0.25">
      <c r="A1454" s="141">
        <v>17828</v>
      </c>
      <c r="B1454" s="142" t="s">
        <v>641</v>
      </c>
      <c r="C1454" s="143" t="s">
        <v>73</v>
      </c>
      <c r="D1454" s="143" t="s">
        <v>154</v>
      </c>
      <c r="E1454" s="142"/>
      <c r="F1454" s="142"/>
    </row>
    <row r="1455" spans="1:8" s="113" customFormat="1" x14ac:dyDescent="0.25">
      <c r="A1455" s="141">
        <v>17830</v>
      </c>
      <c r="B1455" s="142" t="s">
        <v>642</v>
      </c>
      <c r="C1455" s="143" t="s">
        <v>17</v>
      </c>
      <c r="D1455" s="143" t="s">
        <v>150</v>
      </c>
      <c r="E1455" s="142"/>
      <c r="F1455" s="142"/>
    </row>
    <row r="1456" spans="1:8" s="113" customFormat="1" x14ac:dyDescent="0.25">
      <c r="A1456" s="141">
        <v>17849</v>
      </c>
      <c r="B1456" s="142" t="s">
        <v>1162</v>
      </c>
      <c r="C1456" s="143" t="s">
        <v>17</v>
      </c>
      <c r="D1456" s="143" t="s">
        <v>154</v>
      </c>
      <c r="E1456" s="142"/>
      <c r="F1456" s="142"/>
      <c r="G1456" s="607"/>
      <c r="H1456" s="607"/>
    </row>
    <row r="1457" spans="1:6" s="113" customFormat="1" x14ac:dyDescent="0.25">
      <c r="A1457" s="141">
        <v>17864</v>
      </c>
      <c r="B1457" s="142" t="s">
        <v>643</v>
      </c>
      <c r="C1457" s="143" t="s">
        <v>36</v>
      </c>
      <c r="D1457" s="143" t="s">
        <v>21</v>
      </c>
      <c r="E1457" s="142"/>
      <c r="F1457" s="142"/>
    </row>
    <row r="1458" spans="1:6" s="113" customFormat="1" x14ac:dyDescent="0.25">
      <c r="A1458" s="141">
        <v>17868</v>
      </c>
      <c r="B1458" s="142" t="s">
        <v>2139</v>
      </c>
      <c r="C1458" s="143" t="s">
        <v>44</v>
      </c>
      <c r="D1458" s="143" t="s">
        <v>242</v>
      </c>
      <c r="E1458" s="142"/>
      <c r="F1458" s="142"/>
    </row>
    <row r="1459" spans="1:6" s="113" customFormat="1" ht="26.25" x14ac:dyDescent="0.25">
      <c r="A1459" s="141">
        <v>17896</v>
      </c>
      <c r="B1459" s="142" t="s">
        <v>644</v>
      </c>
      <c r="C1459" s="143" t="s">
        <v>144</v>
      </c>
      <c r="D1459" s="143" t="s">
        <v>11</v>
      </c>
      <c r="E1459" s="142"/>
      <c r="F1459" s="142"/>
    </row>
    <row r="1460" spans="1:6" s="113" customFormat="1" x14ac:dyDescent="0.25">
      <c r="A1460" s="141">
        <v>17916</v>
      </c>
      <c r="B1460" s="142" t="s">
        <v>2140</v>
      </c>
      <c r="C1460" s="143" t="s">
        <v>90</v>
      </c>
      <c r="D1460" s="143" t="s">
        <v>109</v>
      </c>
      <c r="E1460" s="142"/>
      <c r="F1460" s="142"/>
    </row>
    <row r="1461" spans="1:6" s="113" customFormat="1" x14ac:dyDescent="0.25">
      <c r="A1461" s="187">
        <v>17921</v>
      </c>
      <c r="B1461" s="187" t="s">
        <v>3320</v>
      </c>
      <c r="C1461" s="187" t="s">
        <v>41</v>
      </c>
      <c r="D1461" s="187" t="s">
        <v>154</v>
      </c>
      <c r="E1461" s="187"/>
      <c r="F1461" s="187"/>
    </row>
    <row r="1462" spans="1:6" s="113" customFormat="1" x14ac:dyDescent="0.25">
      <c r="A1462" s="141">
        <v>17989</v>
      </c>
      <c r="B1462" s="142" t="s">
        <v>2141</v>
      </c>
      <c r="C1462" s="143" t="s">
        <v>36</v>
      </c>
      <c r="D1462" s="143" t="s">
        <v>154</v>
      </c>
      <c r="E1462" s="142"/>
      <c r="F1462" s="142"/>
    </row>
    <row r="1463" spans="1:6" s="113" customFormat="1" x14ac:dyDescent="0.25">
      <c r="A1463" s="141">
        <v>18002</v>
      </c>
      <c r="B1463" s="142" t="s">
        <v>2142</v>
      </c>
      <c r="C1463" s="143" t="s">
        <v>41</v>
      </c>
      <c r="D1463" s="143" t="s">
        <v>154</v>
      </c>
      <c r="E1463" s="142"/>
      <c r="F1463" s="142"/>
    </row>
    <row r="1464" spans="1:6" s="113" customFormat="1" ht="26.25" x14ac:dyDescent="0.25">
      <c r="A1464" s="141">
        <v>18015</v>
      </c>
      <c r="B1464" s="142" t="s">
        <v>2143</v>
      </c>
      <c r="C1464" s="143" t="s">
        <v>1478</v>
      </c>
      <c r="D1464" s="143" t="s">
        <v>173</v>
      </c>
      <c r="E1464" s="142"/>
      <c r="F1464" s="142"/>
    </row>
    <row r="1465" spans="1:6" s="113" customFormat="1" x14ac:dyDescent="0.25">
      <c r="A1465" s="141">
        <v>18020</v>
      </c>
      <c r="B1465" s="142" t="s">
        <v>645</v>
      </c>
      <c r="C1465" s="143" t="s">
        <v>41</v>
      </c>
      <c r="D1465" s="143" t="s">
        <v>154</v>
      </c>
      <c r="E1465" s="142"/>
      <c r="F1465" s="142"/>
    </row>
    <row r="1466" spans="1:6" s="113" customFormat="1" ht="26.25" x14ac:dyDescent="0.25">
      <c r="A1466" s="141">
        <v>18031</v>
      </c>
      <c r="B1466" s="142" t="s">
        <v>646</v>
      </c>
      <c r="C1466" s="143" t="s">
        <v>144</v>
      </c>
      <c r="D1466" s="143" t="s">
        <v>1131</v>
      </c>
      <c r="E1466" s="142"/>
      <c r="F1466" s="142"/>
    </row>
    <row r="1467" spans="1:6" s="113" customFormat="1" x14ac:dyDescent="0.25">
      <c r="A1467" s="195">
        <v>18034</v>
      </c>
      <c r="B1467" s="188" t="s">
        <v>2868</v>
      </c>
      <c r="C1467" s="146" t="s">
        <v>36</v>
      </c>
      <c r="D1467" s="146" t="s">
        <v>2877</v>
      </c>
      <c r="E1467" s="606"/>
      <c r="F1467" s="187"/>
    </row>
    <row r="1468" spans="1:6" s="113" customFormat="1" x14ac:dyDescent="0.25">
      <c r="A1468" s="141">
        <v>18035</v>
      </c>
      <c r="B1468" s="142" t="s">
        <v>647</v>
      </c>
      <c r="C1468" s="143" t="s">
        <v>64</v>
      </c>
      <c r="D1468" s="143" t="s">
        <v>154</v>
      </c>
      <c r="E1468" s="142"/>
      <c r="F1468" s="142"/>
    </row>
    <row r="1469" spans="1:6" s="113" customFormat="1" x14ac:dyDescent="0.25">
      <c r="A1469" s="190">
        <v>18050</v>
      </c>
      <c r="B1469" s="606" t="s">
        <v>2922</v>
      </c>
      <c r="C1469" s="606" t="s">
        <v>17</v>
      </c>
      <c r="D1469" s="606" t="s">
        <v>150</v>
      </c>
      <c r="E1469" s="606"/>
      <c r="F1469" s="606"/>
    </row>
    <row r="1470" spans="1:6" s="113" customFormat="1" x14ac:dyDescent="0.25">
      <c r="A1470" s="153">
        <v>18079</v>
      </c>
      <c r="B1470" s="154" t="s">
        <v>2144</v>
      </c>
      <c r="C1470" s="143" t="s">
        <v>167</v>
      </c>
      <c r="D1470" s="143" t="s">
        <v>11</v>
      </c>
      <c r="E1470" s="142"/>
      <c r="F1470" s="142"/>
    </row>
    <row r="1471" spans="1:6" s="113" customFormat="1" ht="26.25" x14ac:dyDescent="0.25">
      <c r="A1471" s="141">
        <v>18083</v>
      </c>
      <c r="B1471" s="142" t="s">
        <v>648</v>
      </c>
      <c r="C1471" s="143" t="s">
        <v>1478</v>
      </c>
      <c r="D1471" s="143" t="s">
        <v>11</v>
      </c>
      <c r="E1471" s="142"/>
      <c r="F1471" s="142"/>
    </row>
    <row r="1472" spans="1:6" s="113" customFormat="1" ht="26.25" x14ac:dyDescent="0.25">
      <c r="A1472" s="141">
        <v>18095</v>
      </c>
      <c r="B1472" s="142" t="s">
        <v>649</v>
      </c>
      <c r="C1472" s="143" t="s">
        <v>144</v>
      </c>
      <c r="D1472" s="143" t="s">
        <v>173</v>
      </c>
      <c r="E1472" s="142"/>
      <c r="F1472" s="142"/>
    </row>
    <row r="1473" spans="1:8" s="113" customFormat="1" ht="26.25" x14ac:dyDescent="0.25">
      <c r="A1473" s="190">
        <v>18097</v>
      </c>
      <c r="B1473" s="188" t="s">
        <v>2964</v>
      </c>
      <c r="C1473" s="146" t="s">
        <v>1478</v>
      </c>
      <c r="D1473" s="606" t="s">
        <v>173</v>
      </c>
      <c r="E1473" s="606"/>
      <c r="F1473" s="606"/>
    </row>
    <row r="1474" spans="1:8" s="113" customFormat="1" x14ac:dyDescent="0.25">
      <c r="A1474" s="141">
        <v>18209</v>
      </c>
      <c r="B1474" s="142" t="s">
        <v>650</v>
      </c>
      <c r="C1474" s="143" t="s">
        <v>1455</v>
      </c>
      <c r="D1474" s="143" t="s">
        <v>415</v>
      </c>
      <c r="E1474" s="142"/>
      <c r="F1474" s="142"/>
    </row>
    <row r="1475" spans="1:8" s="113" customFormat="1" x14ac:dyDescent="0.25">
      <c r="A1475" s="141">
        <v>18214</v>
      </c>
      <c r="B1475" s="142" t="s">
        <v>2145</v>
      </c>
      <c r="C1475" s="143" t="s">
        <v>44</v>
      </c>
      <c r="D1475" s="143" t="s">
        <v>11</v>
      </c>
      <c r="E1475" s="142"/>
      <c r="F1475" s="142"/>
    </row>
    <row r="1476" spans="1:8" s="113" customFormat="1" x14ac:dyDescent="0.25">
      <c r="A1476" s="141">
        <v>18255</v>
      </c>
      <c r="B1476" s="142" t="s">
        <v>651</v>
      </c>
      <c r="C1476" s="143" t="s">
        <v>122</v>
      </c>
      <c r="D1476" s="143" t="s">
        <v>1131</v>
      </c>
      <c r="E1476" s="142"/>
      <c r="F1476" s="142"/>
    </row>
    <row r="1477" spans="1:8" s="113" customFormat="1" x14ac:dyDescent="0.25">
      <c r="A1477" s="141">
        <v>18256</v>
      </c>
      <c r="B1477" s="142" t="s">
        <v>652</v>
      </c>
      <c r="C1477" s="143" t="s">
        <v>44</v>
      </c>
      <c r="D1477" s="143" t="s">
        <v>1131</v>
      </c>
      <c r="E1477" s="142"/>
      <c r="F1477" s="142"/>
    </row>
    <row r="1478" spans="1:8" s="113" customFormat="1" ht="26.25" x14ac:dyDescent="0.25">
      <c r="A1478" s="141">
        <v>18382</v>
      </c>
      <c r="B1478" s="142" t="s">
        <v>653</v>
      </c>
      <c r="C1478" s="143" t="s">
        <v>27</v>
      </c>
      <c r="D1478" s="143" t="s">
        <v>2146</v>
      </c>
      <c r="E1478" s="142"/>
      <c r="F1478" s="142"/>
    </row>
    <row r="1479" spans="1:8" s="113" customFormat="1" x14ac:dyDescent="0.25">
      <c r="A1479" s="195">
        <v>18394</v>
      </c>
      <c r="B1479" s="188" t="s">
        <v>2951</v>
      </c>
      <c r="C1479" s="146" t="s">
        <v>167</v>
      </c>
      <c r="D1479" s="146" t="s">
        <v>173</v>
      </c>
      <c r="E1479" s="606"/>
      <c r="F1479" s="187"/>
    </row>
    <row r="1480" spans="1:8" s="113" customFormat="1" x14ac:dyDescent="0.25">
      <c r="A1480" s="141">
        <v>18419</v>
      </c>
      <c r="B1480" s="142" t="s">
        <v>654</v>
      </c>
      <c r="C1480" s="143" t="s">
        <v>47</v>
      </c>
      <c r="D1480" s="143" t="s">
        <v>7</v>
      </c>
      <c r="E1480" s="142"/>
      <c r="F1480" s="142"/>
    </row>
    <row r="1481" spans="1:8" s="113" customFormat="1" ht="26.25" x14ac:dyDescent="0.25">
      <c r="A1481" s="141">
        <v>18602</v>
      </c>
      <c r="B1481" s="142" t="s">
        <v>655</v>
      </c>
      <c r="C1481" s="143" t="s">
        <v>2583</v>
      </c>
      <c r="D1481" s="143" t="s">
        <v>415</v>
      </c>
      <c r="E1481" s="142"/>
      <c r="F1481" s="142"/>
      <c r="G1481" s="607"/>
      <c r="H1481" s="607"/>
    </row>
    <row r="1482" spans="1:8" s="113" customFormat="1" ht="26.25" x14ac:dyDescent="0.25">
      <c r="A1482" s="195">
        <v>18614</v>
      </c>
      <c r="B1482" s="188" t="s">
        <v>3005</v>
      </c>
      <c r="C1482" s="146" t="s">
        <v>65</v>
      </c>
      <c r="D1482" s="146" t="s">
        <v>302</v>
      </c>
      <c r="E1482" s="606"/>
      <c r="F1482" s="187"/>
    </row>
    <row r="1483" spans="1:8" s="113" customFormat="1" ht="26.25" x14ac:dyDescent="0.25">
      <c r="A1483" s="141">
        <v>18775</v>
      </c>
      <c r="B1483" s="142" t="s">
        <v>2147</v>
      </c>
      <c r="C1483" s="143" t="s">
        <v>144</v>
      </c>
      <c r="D1483" s="143" t="s">
        <v>21</v>
      </c>
      <c r="E1483" s="142"/>
      <c r="F1483" s="142"/>
    </row>
    <row r="1484" spans="1:8" s="113" customFormat="1" x14ac:dyDescent="0.25">
      <c r="A1484" s="141">
        <v>19163</v>
      </c>
      <c r="B1484" s="142" t="s">
        <v>656</v>
      </c>
      <c r="C1484" s="143" t="s">
        <v>10</v>
      </c>
      <c r="D1484" s="143" t="s">
        <v>242</v>
      </c>
      <c r="E1484" s="142"/>
      <c r="F1484" s="142"/>
    </row>
    <row r="1485" spans="1:8" s="113" customFormat="1" x14ac:dyDescent="0.25">
      <c r="A1485" s="190">
        <v>19578</v>
      </c>
      <c r="B1485" s="606" t="s">
        <v>2962</v>
      </c>
      <c r="C1485" s="606" t="s">
        <v>144</v>
      </c>
      <c r="D1485" s="606" t="s">
        <v>21</v>
      </c>
      <c r="E1485" s="606"/>
      <c r="F1485" s="606"/>
    </row>
    <row r="1486" spans="1:8" s="113" customFormat="1" x14ac:dyDescent="0.25">
      <c r="A1486" s="195">
        <v>19578</v>
      </c>
      <c r="B1486" s="187" t="s">
        <v>2962</v>
      </c>
      <c r="C1486" s="187" t="s">
        <v>144</v>
      </c>
      <c r="D1486" s="146" t="s">
        <v>21</v>
      </c>
      <c r="E1486" s="606"/>
      <c r="F1486" s="187"/>
    </row>
    <row r="1487" spans="1:8" s="113" customFormat="1" x14ac:dyDescent="0.25">
      <c r="A1487" s="190">
        <v>19578</v>
      </c>
      <c r="B1487" s="606" t="s">
        <v>2962</v>
      </c>
      <c r="C1487" s="606" t="s">
        <v>144</v>
      </c>
      <c r="D1487" s="606" t="s">
        <v>21</v>
      </c>
      <c r="E1487" s="606"/>
      <c r="F1487" s="606"/>
    </row>
    <row r="1488" spans="1:8" s="113" customFormat="1" x14ac:dyDescent="0.25">
      <c r="A1488" s="141">
        <v>19714</v>
      </c>
      <c r="B1488" s="142" t="s">
        <v>2148</v>
      </c>
      <c r="C1488" s="143" t="s">
        <v>10</v>
      </c>
      <c r="D1488" s="143" t="s">
        <v>11</v>
      </c>
      <c r="E1488" s="142"/>
      <c r="F1488" s="142"/>
    </row>
    <row r="1489" spans="1:6" s="113" customFormat="1" x14ac:dyDescent="0.25">
      <c r="A1489" s="141">
        <v>19841</v>
      </c>
      <c r="B1489" s="142" t="s">
        <v>2149</v>
      </c>
      <c r="C1489" s="143" t="s">
        <v>10</v>
      </c>
      <c r="D1489" s="143" t="s">
        <v>2150</v>
      </c>
      <c r="E1489" s="142"/>
      <c r="F1489" s="142"/>
    </row>
    <row r="1490" spans="1:6" s="113" customFormat="1" x14ac:dyDescent="0.25">
      <c r="A1490" s="141">
        <v>19844</v>
      </c>
      <c r="B1490" s="142" t="s">
        <v>2151</v>
      </c>
      <c r="C1490" s="143" t="s">
        <v>36</v>
      </c>
      <c r="D1490" s="143" t="s">
        <v>150</v>
      </c>
      <c r="E1490" s="142"/>
      <c r="F1490" s="142"/>
    </row>
    <row r="1491" spans="1:6" s="113" customFormat="1" ht="26.25" x14ac:dyDescent="0.25">
      <c r="A1491" s="141">
        <v>19852</v>
      </c>
      <c r="B1491" s="142" t="s">
        <v>657</v>
      </c>
      <c r="C1491" s="143" t="s">
        <v>49</v>
      </c>
      <c r="D1491" s="143" t="s">
        <v>150</v>
      </c>
      <c r="E1491" s="142"/>
      <c r="F1491" s="142"/>
    </row>
    <row r="1492" spans="1:6" s="113" customFormat="1" ht="39" x14ac:dyDescent="0.25">
      <c r="A1492" s="195">
        <v>19870</v>
      </c>
      <c r="B1492" s="188" t="s">
        <v>2875</v>
      </c>
      <c r="C1492" s="146" t="s">
        <v>1398</v>
      </c>
      <c r="D1492" s="146" t="s">
        <v>154</v>
      </c>
      <c r="E1492" s="606"/>
      <c r="F1492" s="187"/>
    </row>
    <row r="1493" spans="1:6" s="113" customFormat="1" x14ac:dyDescent="0.25">
      <c r="A1493" s="141">
        <v>20142</v>
      </c>
      <c r="B1493" s="142" t="s">
        <v>658</v>
      </c>
      <c r="C1493" s="143" t="s">
        <v>10</v>
      </c>
      <c r="D1493" s="143" t="s">
        <v>150</v>
      </c>
      <c r="E1493" s="142"/>
      <c r="F1493" s="142"/>
    </row>
    <row r="1494" spans="1:6" s="113" customFormat="1" ht="26.25" x14ac:dyDescent="0.25">
      <c r="A1494" s="141">
        <v>20248</v>
      </c>
      <c r="B1494" s="142" t="s">
        <v>659</v>
      </c>
      <c r="C1494" s="143" t="s">
        <v>10</v>
      </c>
      <c r="D1494" s="143" t="s">
        <v>2152</v>
      </c>
      <c r="E1494" s="142"/>
      <c r="F1494" s="142"/>
    </row>
    <row r="1495" spans="1:6" s="113" customFormat="1" x14ac:dyDescent="0.25">
      <c r="A1495" s="141">
        <v>20286</v>
      </c>
      <c r="B1495" s="142" t="s">
        <v>1471</v>
      </c>
      <c r="C1495" s="143" t="s">
        <v>10</v>
      </c>
      <c r="D1495" s="143" t="s">
        <v>7</v>
      </c>
      <c r="E1495" s="250"/>
      <c r="F1495" s="250"/>
    </row>
    <row r="1496" spans="1:6" s="113" customFormat="1" x14ac:dyDescent="0.25">
      <c r="A1496" s="141">
        <v>20291</v>
      </c>
      <c r="B1496" s="142" t="s">
        <v>2153</v>
      </c>
      <c r="C1496" s="143" t="s">
        <v>41</v>
      </c>
      <c r="D1496" s="143" t="s">
        <v>11</v>
      </c>
      <c r="E1496" s="142"/>
      <c r="F1496" s="142"/>
    </row>
    <row r="1497" spans="1:6" s="113" customFormat="1" x14ac:dyDescent="0.25">
      <c r="A1497" s="141">
        <v>20343</v>
      </c>
      <c r="B1497" s="142" t="s">
        <v>660</v>
      </c>
      <c r="C1497" s="143" t="s">
        <v>140</v>
      </c>
      <c r="D1497" s="143" t="s">
        <v>11</v>
      </c>
      <c r="E1497" s="142"/>
      <c r="F1497" s="142"/>
    </row>
    <row r="1498" spans="1:6" s="113" customFormat="1" x14ac:dyDescent="0.25">
      <c r="A1498" s="141">
        <v>21197</v>
      </c>
      <c r="B1498" s="142" t="s">
        <v>2154</v>
      </c>
      <c r="C1498" s="143" t="s">
        <v>10</v>
      </c>
      <c r="D1498" s="143" t="s">
        <v>242</v>
      </c>
      <c r="E1498" s="142"/>
      <c r="F1498" s="142"/>
    </row>
    <row r="1499" spans="1:6" s="113" customFormat="1" x14ac:dyDescent="0.25">
      <c r="A1499" s="187">
        <v>21202</v>
      </c>
      <c r="B1499" s="606" t="s">
        <v>2628</v>
      </c>
      <c r="C1499" s="606" t="s">
        <v>24</v>
      </c>
      <c r="D1499" s="606" t="s">
        <v>415</v>
      </c>
      <c r="E1499" s="606"/>
      <c r="F1499" s="187"/>
    </row>
    <row r="1500" spans="1:6" s="113" customFormat="1" x14ac:dyDescent="0.25">
      <c r="A1500" s="141">
        <v>21255</v>
      </c>
      <c r="B1500" s="142" t="s">
        <v>661</v>
      </c>
      <c r="C1500" s="143" t="s">
        <v>10</v>
      </c>
      <c r="D1500" s="143" t="s">
        <v>242</v>
      </c>
      <c r="E1500" s="142"/>
      <c r="F1500" s="142"/>
    </row>
    <row r="1501" spans="1:6" s="113" customFormat="1" x14ac:dyDescent="0.25">
      <c r="A1501" s="159">
        <v>21257</v>
      </c>
      <c r="B1501" s="248" t="s">
        <v>1508</v>
      </c>
      <c r="C1501" s="143" t="s">
        <v>10</v>
      </c>
      <c r="D1501" s="244" t="s">
        <v>154</v>
      </c>
      <c r="E1501" s="248"/>
      <c r="F1501" s="248"/>
    </row>
    <row r="1502" spans="1:6" s="113" customFormat="1" x14ac:dyDescent="0.25">
      <c r="A1502" s="190">
        <v>21472</v>
      </c>
      <c r="B1502" s="606" t="s">
        <v>3399</v>
      </c>
      <c r="C1502" s="606" t="s">
        <v>44</v>
      </c>
      <c r="D1502" s="606" t="s">
        <v>242</v>
      </c>
      <c r="E1502" s="606"/>
      <c r="F1502" s="606"/>
    </row>
    <row r="1503" spans="1:6" s="113" customFormat="1" ht="26.25" x14ac:dyDescent="0.25">
      <c r="A1503" s="141">
        <v>22004</v>
      </c>
      <c r="B1503" s="142" t="s">
        <v>1359</v>
      </c>
      <c r="C1503" s="143" t="s">
        <v>16</v>
      </c>
      <c r="D1503" s="143" t="s">
        <v>21</v>
      </c>
      <c r="E1503" s="142"/>
      <c r="F1503" s="142"/>
    </row>
    <row r="1504" spans="1:6" s="113" customFormat="1" x14ac:dyDescent="0.25">
      <c r="A1504" s="190">
        <v>22033</v>
      </c>
      <c r="B1504" s="188" t="s">
        <v>2584</v>
      </c>
      <c r="C1504" s="606" t="s">
        <v>1173</v>
      </c>
      <c r="D1504" s="606" t="s">
        <v>7</v>
      </c>
      <c r="E1504" s="606"/>
      <c r="F1504" s="606"/>
    </row>
    <row r="1505" spans="1:8" s="113" customFormat="1" x14ac:dyDescent="0.25">
      <c r="A1505" s="141">
        <v>22235</v>
      </c>
      <c r="B1505" s="142" t="s">
        <v>2155</v>
      </c>
      <c r="C1505" s="143" t="s">
        <v>10</v>
      </c>
      <c r="D1505" s="143" t="s">
        <v>242</v>
      </c>
      <c r="E1505" s="142"/>
      <c r="F1505" s="142"/>
    </row>
    <row r="1506" spans="1:8" s="113" customFormat="1" ht="26.25" x14ac:dyDescent="0.25">
      <c r="A1506" s="141">
        <v>22440</v>
      </c>
      <c r="B1506" s="142" t="s">
        <v>2156</v>
      </c>
      <c r="C1506" s="143" t="s">
        <v>16</v>
      </c>
      <c r="D1506" s="143" t="s">
        <v>302</v>
      </c>
      <c r="E1506" s="142"/>
      <c r="F1506" s="142"/>
    </row>
    <row r="1507" spans="1:8" s="113" customFormat="1" x14ac:dyDescent="0.25">
      <c r="A1507" s="141">
        <v>22636</v>
      </c>
      <c r="B1507" s="142" t="s">
        <v>662</v>
      </c>
      <c r="C1507" s="143" t="s">
        <v>63</v>
      </c>
      <c r="D1507" s="143" t="s">
        <v>242</v>
      </c>
      <c r="E1507" s="142"/>
      <c r="F1507" s="142"/>
    </row>
    <row r="1508" spans="1:8" s="113" customFormat="1" ht="39" x14ac:dyDescent="0.25">
      <c r="A1508" s="141">
        <v>22670</v>
      </c>
      <c r="B1508" s="142" t="s">
        <v>1275</v>
      </c>
      <c r="C1508" s="143" t="s">
        <v>1398</v>
      </c>
      <c r="D1508" s="143" t="s">
        <v>154</v>
      </c>
      <c r="E1508" s="142"/>
      <c r="F1508" s="142"/>
    </row>
    <row r="1509" spans="1:8" s="113" customFormat="1" ht="26.25" x14ac:dyDescent="0.25">
      <c r="A1509" s="247">
        <v>22678</v>
      </c>
      <c r="B1509" s="250" t="s">
        <v>1442</v>
      </c>
      <c r="C1509" s="143" t="s">
        <v>5</v>
      </c>
      <c r="D1509" s="260" t="s">
        <v>302</v>
      </c>
      <c r="E1509" s="250"/>
      <c r="F1509" s="250"/>
    </row>
    <row r="1510" spans="1:8" s="113" customFormat="1" x14ac:dyDescent="0.25">
      <c r="A1510" s="141">
        <v>22689</v>
      </c>
      <c r="B1510" s="142" t="s">
        <v>663</v>
      </c>
      <c r="C1510" s="143" t="s">
        <v>64</v>
      </c>
      <c r="D1510" s="143" t="s">
        <v>150</v>
      </c>
      <c r="E1510" s="142"/>
      <c r="F1510" s="142"/>
    </row>
    <row r="1511" spans="1:8" s="113" customFormat="1" x14ac:dyDescent="0.25">
      <c r="A1511" s="190">
        <v>22947</v>
      </c>
      <c r="B1511" s="188" t="s">
        <v>2664</v>
      </c>
      <c r="C1511" s="606" t="s">
        <v>10</v>
      </c>
      <c r="D1511" s="606" t="s">
        <v>7</v>
      </c>
      <c r="E1511" s="606"/>
      <c r="F1511" s="606"/>
    </row>
    <row r="1512" spans="1:8" s="113" customFormat="1" x14ac:dyDescent="0.25">
      <c r="A1512" s="141">
        <v>22969</v>
      </c>
      <c r="B1512" s="142" t="s">
        <v>664</v>
      </c>
      <c r="C1512" s="143" t="s">
        <v>38</v>
      </c>
      <c r="D1512" s="143" t="s">
        <v>148</v>
      </c>
      <c r="E1512" s="142"/>
      <c r="F1512" s="142"/>
    </row>
    <row r="1513" spans="1:8" s="113" customFormat="1" ht="26.25" x14ac:dyDescent="0.25">
      <c r="A1513" s="141">
        <v>22989</v>
      </c>
      <c r="B1513" s="142" t="s">
        <v>665</v>
      </c>
      <c r="C1513" s="143" t="s">
        <v>27</v>
      </c>
      <c r="D1513" s="143" t="s">
        <v>242</v>
      </c>
      <c r="E1513" s="142"/>
      <c r="F1513" s="142"/>
    </row>
    <row r="1514" spans="1:8" s="113" customFormat="1" ht="26.25" x14ac:dyDescent="0.25">
      <c r="A1514" s="255">
        <v>23439</v>
      </c>
      <c r="B1514" s="259" t="s">
        <v>1324</v>
      </c>
      <c r="C1514" s="143" t="s">
        <v>914</v>
      </c>
      <c r="D1514" s="251" t="s">
        <v>242</v>
      </c>
      <c r="E1514" s="250"/>
      <c r="F1514" s="250"/>
      <c r="H1514" s="194"/>
    </row>
    <row r="1515" spans="1:8" s="113" customFormat="1" ht="26.25" x14ac:dyDescent="0.25">
      <c r="A1515" s="247">
        <v>23695</v>
      </c>
      <c r="B1515" s="250" t="s">
        <v>1276</v>
      </c>
      <c r="C1515" s="143" t="s">
        <v>914</v>
      </c>
      <c r="D1515" s="143" t="s">
        <v>7</v>
      </c>
      <c r="E1515" s="250"/>
      <c r="F1515" s="250"/>
    </row>
    <row r="1516" spans="1:8" s="113" customFormat="1" ht="26.25" x14ac:dyDescent="0.25">
      <c r="A1516" s="141">
        <v>23818</v>
      </c>
      <c r="B1516" s="142" t="s">
        <v>666</v>
      </c>
      <c r="C1516" s="143" t="s">
        <v>914</v>
      </c>
      <c r="D1516" s="143" t="s">
        <v>154</v>
      </c>
      <c r="E1516" s="142"/>
      <c r="F1516" s="142"/>
    </row>
    <row r="1517" spans="1:8" s="113" customFormat="1" ht="26.25" x14ac:dyDescent="0.25">
      <c r="A1517" s="255">
        <v>24243</v>
      </c>
      <c r="B1517" s="259" t="s">
        <v>1340</v>
      </c>
      <c r="C1517" s="143" t="s">
        <v>914</v>
      </c>
      <c r="D1517" s="251" t="s">
        <v>154</v>
      </c>
      <c r="E1517" s="250"/>
      <c r="F1517" s="250"/>
    </row>
    <row r="1518" spans="1:8" s="113" customFormat="1" x14ac:dyDescent="0.25">
      <c r="A1518" s="247">
        <v>24305</v>
      </c>
      <c r="B1518" s="250" t="s">
        <v>1426</v>
      </c>
      <c r="C1518" s="143" t="s">
        <v>17</v>
      </c>
      <c r="D1518" s="260" t="s">
        <v>150</v>
      </c>
      <c r="E1518" s="250"/>
      <c r="F1518" s="250"/>
    </row>
    <row r="1519" spans="1:8" s="113" customFormat="1" ht="26.25" x14ac:dyDescent="0.25">
      <c r="A1519" s="141">
        <v>24416</v>
      </c>
      <c r="B1519" s="142" t="s">
        <v>2157</v>
      </c>
      <c r="C1519" s="143" t="s">
        <v>49</v>
      </c>
      <c r="D1519" s="143" t="s">
        <v>242</v>
      </c>
      <c r="E1519" s="142"/>
      <c r="F1519" s="142"/>
    </row>
    <row r="1520" spans="1:8" s="113" customFormat="1" x14ac:dyDescent="0.25">
      <c r="A1520" s="187">
        <v>24417</v>
      </c>
      <c r="B1520" s="187" t="s">
        <v>3281</v>
      </c>
      <c r="C1520" s="187" t="s">
        <v>8</v>
      </c>
      <c r="D1520" s="146" t="s">
        <v>154</v>
      </c>
      <c r="E1520" s="606"/>
      <c r="F1520" s="187"/>
    </row>
    <row r="1521" spans="1:6" s="113" customFormat="1" x14ac:dyDescent="0.25">
      <c r="A1521" s="187">
        <v>24417</v>
      </c>
      <c r="B1521" s="187" t="s">
        <v>3433</v>
      </c>
      <c r="C1521" s="187" t="s">
        <v>8</v>
      </c>
      <c r="D1521" s="187" t="s">
        <v>154</v>
      </c>
      <c r="E1521" s="187"/>
      <c r="F1521" s="187"/>
    </row>
    <row r="1522" spans="1:6" s="113" customFormat="1" ht="26.25" x14ac:dyDescent="0.25">
      <c r="A1522" s="141">
        <v>24428</v>
      </c>
      <c r="B1522" s="142" t="s">
        <v>667</v>
      </c>
      <c r="C1522" s="143" t="s">
        <v>16</v>
      </c>
      <c r="D1522" s="143" t="s">
        <v>302</v>
      </c>
      <c r="E1522" s="142"/>
      <c r="F1522" s="142"/>
    </row>
    <row r="1523" spans="1:6" s="113" customFormat="1" x14ac:dyDescent="0.25">
      <c r="A1523" s="141">
        <v>24484</v>
      </c>
      <c r="B1523" s="142" t="s">
        <v>668</v>
      </c>
      <c r="C1523" s="143" t="s">
        <v>9</v>
      </c>
      <c r="D1523" s="143" t="s">
        <v>7</v>
      </c>
      <c r="E1523" s="142"/>
      <c r="F1523" s="142"/>
    </row>
    <row r="1524" spans="1:6" s="113" customFormat="1" ht="26.25" x14ac:dyDescent="0.25">
      <c r="A1524" s="141">
        <v>24491</v>
      </c>
      <c r="B1524" s="142" t="s">
        <v>1160</v>
      </c>
      <c r="C1524" s="143" t="s">
        <v>16</v>
      </c>
      <c r="D1524" s="143" t="s">
        <v>154</v>
      </c>
      <c r="E1524" s="142"/>
      <c r="F1524" s="142"/>
    </row>
    <row r="1525" spans="1:6" s="113" customFormat="1" x14ac:dyDescent="0.25">
      <c r="A1525" s="141">
        <v>24498</v>
      </c>
      <c r="B1525" s="142" t="s">
        <v>669</v>
      </c>
      <c r="C1525" s="143" t="s">
        <v>167</v>
      </c>
      <c r="D1525" s="143" t="s">
        <v>173</v>
      </c>
      <c r="E1525" s="142"/>
      <c r="F1525" s="142"/>
    </row>
    <row r="1526" spans="1:6" s="113" customFormat="1" x14ac:dyDescent="0.25">
      <c r="A1526" s="141">
        <v>24705</v>
      </c>
      <c r="B1526" s="142" t="s">
        <v>670</v>
      </c>
      <c r="C1526" s="143" t="s">
        <v>10</v>
      </c>
      <c r="D1526" s="143" t="s">
        <v>242</v>
      </c>
      <c r="E1526" s="142"/>
      <c r="F1526" s="142"/>
    </row>
    <row r="1527" spans="1:6" s="113" customFormat="1" ht="26.25" x14ac:dyDescent="0.25">
      <c r="A1527" s="141">
        <v>24750</v>
      </c>
      <c r="B1527" s="142" t="s">
        <v>671</v>
      </c>
      <c r="C1527" s="143" t="s">
        <v>1478</v>
      </c>
      <c r="D1527" s="143" t="s">
        <v>173</v>
      </c>
      <c r="E1527" s="142"/>
      <c r="F1527" s="142"/>
    </row>
    <row r="1528" spans="1:6" s="113" customFormat="1" x14ac:dyDescent="0.25">
      <c r="A1528" s="141">
        <v>24793</v>
      </c>
      <c r="B1528" s="142" t="s">
        <v>672</v>
      </c>
      <c r="C1528" s="143" t="s">
        <v>140</v>
      </c>
      <c r="D1528" s="143" t="s">
        <v>143</v>
      </c>
      <c r="E1528" s="142"/>
      <c r="F1528" s="142"/>
    </row>
    <row r="1529" spans="1:6" s="113" customFormat="1" x14ac:dyDescent="0.25">
      <c r="A1529" s="141">
        <v>24814</v>
      </c>
      <c r="B1529" s="144" t="s">
        <v>673</v>
      </c>
      <c r="C1529" s="143" t="s">
        <v>9</v>
      </c>
      <c r="D1529" s="146" t="s">
        <v>11</v>
      </c>
      <c r="E1529" s="142"/>
      <c r="F1529" s="142"/>
    </row>
    <row r="1530" spans="1:6" s="113" customFormat="1" x14ac:dyDescent="0.25">
      <c r="A1530" s="141">
        <v>24818</v>
      </c>
      <c r="B1530" s="142" t="s">
        <v>2158</v>
      </c>
      <c r="C1530" s="143" t="s">
        <v>17</v>
      </c>
      <c r="D1530" s="143" t="s">
        <v>7</v>
      </c>
      <c r="E1530" s="142"/>
      <c r="F1530" s="142"/>
    </row>
    <row r="1531" spans="1:6" s="113" customFormat="1" x14ac:dyDescent="0.25">
      <c r="A1531" s="141">
        <v>24830</v>
      </c>
      <c r="B1531" s="142" t="s">
        <v>2159</v>
      </c>
      <c r="C1531" s="143" t="s">
        <v>1455</v>
      </c>
      <c r="D1531" s="143" t="s">
        <v>415</v>
      </c>
      <c r="E1531" s="142"/>
      <c r="F1531" s="142"/>
    </row>
    <row r="1532" spans="1:6" s="113" customFormat="1" x14ac:dyDescent="0.25">
      <c r="A1532" s="141">
        <v>24866</v>
      </c>
      <c r="B1532" s="190" t="s">
        <v>3033</v>
      </c>
      <c r="C1532" s="190" t="s">
        <v>5</v>
      </c>
      <c r="D1532" s="148" t="s">
        <v>154</v>
      </c>
      <c r="E1532" s="190"/>
      <c r="F1532" s="190"/>
    </row>
    <row r="1533" spans="1:6" s="113" customFormat="1" ht="26.25" x14ac:dyDescent="0.25">
      <c r="A1533" s="195">
        <v>24890</v>
      </c>
      <c r="B1533" s="188" t="s">
        <v>2838</v>
      </c>
      <c r="C1533" s="146" t="s">
        <v>4</v>
      </c>
      <c r="D1533" s="146" t="s">
        <v>1494</v>
      </c>
      <c r="E1533" s="606"/>
      <c r="F1533" s="187"/>
    </row>
    <row r="1534" spans="1:6" s="113" customFormat="1" x14ac:dyDescent="0.25">
      <c r="A1534" s="190">
        <v>24890</v>
      </c>
      <c r="B1534" s="188" t="s">
        <v>2838</v>
      </c>
      <c r="C1534" s="146" t="s">
        <v>2839</v>
      </c>
      <c r="D1534" s="146" t="s">
        <v>1494</v>
      </c>
      <c r="E1534" s="606"/>
      <c r="F1534" s="606"/>
    </row>
    <row r="1535" spans="1:6" s="113" customFormat="1" x14ac:dyDescent="0.25">
      <c r="A1535" s="190">
        <v>24890</v>
      </c>
      <c r="B1535" s="202" t="s">
        <v>2838</v>
      </c>
      <c r="C1535" s="606" t="s">
        <v>2839</v>
      </c>
      <c r="D1535" s="606" t="s">
        <v>1494</v>
      </c>
      <c r="E1535" s="606"/>
      <c r="F1535" s="606"/>
    </row>
    <row r="1536" spans="1:6" s="113" customFormat="1" x14ac:dyDescent="0.25">
      <c r="A1536" s="141">
        <v>24965</v>
      </c>
      <c r="B1536" s="142" t="s">
        <v>674</v>
      </c>
      <c r="C1536" s="143" t="s">
        <v>44</v>
      </c>
      <c r="D1536" s="143" t="s">
        <v>7</v>
      </c>
      <c r="E1536" s="142"/>
      <c r="F1536" s="142"/>
    </row>
    <row r="1537" spans="1:8" s="113" customFormat="1" x14ac:dyDescent="0.25">
      <c r="A1537" s="141">
        <v>25026</v>
      </c>
      <c r="B1537" s="142" t="s">
        <v>675</v>
      </c>
      <c r="C1537" s="143" t="s">
        <v>24</v>
      </c>
      <c r="D1537" s="143" t="s">
        <v>37</v>
      </c>
      <c r="E1537" s="142"/>
      <c r="F1537" s="142"/>
    </row>
    <row r="1538" spans="1:8" s="113" customFormat="1" ht="26.25" x14ac:dyDescent="0.25">
      <c r="A1538" s="141">
        <v>25027</v>
      </c>
      <c r="B1538" s="142" t="s">
        <v>2160</v>
      </c>
      <c r="C1538" s="143" t="s">
        <v>16</v>
      </c>
      <c r="D1538" s="143" t="s">
        <v>11</v>
      </c>
      <c r="E1538" s="142"/>
      <c r="F1538" s="142"/>
    </row>
    <row r="1539" spans="1:8" s="113" customFormat="1" ht="26.25" x14ac:dyDescent="0.25">
      <c r="A1539" s="141">
        <v>25056</v>
      </c>
      <c r="B1539" s="142" t="s">
        <v>2161</v>
      </c>
      <c r="C1539" s="143" t="s">
        <v>22</v>
      </c>
      <c r="D1539" s="143" t="s">
        <v>7</v>
      </c>
      <c r="E1539" s="142"/>
      <c r="F1539" s="142"/>
    </row>
    <row r="1540" spans="1:8" s="113" customFormat="1" x14ac:dyDescent="0.25">
      <c r="A1540" s="247">
        <v>25066</v>
      </c>
      <c r="B1540" s="250" t="s">
        <v>1387</v>
      </c>
      <c r="C1540" s="143" t="s">
        <v>10</v>
      </c>
      <c r="D1540" s="260" t="s">
        <v>154</v>
      </c>
      <c r="E1540" s="250"/>
      <c r="F1540" s="250"/>
    </row>
    <row r="1541" spans="1:8" s="113" customFormat="1" ht="26.25" x14ac:dyDescent="0.25">
      <c r="A1541" s="141">
        <v>25083</v>
      </c>
      <c r="B1541" s="142" t="s">
        <v>2162</v>
      </c>
      <c r="C1541" s="143" t="s">
        <v>96</v>
      </c>
      <c r="D1541" s="143" t="s">
        <v>109</v>
      </c>
      <c r="E1541" s="142"/>
      <c r="F1541" s="142"/>
    </row>
    <row r="1542" spans="1:8" s="113" customFormat="1" ht="26.25" x14ac:dyDescent="0.25">
      <c r="A1542" s="190">
        <v>25097</v>
      </c>
      <c r="B1542" s="188" t="s">
        <v>2541</v>
      </c>
      <c r="C1542" s="146" t="s">
        <v>5</v>
      </c>
      <c r="D1542" s="262" t="s">
        <v>11</v>
      </c>
      <c r="E1542" s="606"/>
      <c r="F1542" s="606"/>
    </row>
    <row r="1543" spans="1:8" s="113" customFormat="1" ht="26.25" x14ac:dyDescent="0.25">
      <c r="A1543" s="141">
        <v>25134</v>
      </c>
      <c r="B1543" s="142" t="s">
        <v>676</v>
      </c>
      <c r="C1543" s="143" t="s">
        <v>8</v>
      </c>
      <c r="D1543" s="143" t="s">
        <v>116</v>
      </c>
      <c r="E1543" s="142"/>
      <c r="F1543" s="142"/>
    </row>
    <row r="1544" spans="1:8" s="113" customFormat="1" x14ac:dyDescent="0.25">
      <c r="A1544" s="141">
        <v>25224</v>
      </c>
      <c r="B1544" s="142" t="s">
        <v>677</v>
      </c>
      <c r="C1544" s="143" t="s">
        <v>44</v>
      </c>
      <c r="D1544" s="143" t="s">
        <v>154</v>
      </c>
      <c r="E1544" s="142"/>
      <c r="F1544" s="142"/>
      <c r="G1544" s="194"/>
    </row>
    <row r="1545" spans="1:8" s="113" customFormat="1" x14ac:dyDescent="0.25">
      <c r="A1545" s="141">
        <v>25230</v>
      </c>
      <c r="B1545" s="142" t="s">
        <v>1472</v>
      </c>
      <c r="C1545" s="143" t="s">
        <v>1455</v>
      </c>
      <c r="D1545" s="143" t="s">
        <v>415</v>
      </c>
      <c r="E1545" s="250"/>
      <c r="F1545" s="250"/>
      <c r="H1545" s="194"/>
    </row>
    <row r="1546" spans="1:8" s="113" customFormat="1" ht="26.25" x14ac:dyDescent="0.25">
      <c r="A1546" s="141">
        <v>25296</v>
      </c>
      <c r="B1546" s="142" t="s">
        <v>2163</v>
      </c>
      <c r="C1546" s="143" t="s">
        <v>22</v>
      </c>
      <c r="D1546" s="143" t="s">
        <v>7</v>
      </c>
      <c r="E1546" s="142"/>
      <c r="F1546" s="142"/>
    </row>
    <row r="1547" spans="1:8" s="113" customFormat="1" x14ac:dyDescent="0.25">
      <c r="A1547" s="141">
        <v>25327</v>
      </c>
      <c r="B1547" s="142" t="s">
        <v>2164</v>
      </c>
      <c r="C1547" s="143" t="s">
        <v>24</v>
      </c>
      <c r="D1547" s="143" t="s">
        <v>37</v>
      </c>
      <c r="E1547" s="142"/>
      <c r="F1547" s="142"/>
    </row>
    <row r="1548" spans="1:8" s="113" customFormat="1" x14ac:dyDescent="0.25">
      <c r="A1548" s="141">
        <v>25430</v>
      </c>
      <c r="B1548" s="142" t="s">
        <v>1136</v>
      </c>
      <c r="C1548" s="143" t="s">
        <v>10</v>
      </c>
      <c r="D1548" s="143" t="s">
        <v>11</v>
      </c>
      <c r="E1548" s="142"/>
      <c r="F1548" s="142"/>
    </row>
    <row r="1549" spans="1:8" s="113" customFormat="1" x14ac:dyDescent="0.25">
      <c r="A1549" s="141">
        <v>25460</v>
      </c>
      <c r="B1549" s="142" t="s">
        <v>1161</v>
      </c>
      <c r="C1549" s="143" t="s">
        <v>64</v>
      </c>
      <c r="D1549" s="143" t="s">
        <v>11</v>
      </c>
      <c r="E1549" s="142"/>
      <c r="F1549" s="142"/>
    </row>
    <row r="1550" spans="1:8" s="113" customFormat="1" x14ac:dyDescent="0.25">
      <c r="A1550" s="141">
        <v>25473</v>
      </c>
      <c r="B1550" s="142" t="s">
        <v>2165</v>
      </c>
      <c r="C1550" s="143" t="s">
        <v>24</v>
      </c>
      <c r="D1550" s="143" t="s">
        <v>150</v>
      </c>
      <c r="E1550" s="142"/>
      <c r="F1550" s="142"/>
    </row>
    <row r="1551" spans="1:8" s="113" customFormat="1" x14ac:dyDescent="0.25">
      <c r="A1551" s="141">
        <v>25482</v>
      </c>
      <c r="B1551" s="142" t="s">
        <v>2166</v>
      </c>
      <c r="C1551" s="143" t="s">
        <v>36</v>
      </c>
      <c r="D1551" s="143" t="s">
        <v>154</v>
      </c>
      <c r="E1551" s="142"/>
      <c r="F1551" s="142"/>
      <c r="G1551" s="607"/>
    </row>
    <row r="1552" spans="1:8" s="113" customFormat="1" x14ac:dyDescent="0.25">
      <c r="A1552" s="141">
        <v>25483</v>
      </c>
      <c r="B1552" s="142" t="s">
        <v>2167</v>
      </c>
      <c r="C1552" s="143" t="s">
        <v>38</v>
      </c>
      <c r="D1552" s="143" t="s">
        <v>148</v>
      </c>
      <c r="E1552" s="142"/>
      <c r="F1552" s="142"/>
    </row>
    <row r="1553" spans="1:6" s="113" customFormat="1" x14ac:dyDescent="0.25">
      <c r="A1553" s="141">
        <v>25485</v>
      </c>
      <c r="B1553" s="142" t="s">
        <v>2168</v>
      </c>
      <c r="C1553" s="143" t="s">
        <v>167</v>
      </c>
      <c r="D1553" s="143" t="s">
        <v>11</v>
      </c>
      <c r="E1553" s="142"/>
      <c r="F1553" s="142"/>
    </row>
    <row r="1554" spans="1:6" s="113" customFormat="1" ht="26.25" x14ac:dyDescent="0.25">
      <c r="A1554" s="141">
        <v>25495</v>
      </c>
      <c r="B1554" s="142" t="s">
        <v>2169</v>
      </c>
      <c r="C1554" s="143" t="s">
        <v>16</v>
      </c>
      <c r="D1554" s="143" t="s">
        <v>242</v>
      </c>
      <c r="E1554" s="142"/>
      <c r="F1554" s="142"/>
    </row>
    <row r="1555" spans="1:6" s="113" customFormat="1" x14ac:dyDescent="0.25">
      <c r="A1555" s="141">
        <v>25496</v>
      </c>
      <c r="B1555" s="142" t="s">
        <v>678</v>
      </c>
      <c r="C1555" s="143" t="s">
        <v>38</v>
      </c>
      <c r="D1555" s="143" t="s">
        <v>7</v>
      </c>
      <c r="E1555" s="142"/>
      <c r="F1555" s="142"/>
    </row>
    <row r="1556" spans="1:6" s="113" customFormat="1" x14ac:dyDescent="0.25">
      <c r="A1556" s="141">
        <v>25502</v>
      </c>
      <c r="B1556" s="142" t="s">
        <v>2170</v>
      </c>
      <c r="C1556" s="143" t="s">
        <v>38</v>
      </c>
      <c r="D1556" s="146" t="s">
        <v>148</v>
      </c>
      <c r="E1556" s="142"/>
      <c r="F1556" s="142"/>
    </row>
    <row r="1557" spans="1:6" s="113" customFormat="1" x14ac:dyDescent="0.25">
      <c r="A1557" s="245">
        <v>25514</v>
      </c>
      <c r="B1557" s="246" t="s">
        <v>2599</v>
      </c>
      <c r="C1557" s="246" t="s">
        <v>32</v>
      </c>
      <c r="D1557" s="246" t="s">
        <v>242</v>
      </c>
      <c r="E1557" s="246"/>
      <c r="F1557" s="246"/>
    </row>
    <row r="1558" spans="1:6" s="113" customFormat="1" x14ac:dyDescent="0.25">
      <c r="A1558" s="190">
        <v>25516</v>
      </c>
      <c r="B1558" s="606" t="s">
        <v>2819</v>
      </c>
      <c r="C1558" s="606" t="s">
        <v>73</v>
      </c>
      <c r="D1558" s="606" t="s">
        <v>242</v>
      </c>
      <c r="E1558" s="606"/>
      <c r="F1558" s="606"/>
    </row>
    <row r="1559" spans="1:6" s="113" customFormat="1" x14ac:dyDescent="0.25">
      <c r="A1559" s="141">
        <v>25558</v>
      </c>
      <c r="B1559" s="142" t="s">
        <v>679</v>
      </c>
      <c r="C1559" s="143" t="s">
        <v>38</v>
      </c>
      <c r="D1559" s="143" t="s">
        <v>11</v>
      </c>
      <c r="E1559" s="142"/>
      <c r="F1559" s="142"/>
    </row>
    <row r="1560" spans="1:6" s="113" customFormat="1" ht="26.25" x14ac:dyDescent="0.25">
      <c r="A1560" s="141">
        <v>25588</v>
      </c>
      <c r="B1560" s="142" t="s">
        <v>2171</v>
      </c>
      <c r="C1560" s="143" t="s">
        <v>144</v>
      </c>
      <c r="D1560" s="143" t="s">
        <v>173</v>
      </c>
      <c r="E1560" s="142"/>
      <c r="F1560" s="142"/>
    </row>
    <row r="1561" spans="1:6" s="113" customFormat="1" x14ac:dyDescent="0.25">
      <c r="A1561" s="141">
        <v>25607</v>
      </c>
      <c r="B1561" s="142" t="s">
        <v>1360</v>
      </c>
      <c r="C1561" s="143" t="s">
        <v>36</v>
      </c>
      <c r="D1561" s="143" t="s">
        <v>154</v>
      </c>
      <c r="E1561" s="142"/>
      <c r="F1561" s="142"/>
    </row>
    <row r="1562" spans="1:6" s="113" customFormat="1" ht="26.25" x14ac:dyDescent="0.25">
      <c r="A1562" s="141">
        <v>25630</v>
      </c>
      <c r="B1562" s="142" t="s">
        <v>1361</v>
      </c>
      <c r="C1562" s="143" t="s">
        <v>16</v>
      </c>
      <c r="D1562" s="143" t="s">
        <v>7</v>
      </c>
      <c r="E1562" s="142"/>
      <c r="F1562" s="142"/>
    </row>
    <row r="1563" spans="1:6" s="113" customFormat="1" x14ac:dyDescent="0.25">
      <c r="A1563" s="141">
        <v>25632</v>
      </c>
      <c r="B1563" s="142" t="s">
        <v>2172</v>
      </c>
      <c r="C1563" s="143" t="s">
        <v>140</v>
      </c>
      <c r="D1563" s="143" t="s">
        <v>7</v>
      </c>
      <c r="E1563" s="142"/>
      <c r="F1563" s="142"/>
    </row>
    <row r="1564" spans="1:6" s="113" customFormat="1" x14ac:dyDescent="0.25">
      <c r="A1564" s="190">
        <v>25647</v>
      </c>
      <c r="B1564" s="188" t="s">
        <v>2823</v>
      </c>
      <c r="C1564" s="146" t="s">
        <v>36</v>
      </c>
      <c r="D1564" s="148" t="s">
        <v>150</v>
      </c>
      <c r="E1564" s="606"/>
      <c r="F1564" s="606"/>
    </row>
    <row r="1565" spans="1:6" s="113" customFormat="1" x14ac:dyDescent="0.25">
      <c r="A1565" s="195">
        <v>25647</v>
      </c>
      <c r="B1565" s="188" t="s">
        <v>2823</v>
      </c>
      <c r="C1565" s="146" t="s">
        <v>36</v>
      </c>
      <c r="D1565" s="146" t="s">
        <v>150</v>
      </c>
      <c r="E1565" s="606"/>
      <c r="F1565" s="187"/>
    </row>
    <row r="1566" spans="1:6" s="113" customFormat="1" x14ac:dyDescent="0.25">
      <c r="A1566" s="190">
        <v>25659</v>
      </c>
      <c r="B1566" s="188" t="s">
        <v>2989</v>
      </c>
      <c r="C1566" s="146" t="s">
        <v>2990</v>
      </c>
      <c r="D1566" s="146" t="s">
        <v>154</v>
      </c>
      <c r="E1566" s="606"/>
      <c r="F1566" s="606"/>
    </row>
    <row r="1567" spans="1:6" s="113" customFormat="1" x14ac:dyDescent="0.25">
      <c r="A1567" s="190">
        <v>25659</v>
      </c>
      <c r="B1567" s="606" t="s">
        <v>2989</v>
      </c>
      <c r="C1567" s="606" t="s">
        <v>65</v>
      </c>
      <c r="D1567" s="606" t="s">
        <v>154</v>
      </c>
      <c r="E1567" s="606"/>
      <c r="F1567" s="606"/>
    </row>
    <row r="1568" spans="1:6" s="113" customFormat="1" x14ac:dyDescent="0.25">
      <c r="A1568" s="141">
        <v>25675</v>
      </c>
      <c r="B1568" s="142" t="s">
        <v>2173</v>
      </c>
      <c r="C1568" s="143" t="s">
        <v>32</v>
      </c>
      <c r="D1568" s="143" t="s">
        <v>154</v>
      </c>
      <c r="E1568" s="142"/>
      <c r="F1568" s="142"/>
    </row>
    <row r="1569" spans="1:7" s="113" customFormat="1" ht="26.25" x14ac:dyDescent="0.25">
      <c r="A1569" s="141">
        <v>25723</v>
      </c>
      <c r="B1569" s="142" t="s">
        <v>680</v>
      </c>
      <c r="C1569" s="143" t="s">
        <v>914</v>
      </c>
      <c r="D1569" s="143" t="s">
        <v>11</v>
      </c>
      <c r="E1569" s="142"/>
      <c r="F1569" s="142"/>
    </row>
    <row r="1570" spans="1:7" s="113" customFormat="1" x14ac:dyDescent="0.25">
      <c r="A1570" s="141">
        <v>25725</v>
      </c>
      <c r="B1570" s="142" t="s">
        <v>1209</v>
      </c>
      <c r="C1570" s="143" t="s">
        <v>12</v>
      </c>
      <c r="D1570" s="143" t="s">
        <v>811</v>
      </c>
      <c r="E1570" s="142"/>
      <c r="F1570" s="142"/>
    </row>
    <row r="1571" spans="1:7" s="113" customFormat="1" x14ac:dyDescent="0.25">
      <c r="A1571" s="141">
        <v>25728</v>
      </c>
      <c r="B1571" s="142" t="s">
        <v>681</v>
      </c>
      <c r="C1571" s="143" t="s">
        <v>63</v>
      </c>
      <c r="D1571" s="143" t="s">
        <v>154</v>
      </c>
      <c r="E1571" s="142"/>
      <c r="F1571" s="142"/>
    </row>
    <row r="1572" spans="1:7" s="113" customFormat="1" x14ac:dyDescent="0.25">
      <c r="A1572" s="141">
        <v>25734</v>
      </c>
      <c r="B1572" s="142" t="s">
        <v>682</v>
      </c>
      <c r="C1572" s="143" t="s">
        <v>3045</v>
      </c>
      <c r="D1572" s="143" t="s">
        <v>50</v>
      </c>
      <c r="E1572" s="142"/>
      <c r="F1572" s="142"/>
    </row>
    <row r="1573" spans="1:7" s="113" customFormat="1" ht="26.25" x14ac:dyDescent="0.25">
      <c r="A1573" s="141">
        <v>25738</v>
      </c>
      <c r="B1573" s="142" t="s">
        <v>683</v>
      </c>
      <c r="C1573" s="143" t="s">
        <v>27</v>
      </c>
      <c r="D1573" s="143" t="s">
        <v>7</v>
      </c>
      <c r="E1573" s="142"/>
      <c r="F1573" s="142"/>
    </row>
    <row r="1574" spans="1:7" s="113" customFormat="1" x14ac:dyDescent="0.25">
      <c r="A1574" s="141">
        <v>25757</v>
      </c>
      <c r="B1574" s="142" t="s">
        <v>684</v>
      </c>
      <c r="C1574" s="143" t="s">
        <v>36</v>
      </c>
      <c r="D1574" s="143" t="s">
        <v>967</v>
      </c>
      <c r="E1574" s="142"/>
      <c r="F1574" s="142"/>
    </row>
    <row r="1575" spans="1:7" s="113" customFormat="1" ht="26.25" x14ac:dyDescent="0.25">
      <c r="A1575" s="141">
        <v>25770</v>
      </c>
      <c r="B1575" s="142" t="s">
        <v>2174</v>
      </c>
      <c r="C1575" s="143" t="s">
        <v>144</v>
      </c>
      <c r="D1575" s="143" t="s">
        <v>173</v>
      </c>
      <c r="E1575" s="142"/>
      <c r="F1575" s="142"/>
    </row>
    <row r="1576" spans="1:7" s="113" customFormat="1" ht="26.25" x14ac:dyDescent="0.25">
      <c r="A1576" s="141">
        <v>25777</v>
      </c>
      <c r="B1576" s="142" t="s">
        <v>685</v>
      </c>
      <c r="C1576" s="143" t="s">
        <v>1478</v>
      </c>
      <c r="D1576" s="143" t="s">
        <v>173</v>
      </c>
      <c r="E1576" s="142"/>
      <c r="F1576" s="142"/>
      <c r="G1576" s="194"/>
    </row>
    <row r="1577" spans="1:7" s="113" customFormat="1" ht="26.25" x14ac:dyDescent="0.25">
      <c r="A1577" s="141">
        <v>25782</v>
      </c>
      <c r="B1577" s="142" t="s">
        <v>2175</v>
      </c>
      <c r="C1577" s="143" t="s">
        <v>108</v>
      </c>
      <c r="D1577" s="244" t="s">
        <v>148</v>
      </c>
      <c r="E1577" s="142"/>
      <c r="F1577" s="142"/>
    </row>
    <row r="1578" spans="1:7" s="113" customFormat="1" x14ac:dyDescent="0.25">
      <c r="A1578" s="141">
        <v>25820</v>
      </c>
      <c r="B1578" s="142" t="s">
        <v>1137</v>
      </c>
      <c r="C1578" s="143" t="s">
        <v>17</v>
      </c>
      <c r="D1578" s="260" t="s">
        <v>150</v>
      </c>
      <c r="E1578" s="142"/>
      <c r="F1578" s="142"/>
    </row>
    <row r="1579" spans="1:7" s="113" customFormat="1" ht="26.25" x14ac:dyDescent="0.25">
      <c r="A1579" s="141">
        <v>25836</v>
      </c>
      <c r="B1579" s="142" t="s">
        <v>2909</v>
      </c>
      <c r="C1579" s="143" t="s">
        <v>6</v>
      </c>
      <c r="D1579" s="143" t="s">
        <v>242</v>
      </c>
      <c r="E1579" s="142"/>
      <c r="F1579" s="142"/>
    </row>
    <row r="1580" spans="1:7" s="113" customFormat="1" ht="26.25" x14ac:dyDescent="0.25">
      <c r="A1580" s="247">
        <v>25884</v>
      </c>
      <c r="B1580" s="250" t="s">
        <v>1277</v>
      </c>
      <c r="C1580" s="143" t="s">
        <v>8</v>
      </c>
      <c r="D1580" s="143" t="s">
        <v>242</v>
      </c>
      <c r="E1580" s="250"/>
      <c r="F1580" s="250"/>
    </row>
    <row r="1581" spans="1:7" s="113" customFormat="1" x14ac:dyDescent="0.25">
      <c r="A1581" s="141">
        <v>25903</v>
      </c>
      <c r="B1581" s="142" t="s">
        <v>2176</v>
      </c>
      <c r="C1581" s="143" t="s">
        <v>10</v>
      </c>
      <c r="D1581" s="143" t="s">
        <v>7</v>
      </c>
      <c r="E1581" s="142"/>
      <c r="F1581" s="142"/>
    </row>
    <row r="1582" spans="1:7" s="113" customFormat="1" ht="26.25" x14ac:dyDescent="0.25">
      <c r="A1582" s="141">
        <v>25920</v>
      </c>
      <c r="B1582" s="142" t="s">
        <v>2177</v>
      </c>
      <c r="C1582" s="143" t="s">
        <v>96</v>
      </c>
      <c r="D1582" s="143" t="s">
        <v>109</v>
      </c>
      <c r="E1582" s="142"/>
      <c r="F1582" s="142"/>
    </row>
    <row r="1583" spans="1:7" s="113" customFormat="1" ht="26.25" x14ac:dyDescent="0.25">
      <c r="A1583" s="141">
        <v>25939</v>
      </c>
      <c r="B1583" s="142" t="s">
        <v>686</v>
      </c>
      <c r="C1583" s="143" t="s">
        <v>96</v>
      </c>
      <c r="D1583" s="143" t="s">
        <v>109</v>
      </c>
      <c r="E1583" s="142"/>
      <c r="F1583" s="142"/>
    </row>
    <row r="1584" spans="1:7" s="113" customFormat="1" ht="26.25" x14ac:dyDescent="0.25">
      <c r="A1584" s="141">
        <v>25940</v>
      </c>
      <c r="B1584" s="142" t="s">
        <v>2178</v>
      </c>
      <c r="C1584" s="143" t="s">
        <v>144</v>
      </c>
      <c r="D1584" s="143" t="s">
        <v>171</v>
      </c>
      <c r="E1584" s="142"/>
      <c r="F1584" s="142"/>
    </row>
    <row r="1585" spans="1:6" s="113" customFormat="1" x14ac:dyDescent="0.25">
      <c r="A1585" s="247">
        <v>25941</v>
      </c>
      <c r="B1585" s="250" t="s">
        <v>1464</v>
      </c>
      <c r="C1585" s="143" t="s">
        <v>1455</v>
      </c>
      <c r="D1585" s="260" t="s">
        <v>11</v>
      </c>
      <c r="E1585" s="250"/>
      <c r="F1585" s="250"/>
    </row>
    <row r="1586" spans="1:6" s="113" customFormat="1" ht="26.25" x14ac:dyDescent="0.25">
      <c r="A1586" s="141">
        <v>25960</v>
      </c>
      <c r="B1586" s="142" t="s">
        <v>2540</v>
      </c>
      <c r="C1586" s="143" t="s">
        <v>914</v>
      </c>
      <c r="D1586" s="143" t="s">
        <v>148</v>
      </c>
      <c r="E1586" s="142"/>
      <c r="F1586" s="142"/>
    </row>
    <row r="1587" spans="1:6" s="113" customFormat="1" x14ac:dyDescent="0.25">
      <c r="A1587" s="141">
        <v>26002</v>
      </c>
      <c r="B1587" s="142" t="s">
        <v>2819</v>
      </c>
      <c r="C1587" s="143" t="s">
        <v>140</v>
      </c>
      <c r="D1587" s="143" t="s">
        <v>109</v>
      </c>
      <c r="E1587" s="142"/>
      <c r="F1587" s="142"/>
    </row>
    <row r="1588" spans="1:6" s="113" customFormat="1" ht="26.25" x14ac:dyDescent="0.25">
      <c r="A1588" s="141">
        <v>26076</v>
      </c>
      <c r="B1588" s="142" t="s">
        <v>2642</v>
      </c>
      <c r="C1588" s="143" t="s">
        <v>144</v>
      </c>
      <c r="D1588" s="143" t="s">
        <v>7</v>
      </c>
      <c r="E1588" s="142"/>
      <c r="F1588" s="142"/>
    </row>
    <row r="1589" spans="1:6" s="113" customFormat="1" x14ac:dyDescent="0.25">
      <c r="A1589" s="141">
        <v>26137</v>
      </c>
      <c r="B1589" s="142" t="s">
        <v>2179</v>
      </c>
      <c r="C1589" s="143" t="s">
        <v>41</v>
      </c>
      <c r="D1589" s="143" t="s">
        <v>148</v>
      </c>
      <c r="E1589" s="142"/>
      <c r="F1589" s="142"/>
    </row>
    <row r="1590" spans="1:6" s="113" customFormat="1" ht="39" x14ac:dyDescent="0.25">
      <c r="A1590" s="141">
        <v>26183</v>
      </c>
      <c r="B1590" s="142" t="s">
        <v>687</v>
      </c>
      <c r="C1590" s="143" t="s">
        <v>1398</v>
      </c>
      <c r="D1590" s="143" t="s">
        <v>7</v>
      </c>
      <c r="E1590" s="142"/>
      <c r="F1590" s="142"/>
    </row>
    <row r="1591" spans="1:6" s="113" customFormat="1" x14ac:dyDescent="0.25">
      <c r="A1591" s="141">
        <v>26202</v>
      </c>
      <c r="B1591" s="142" t="s">
        <v>688</v>
      </c>
      <c r="C1591" s="143" t="s">
        <v>36</v>
      </c>
      <c r="D1591" s="143" t="s">
        <v>154</v>
      </c>
      <c r="E1591" s="142"/>
      <c r="F1591" s="142"/>
    </row>
    <row r="1592" spans="1:6" s="113" customFormat="1" x14ac:dyDescent="0.25">
      <c r="A1592" s="141">
        <v>26229</v>
      </c>
      <c r="B1592" s="142" t="s">
        <v>689</v>
      </c>
      <c r="C1592" s="143" t="s">
        <v>10</v>
      </c>
      <c r="D1592" s="143" t="s">
        <v>154</v>
      </c>
      <c r="E1592" s="142"/>
      <c r="F1592" s="142"/>
    </row>
    <row r="1593" spans="1:6" s="113" customFormat="1" ht="26.25" x14ac:dyDescent="0.25">
      <c r="A1593" s="141">
        <v>26248</v>
      </c>
      <c r="B1593" s="142" t="s">
        <v>690</v>
      </c>
      <c r="C1593" s="143" t="s">
        <v>49</v>
      </c>
      <c r="D1593" s="143" t="s">
        <v>242</v>
      </c>
      <c r="E1593" s="142"/>
      <c r="F1593" s="142"/>
    </row>
    <row r="1594" spans="1:6" s="113" customFormat="1" x14ac:dyDescent="0.25">
      <c r="A1594" s="141">
        <v>26266</v>
      </c>
      <c r="B1594" s="142" t="s">
        <v>2180</v>
      </c>
      <c r="C1594" s="143" t="s">
        <v>53</v>
      </c>
      <c r="D1594" s="143" t="s">
        <v>154</v>
      </c>
      <c r="E1594" s="142"/>
      <c r="F1594" s="142"/>
    </row>
    <row r="1595" spans="1:6" s="113" customFormat="1" x14ac:dyDescent="0.25">
      <c r="A1595" s="141">
        <v>26279</v>
      </c>
      <c r="B1595" s="142" t="s">
        <v>691</v>
      </c>
      <c r="C1595" s="143" t="s">
        <v>24</v>
      </c>
      <c r="D1595" s="143" t="s">
        <v>37</v>
      </c>
      <c r="E1595" s="142"/>
      <c r="F1595" s="142"/>
    </row>
    <row r="1596" spans="1:6" s="113" customFormat="1" ht="39" x14ac:dyDescent="0.25">
      <c r="A1596" s="141">
        <v>26285</v>
      </c>
      <c r="B1596" s="142" t="s">
        <v>2181</v>
      </c>
      <c r="C1596" s="143" t="s">
        <v>64</v>
      </c>
      <c r="D1596" s="143" t="s">
        <v>2182</v>
      </c>
      <c r="E1596" s="142"/>
      <c r="F1596" s="142"/>
    </row>
    <row r="1597" spans="1:6" s="113" customFormat="1" ht="26.25" x14ac:dyDescent="0.25">
      <c r="A1597" s="141">
        <v>26303</v>
      </c>
      <c r="B1597" s="142" t="s">
        <v>2183</v>
      </c>
      <c r="C1597" s="143" t="s">
        <v>16</v>
      </c>
      <c r="D1597" s="143" t="s">
        <v>302</v>
      </c>
      <c r="E1597" s="142"/>
      <c r="F1597" s="142"/>
    </row>
    <row r="1598" spans="1:6" s="113" customFormat="1" ht="26.25" x14ac:dyDescent="0.25">
      <c r="A1598" s="247">
        <v>26344</v>
      </c>
      <c r="B1598" s="250" t="s">
        <v>1444</v>
      </c>
      <c r="C1598" s="143" t="s">
        <v>1173</v>
      </c>
      <c r="D1598" s="260" t="s">
        <v>154</v>
      </c>
      <c r="E1598" s="250"/>
      <c r="F1598" s="250"/>
    </row>
    <row r="1599" spans="1:6" s="113" customFormat="1" x14ac:dyDescent="0.25">
      <c r="A1599" s="247">
        <v>26347</v>
      </c>
      <c r="B1599" s="250" t="s">
        <v>1516</v>
      </c>
      <c r="C1599" s="143" t="s">
        <v>64</v>
      </c>
      <c r="D1599" s="260" t="s">
        <v>150</v>
      </c>
      <c r="E1599" s="250"/>
      <c r="F1599" s="250"/>
    </row>
    <row r="1600" spans="1:6" s="113" customFormat="1" x14ac:dyDescent="0.25">
      <c r="A1600" s="141">
        <v>26357</v>
      </c>
      <c r="B1600" s="142" t="s">
        <v>692</v>
      </c>
      <c r="C1600" s="143" t="s">
        <v>44</v>
      </c>
      <c r="D1600" s="143" t="s">
        <v>415</v>
      </c>
      <c r="E1600" s="142"/>
      <c r="F1600" s="142"/>
    </row>
    <row r="1601" spans="1:6" s="113" customFormat="1" ht="39" x14ac:dyDescent="0.25">
      <c r="A1601" s="247">
        <v>26365</v>
      </c>
      <c r="B1601" s="250" t="s">
        <v>1489</v>
      </c>
      <c r="C1601" s="143" t="s">
        <v>2110</v>
      </c>
      <c r="D1601" s="260" t="s">
        <v>811</v>
      </c>
      <c r="E1601" s="250"/>
      <c r="F1601" s="250"/>
    </row>
    <row r="1602" spans="1:6" s="113" customFormat="1" ht="26.25" x14ac:dyDescent="0.25">
      <c r="A1602" s="141">
        <v>26393</v>
      </c>
      <c r="B1602" s="142" t="s">
        <v>2184</v>
      </c>
      <c r="C1602" s="143" t="s">
        <v>27</v>
      </c>
      <c r="D1602" s="143" t="s">
        <v>1131</v>
      </c>
      <c r="E1602" s="142"/>
      <c r="F1602" s="142"/>
    </row>
    <row r="1603" spans="1:6" s="113" customFormat="1" x14ac:dyDescent="0.25">
      <c r="A1603" s="141">
        <v>26409</v>
      </c>
      <c r="B1603" s="142" t="s">
        <v>693</v>
      </c>
      <c r="C1603" s="143" t="s">
        <v>10</v>
      </c>
      <c r="D1603" s="143" t="s">
        <v>11</v>
      </c>
      <c r="E1603" s="142"/>
      <c r="F1603" s="142"/>
    </row>
    <row r="1604" spans="1:6" s="113" customFormat="1" x14ac:dyDescent="0.25">
      <c r="A1604" s="141">
        <v>26411</v>
      </c>
      <c r="B1604" s="142" t="s">
        <v>694</v>
      </c>
      <c r="C1604" s="143" t="s">
        <v>10</v>
      </c>
      <c r="D1604" s="143" t="s">
        <v>11</v>
      </c>
      <c r="E1604" s="142"/>
      <c r="F1604" s="142"/>
    </row>
    <row r="1605" spans="1:6" s="113" customFormat="1" x14ac:dyDescent="0.25">
      <c r="A1605" s="141">
        <v>26433</v>
      </c>
      <c r="B1605" s="142" t="s">
        <v>695</v>
      </c>
      <c r="C1605" s="143" t="s">
        <v>63</v>
      </c>
      <c r="D1605" s="143" t="s">
        <v>116</v>
      </c>
      <c r="E1605" s="142"/>
      <c r="F1605" s="142"/>
    </row>
    <row r="1606" spans="1:6" s="113" customFormat="1" x14ac:dyDescent="0.25">
      <c r="A1606" s="141">
        <v>26445</v>
      </c>
      <c r="B1606" s="142" t="s">
        <v>696</v>
      </c>
      <c r="C1606" s="143" t="s">
        <v>36</v>
      </c>
      <c r="D1606" s="143" t="s">
        <v>11</v>
      </c>
      <c r="E1606" s="142"/>
      <c r="F1606" s="142"/>
    </row>
    <row r="1607" spans="1:6" s="113" customFormat="1" x14ac:dyDescent="0.25">
      <c r="A1607" s="187">
        <v>26456</v>
      </c>
      <c r="B1607" s="187" t="s">
        <v>3306</v>
      </c>
      <c r="C1607" s="187" t="s">
        <v>17</v>
      </c>
      <c r="D1607" s="187" t="s">
        <v>154</v>
      </c>
      <c r="E1607" s="187"/>
      <c r="F1607" s="187"/>
    </row>
    <row r="1608" spans="1:6" s="113" customFormat="1" ht="26.25" x14ac:dyDescent="0.25">
      <c r="A1608" s="141">
        <v>26463</v>
      </c>
      <c r="B1608" s="142" t="s">
        <v>2185</v>
      </c>
      <c r="C1608" s="143" t="s">
        <v>20</v>
      </c>
      <c r="D1608" s="143" t="s">
        <v>150</v>
      </c>
      <c r="E1608" s="142"/>
      <c r="F1608" s="142"/>
    </row>
    <row r="1609" spans="1:6" s="113" customFormat="1" x14ac:dyDescent="0.25">
      <c r="A1609" s="141">
        <v>26496</v>
      </c>
      <c r="B1609" s="142" t="s">
        <v>697</v>
      </c>
      <c r="C1609" s="143" t="s">
        <v>24</v>
      </c>
      <c r="D1609" s="143" t="s">
        <v>37</v>
      </c>
      <c r="E1609" s="142"/>
      <c r="F1609" s="142"/>
    </row>
    <row r="1610" spans="1:6" s="113" customFormat="1" x14ac:dyDescent="0.25">
      <c r="A1610" s="141">
        <v>26498</v>
      </c>
      <c r="B1610" s="142" t="s">
        <v>1215</v>
      </c>
      <c r="C1610" s="143" t="s">
        <v>64</v>
      </c>
      <c r="D1610" s="143" t="s">
        <v>150</v>
      </c>
      <c r="E1610" s="142"/>
      <c r="F1610" s="142"/>
    </row>
    <row r="1611" spans="1:6" s="113" customFormat="1" x14ac:dyDescent="0.25">
      <c r="A1611" s="190">
        <v>26530</v>
      </c>
      <c r="B1611" s="606" t="s">
        <v>3159</v>
      </c>
      <c r="C1611" s="606" t="s">
        <v>32</v>
      </c>
      <c r="D1611" s="606" t="s">
        <v>154</v>
      </c>
      <c r="E1611" s="606"/>
      <c r="F1611" s="606"/>
    </row>
    <row r="1612" spans="1:6" s="113" customFormat="1" x14ac:dyDescent="0.25">
      <c r="A1612" s="301">
        <v>26530</v>
      </c>
      <c r="B1612" s="608" t="s">
        <v>3159</v>
      </c>
      <c r="C1612" s="608" t="s">
        <v>32</v>
      </c>
      <c r="D1612" s="608" t="s">
        <v>154</v>
      </c>
      <c r="E1612" s="608"/>
      <c r="F1612" s="608"/>
    </row>
    <row r="1613" spans="1:6" s="113" customFormat="1" ht="26.25" x14ac:dyDescent="0.25">
      <c r="A1613" s="141">
        <v>26538</v>
      </c>
      <c r="B1613" s="142" t="s">
        <v>2186</v>
      </c>
      <c r="C1613" s="143" t="s">
        <v>1676</v>
      </c>
      <c r="D1613" s="143" t="s">
        <v>242</v>
      </c>
      <c r="E1613" s="142"/>
      <c r="F1613" s="142"/>
    </row>
    <row r="1614" spans="1:6" s="113" customFormat="1" x14ac:dyDescent="0.25">
      <c r="A1614" s="247">
        <v>26611</v>
      </c>
      <c r="B1614" s="250" t="s">
        <v>1402</v>
      </c>
      <c r="C1614" s="143" t="s">
        <v>12</v>
      </c>
      <c r="D1614" s="260" t="s">
        <v>811</v>
      </c>
      <c r="E1614" s="250"/>
      <c r="F1614" s="250"/>
    </row>
    <row r="1615" spans="1:6" s="113" customFormat="1" x14ac:dyDescent="0.25">
      <c r="A1615" s="245">
        <v>26622</v>
      </c>
      <c r="B1615" s="246" t="s">
        <v>2623</v>
      </c>
      <c r="C1615" s="246" t="s">
        <v>17</v>
      </c>
      <c r="D1615" s="246" t="s">
        <v>242</v>
      </c>
      <c r="E1615" s="246"/>
      <c r="F1615" s="246"/>
    </row>
    <row r="1616" spans="1:6" s="113" customFormat="1" x14ac:dyDescent="0.25">
      <c r="A1616" s="141">
        <v>26626</v>
      </c>
      <c r="B1616" s="142" t="s">
        <v>699</v>
      </c>
      <c r="C1616" s="143" t="s">
        <v>167</v>
      </c>
      <c r="D1616" s="143" t="s">
        <v>171</v>
      </c>
      <c r="E1616" s="142"/>
      <c r="F1616" s="142"/>
    </row>
    <row r="1617" spans="1:6" s="113" customFormat="1" ht="26.25" x14ac:dyDescent="0.25">
      <c r="A1617" s="141">
        <v>26631</v>
      </c>
      <c r="B1617" s="142" t="s">
        <v>700</v>
      </c>
      <c r="C1617" s="143" t="s">
        <v>108</v>
      </c>
      <c r="D1617" s="143" t="s">
        <v>14</v>
      </c>
      <c r="E1617" s="142"/>
      <c r="F1617" s="142"/>
    </row>
    <row r="1618" spans="1:6" s="113" customFormat="1" ht="26.25" x14ac:dyDescent="0.25">
      <c r="A1618" s="141">
        <v>26632</v>
      </c>
      <c r="B1618" s="142" t="s">
        <v>3141</v>
      </c>
      <c r="C1618" s="143" t="s">
        <v>20</v>
      </c>
      <c r="D1618" s="143" t="s">
        <v>302</v>
      </c>
      <c r="E1618" s="142"/>
      <c r="F1618" s="142"/>
    </row>
    <row r="1619" spans="1:6" s="113" customFormat="1" ht="26.25" x14ac:dyDescent="0.25">
      <c r="A1619" s="141">
        <v>26689</v>
      </c>
      <c r="B1619" s="144" t="s">
        <v>701</v>
      </c>
      <c r="C1619" s="143" t="s">
        <v>16</v>
      </c>
      <c r="D1619" s="146" t="s">
        <v>154</v>
      </c>
      <c r="E1619" s="142"/>
      <c r="F1619" s="142"/>
    </row>
    <row r="1620" spans="1:6" s="113" customFormat="1" ht="26.25" x14ac:dyDescent="0.25">
      <c r="A1620" s="141">
        <v>26749</v>
      </c>
      <c r="B1620" s="142" t="s">
        <v>2187</v>
      </c>
      <c r="C1620" s="143" t="s">
        <v>16</v>
      </c>
      <c r="D1620" s="143" t="s">
        <v>154</v>
      </c>
      <c r="E1620" s="142"/>
      <c r="F1620" s="142"/>
    </row>
    <row r="1621" spans="1:6" s="113" customFormat="1" ht="26.25" x14ac:dyDescent="0.25">
      <c r="A1621" s="141">
        <v>26757</v>
      </c>
      <c r="B1621" s="142" t="s">
        <v>702</v>
      </c>
      <c r="C1621" s="143" t="s">
        <v>27</v>
      </c>
      <c r="D1621" s="143" t="s">
        <v>967</v>
      </c>
      <c r="E1621" s="142"/>
      <c r="F1621" s="142"/>
    </row>
    <row r="1622" spans="1:6" s="113" customFormat="1" x14ac:dyDescent="0.25">
      <c r="A1622" s="195">
        <v>26821</v>
      </c>
      <c r="B1622" s="187" t="s">
        <v>3119</v>
      </c>
      <c r="C1622" s="187" t="s">
        <v>167</v>
      </c>
      <c r="D1622" s="146" t="s">
        <v>173</v>
      </c>
      <c r="E1622" s="606"/>
      <c r="F1622" s="187"/>
    </row>
    <row r="1623" spans="1:6" s="113" customFormat="1" x14ac:dyDescent="0.25">
      <c r="A1623" s="190">
        <v>26821</v>
      </c>
      <c r="B1623" s="606" t="s">
        <v>3158</v>
      </c>
      <c r="C1623" s="606" t="s">
        <v>167</v>
      </c>
      <c r="D1623" s="606" t="s">
        <v>173</v>
      </c>
      <c r="E1623" s="606"/>
      <c r="F1623" s="606"/>
    </row>
    <row r="1624" spans="1:6" s="113" customFormat="1" x14ac:dyDescent="0.25">
      <c r="A1624" s="141">
        <v>26827</v>
      </c>
      <c r="B1624" s="142" t="s">
        <v>2188</v>
      </c>
      <c r="C1624" s="143" t="s">
        <v>140</v>
      </c>
      <c r="D1624" s="143" t="s">
        <v>148</v>
      </c>
      <c r="E1624" s="142"/>
      <c r="F1624" s="142"/>
    </row>
    <row r="1625" spans="1:6" s="113" customFormat="1" x14ac:dyDescent="0.25">
      <c r="A1625" s="141">
        <v>26847</v>
      </c>
      <c r="B1625" s="142" t="s">
        <v>703</v>
      </c>
      <c r="C1625" s="143" t="s">
        <v>38</v>
      </c>
      <c r="D1625" s="143" t="s">
        <v>109</v>
      </c>
      <c r="E1625" s="142"/>
      <c r="F1625" s="142"/>
    </row>
    <row r="1626" spans="1:6" s="113" customFormat="1" x14ac:dyDescent="0.25">
      <c r="A1626" s="141">
        <v>26851</v>
      </c>
      <c r="B1626" s="142" t="s">
        <v>2189</v>
      </c>
      <c r="C1626" s="143" t="s">
        <v>64</v>
      </c>
      <c r="D1626" s="143" t="s">
        <v>11</v>
      </c>
      <c r="E1626" s="142"/>
      <c r="F1626" s="142"/>
    </row>
    <row r="1627" spans="1:6" s="113" customFormat="1" ht="26.25" x14ac:dyDescent="0.25">
      <c r="A1627" s="247">
        <v>26857</v>
      </c>
      <c r="B1627" s="250" t="s">
        <v>1278</v>
      </c>
      <c r="C1627" s="143" t="s">
        <v>20</v>
      </c>
      <c r="D1627" s="260" t="s">
        <v>21</v>
      </c>
      <c r="E1627" s="250"/>
      <c r="F1627" s="250"/>
    </row>
    <row r="1628" spans="1:6" s="113" customFormat="1" x14ac:dyDescent="0.25">
      <c r="A1628" s="141">
        <v>26862</v>
      </c>
      <c r="B1628" s="142" t="s">
        <v>704</v>
      </c>
      <c r="C1628" s="143" t="s">
        <v>24</v>
      </c>
      <c r="D1628" s="143" t="s">
        <v>37</v>
      </c>
      <c r="E1628" s="142"/>
      <c r="F1628" s="142"/>
    </row>
    <row r="1629" spans="1:6" s="113" customFormat="1" x14ac:dyDescent="0.25">
      <c r="A1629" s="141">
        <v>26879</v>
      </c>
      <c r="B1629" s="142" t="s">
        <v>3535</v>
      </c>
      <c r="C1629" s="143" t="s">
        <v>1455</v>
      </c>
      <c r="D1629" s="143" t="s">
        <v>415</v>
      </c>
      <c r="E1629" s="142"/>
      <c r="F1629" s="142"/>
    </row>
    <row r="1630" spans="1:6" s="113" customFormat="1" x14ac:dyDescent="0.25">
      <c r="A1630" s="141">
        <v>26886</v>
      </c>
      <c r="B1630" s="142" t="s">
        <v>705</v>
      </c>
      <c r="C1630" s="143" t="s">
        <v>167</v>
      </c>
      <c r="D1630" s="143" t="s">
        <v>109</v>
      </c>
      <c r="E1630" s="142"/>
      <c r="F1630" s="142"/>
    </row>
    <row r="1631" spans="1:6" s="113" customFormat="1" x14ac:dyDescent="0.25">
      <c r="A1631" s="187">
        <v>27574</v>
      </c>
      <c r="B1631" s="188" t="s">
        <v>2764</v>
      </c>
      <c r="C1631" s="146" t="s">
        <v>9</v>
      </c>
      <c r="D1631" s="146" t="s">
        <v>11</v>
      </c>
      <c r="E1631" s="606"/>
      <c r="F1631" s="606"/>
    </row>
    <row r="1632" spans="1:6" s="113" customFormat="1" x14ac:dyDescent="0.25">
      <c r="A1632" s="195">
        <v>27574</v>
      </c>
      <c r="B1632" s="187" t="s">
        <v>2764</v>
      </c>
      <c r="C1632" s="187" t="s">
        <v>9</v>
      </c>
      <c r="D1632" s="146" t="s">
        <v>11</v>
      </c>
      <c r="E1632" s="606"/>
      <c r="F1632" s="187"/>
    </row>
    <row r="1633" spans="1:6" s="113" customFormat="1" x14ac:dyDescent="0.25">
      <c r="A1633" s="190">
        <v>27574</v>
      </c>
      <c r="B1633" s="606" t="s">
        <v>2764</v>
      </c>
      <c r="C1633" s="606" t="s">
        <v>9</v>
      </c>
      <c r="D1633" s="606" t="s">
        <v>11</v>
      </c>
      <c r="E1633" s="606"/>
      <c r="F1633" s="606"/>
    </row>
    <row r="1634" spans="1:6" s="113" customFormat="1" x14ac:dyDescent="0.25">
      <c r="A1634" s="247">
        <v>27585</v>
      </c>
      <c r="B1634" s="250" t="s">
        <v>1534</v>
      </c>
      <c r="C1634" s="143" t="s">
        <v>10</v>
      </c>
      <c r="D1634" s="260" t="s">
        <v>325</v>
      </c>
      <c r="E1634" s="250"/>
      <c r="F1634" s="250"/>
    </row>
    <row r="1635" spans="1:6" s="113" customFormat="1" x14ac:dyDescent="0.25">
      <c r="A1635" s="141">
        <v>27780</v>
      </c>
      <c r="B1635" s="142" t="s">
        <v>2190</v>
      </c>
      <c r="C1635" s="143" t="s">
        <v>12</v>
      </c>
      <c r="D1635" s="143" t="s">
        <v>11</v>
      </c>
      <c r="E1635" s="142"/>
      <c r="F1635" s="142"/>
    </row>
    <row r="1636" spans="1:6" s="113" customFormat="1" x14ac:dyDescent="0.25">
      <c r="A1636" s="187">
        <v>27781</v>
      </c>
      <c r="B1636" s="606" t="s">
        <v>2646</v>
      </c>
      <c r="C1636" s="606" t="s">
        <v>417</v>
      </c>
      <c r="D1636" s="148" t="s">
        <v>501</v>
      </c>
      <c r="E1636" s="606"/>
      <c r="F1636" s="187"/>
    </row>
    <row r="1637" spans="1:6" s="113" customFormat="1" ht="26.25" x14ac:dyDescent="0.25">
      <c r="A1637" s="141">
        <v>27795</v>
      </c>
      <c r="B1637" s="142" t="s">
        <v>706</v>
      </c>
      <c r="C1637" s="143" t="s">
        <v>16</v>
      </c>
      <c r="D1637" s="143" t="s">
        <v>154</v>
      </c>
      <c r="E1637" s="142"/>
      <c r="F1637" s="142"/>
    </row>
    <row r="1638" spans="1:6" s="113" customFormat="1" ht="39" x14ac:dyDescent="0.25">
      <c r="A1638" s="141">
        <v>27813</v>
      </c>
      <c r="B1638" s="142" t="s">
        <v>707</v>
      </c>
      <c r="C1638" s="143" t="s">
        <v>2110</v>
      </c>
      <c r="D1638" s="143" t="s">
        <v>11</v>
      </c>
      <c r="E1638" s="142"/>
      <c r="F1638" s="142"/>
    </row>
    <row r="1639" spans="1:6" s="113" customFormat="1" x14ac:dyDescent="0.25">
      <c r="A1639" s="190">
        <v>28172</v>
      </c>
      <c r="B1639" s="606" t="s">
        <v>3265</v>
      </c>
      <c r="C1639" s="606" t="s">
        <v>30</v>
      </c>
      <c r="D1639" s="606" t="s">
        <v>242</v>
      </c>
      <c r="E1639" s="606"/>
      <c r="F1639" s="606"/>
    </row>
    <row r="1640" spans="1:6" s="113" customFormat="1" x14ac:dyDescent="0.25">
      <c r="A1640" s="190">
        <v>28172</v>
      </c>
      <c r="B1640" s="606" t="s">
        <v>3265</v>
      </c>
      <c r="C1640" s="606" t="s">
        <v>30</v>
      </c>
      <c r="D1640" s="606" t="s">
        <v>3329</v>
      </c>
      <c r="E1640" s="606"/>
      <c r="F1640" s="606"/>
    </row>
    <row r="1641" spans="1:6" s="113" customFormat="1" x14ac:dyDescent="0.25">
      <c r="A1641" s="190">
        <v>28172</v>
      </c>
      <c r="B1641" s="606" t="s">
        <v>3265</v>
      </c>
      <c r="C1641" s="606" t="s">
        <v>30</v>
      </c>
      <c r="D1641" s="606" t="s">
        <v>150</v>
      </c>
      <c r="E1641" s="606"/>
      <c r="F1641" s="606"/>
    </row>
    <row r="1642" spans="1:6" s="113" customFormat="1" x14ac:dyDescent="0.25">
      <c r="A1642" s="141">
        <v>28204</v>
      </c>
      <c r="B1642" s="142" t="s">
        <v>2191</v>
      </c>
      <c r="C1642" s="143" t="s">
        <v>9</v>
      </c>
      <c r="D1642" s="143" t="s">
        <v>7</v>
      </c>
      <c r="E1642" s="142"/>
      <c r="F1642" s="142"/>
    </row>
    <row r="1643" spans="1:6" s="113" customFormat="1" x14ac:dyDescent="0.25">
      <c r="A1643" s="195">
        <v>28232</v>
      </c>
      <c r="B1643" s="188" t="s">
        <v>2737</v>
      </c>
      <c r="C1643" s="146" t="s">
        <v>9</v>
      </c>
      <c r="D1643" s="146" t="s">
        <v>540</v>
      </c>
      <c r="E1643" s="606"/>
      <c r="F1643" s="606"/>
    </row>
    <row r="1644" spans="1:6" s="113" customFormat="1" x14ac:dyDescent="0.25">
      <c r="A1644" s="606">
        <v>28232</v>
      </c>
      <c r="B1644" s="192" t="s">
        <v>2737</v>
      </c>
      <c r="C1644" s="192" t="s">
        <v>2738</v>
      </c>
      <c r="D1644" s="192" t="s">
        <v>540</v>
      </c>
      <c r="E1644" s="192"/>
      <c r="F1644" s="606"/>
    </row>
    <row r="1645" spans="1:6" s="113" customFormat="1" ht="26.25" x14ac:dyDescent="0.25">
      <c r="A1645" s="141">
        <v>28243</v>
      </c>
      <c r="B1645" s="142" t="s">
        <v>708</v>
      </c>
      <c r="C1645" s="143" t="s">
        <v>16</v>
      </c>
      <c r="D1645" s="143" t="s">
        <v>154</v>
      </c>
      <c r="E1645" s="142"/>
      <c r="F1645" s="142"/>
    </row>
    <row r="1646" spans="1:6" s="113" customFormat="1" ht="26.25" x14ac:dyDescent="0.25">
      <c r="A1646" s="141">
        <v>28258</v>
      </c>
      <c r="B1646" s="142" t="s">
        <v>709</v>
      </c>
      <c r="C1646" s="143" t="s">
        <v>1455</v>
      </c>
      <c r="D1646" s="143" t="s">
        <v>2192</v>
      </c>
      <c r="E1646" s="142"/>
      <c r="F1646" s="142"/>
    </row>
    <row r="1647" spans="1:6" s="113" customFormat="1" ht="26.25" x14ac:dyDescent="0.25">
      <c r="A1647" s="141">
        <v>28362</v>
      </c>
      <c r="B1647" s="142" t="s">
        <v>710</v>
      </c>
      <c r="C1647" s="143" t="s">
        <v>3039</v>
      </c>
      <c r="D1647" s="143" t="s">
        <v>154</v>
      </c>
      <c r="E1647" s="142"/>
      <c r="F1647" s="142"/>
    </row>
    <row r="1648" spans="1:6" s="113" customFormat="1" ht="26.25" x14ac:dyDescent="0.25">
      <c r="A1648" s="141">
        <v>28366</v>
      </c>
      <c r="B1648" s="142" t="s">
        <v>711</v>
      </c>
      <c r="C1648" s="143" t="s">
        <v>22</v>
      </c>
      <c r="D1648" s="143" t="s">
        <v>7</v>
      </c>
      <c r="E1648" s="142"/>
      <c r="F1648" s="142"/>
    </row>
    <row r="1649" spans="1:7" s="113" customFormat="1" x14ac:dyDescent="0.25">
      <c r="A1649" s="141">
        <v>28406</v>
      </c>
      <c r="B1649" s="142" t="s">
        <v>2193</v>
      </c>
      <c r="C1649" s="143" t="s">
        <v>9</v>
      </c>
      <c r="D1649" s="143" t="s">
        <v>11</v>
      </c>
      <c r="E1649" s="142"/>
      <c r="F1649" s="142"/>
    </row>
    <row r="1650" spans="1:7" s="113" customFormat="1" ht="26.25" x14ac:dyDescent="0.25">
      <c r="A1650" s="141">
        <v>28413</v>
      </c>
      <c r="B1650" s="142" t="s">
        <v>712</v>
      </c>
      <c r="C1650" s="143" t="s">
        <v>914</v>
      </c>
      <c r="D1650" s="143" t="s">
        <v>2194</v>
      </c>
      <c r="E1650" s="142"/>
      <c r="F1650" s="142"/>
    </row>
    <row r="1651" spans="1:7" s="113" customFormat="1" x14ac:dyDescent="0.25">
      <c r="A1651" s="190">
        <v>28460</v>
      </c>
      <c r="B1651" s="606" t="s">
        <v>3199</v>
      </c>
      <c r="C1651" s="606" t="s">
        <v>8</v>
      </c>
      <c r="D1651" s="606" t="s">
        <v>116</v>
      </c>
      <c r="E1651" s="606"/>
      <c r="F1651" s="606"/>
    </row>
    <row r="1652" spans="1:7" s="113" customFormat="1" x14ac:dyDescent="0.25">
      <c r="A1652" s="141">
        <v>29455</v>
      </c>
      <c r="B1652" s="142" t="s">
        <v>2195</v>
      </c>
      <c r="C1652" s="143" t="s">
        <v>47</v>
      </c>
      <c r="D1652" s="143" t="s">
        <v>56</v>
      </c>
      <c r="E1652" s="147"/>
      <c r="F1652" s="147"/>
    </row>
    <row r="1653" spans="1:7" s="113" customFormat="1" x14ac:dyDescent="0.25">
      <c r="A1653" s="141">
        <v>29494</v>
      </c>
      <c r="B1653" s="142" t="s">
        <v>713</v>
      </c>
      <c r="C1653" s="143" t="s">
        <v>167</v>
      </c>
      <c r="D1653" s="143" t="s">
        <v>173</v>
      </c>
      <c r="E1653" s="147"/>
      <c r="F1653" s="147"/>
    </row>
    <row r="1654" spans="1:7" s="113" customFormat="1" x14ac:dyDescent="0.25">
      <c r="A1654" s="187">
        <v>29524</v>
      </c>
      <c r="B1654" s="187" t="s">
        <v>3588</v>
      </c>
      <c r="C1654" s="187" t="s">
        <v>38</v>
      </c>
      <c r="D1654" s="187" t="s">
        <v>148</v>
      </c>
      <c r="E1654" s="187"/>
      <c r="F1654" s="187"/>
    </row>
    <row r="1655" spans="1:7" s="113" customFormat="1" ht="26.25" x14ac:dyDescent="0.25">
      <c r="A1655" s="141">
        <v>29574</v>
      </c>
      <c r="B1655" s="142" t="s">
        <v>2196</v>
      </c>
      <c r="C1655" s="143" t="s">
        <v>3039</v>
      </c>
      <c r="D1655" s="143" t="s">
        <v>242</v>
      </c>
      <c r="E1655" s="147"/>
      <c r="F1655" s="147"/>
    </row>
    <row r="1656" spans="1:7" s="113" customFormat="1" ht="26.25" x14ac:dyDescent="0.25">
      <c r="A1656" s="141">
        <v>30223</v>
      </c>
      <c r="B1656" s="142" t="s">
        <v>714</v>
      </c>
      <c r="C1656" s="143" t="s">
        <v>8</v>
      </c>
      <c r="D1656" s="143" t="s">
        <v>242</v>
      </c>
      <c r="E1656" s="142"/>
      <c r="F1656" s="142"/>
      <c r="G1656" s="249"/>
    </row>
    <row r="1657" spans="1:7" s="113" customFormat="1" x14ac:dyDescent="0.25">
      <c r="A1657" s="141">
        <v>30266</v>
      </c>
      <c r="B1657" s="142" t="s">
        <v>715</v>
      </c>
      <c r="C1657" s="143" t="s">
        <v>63</v>
      </c>
      <c r="D1657" s="143" t="s">
        <v>11</v>
      </c>
      <c r="E1657" s="142"/>
      <c r="F1657" s="142"/>
    </row>
    <row r="1658" spans="1:7" s="113" customFormat="1" x14ac:dyDescent="0.25">
      <c r="A1658" s="247">
        <v>30564</v>
      </c>
      <c r="B1658" s="248" t="s">
        <v>1279</v>
      </c>
      <c r="C1658" s="143" t="s">
        <v>53</v>
      </c>
      <c r="D1658" s="244" t="s">
        <v>154</v>
      </c>
      <c r="E1658" s="248"/>
      <c r="F1658" s="248"/>
    </row>
    <row r="1659" spans="1:7" s="113" customFormat="1" x14ac:dyDescent="0.25">
      <c r="A1659" s="195">
        <v>30620</v>
      </c>
      <c r="B1659" s="187" t="s">
        <v>3127</v>
      </c>
      <c r="C1659" s="187" t="s">
        <v>53</v>
      </c>
      <c r="D1659" s="146" t="s">
        <v>242</v>
      </c>
      <c r="E1659" s="606"/>
      <c r="F1659" s="187"/>
    </row>
    <row r="1660" spans="1:7" s="113" customFormat="1" ht="26.25" x14ac:dyDescent="0.25">
      <c r="A1660" s="141">
        <v>30706</v>
      </c>
      <c r="B1660" s="142" t="s">
        <v>2197</v>
      </c>
      <c r="C1660" s="143" t="s">
        <v>5</v>
      </c>
      <c r="D1660" s="143" t="s">
        <v>154</v>
      </c>
      <c r="E1660" s="142"/>
      <c r="F1660" s="142"/>
    </row>
    <row r="1661" spans="1:7" s="113" customFormat="1" ht="26.25" x14ac:dyDescent="0.25">
      <c r="A1661" s="141">
        <v>30977</v>
      </c>
      <c r="B1661" s="142" t="s">
        <v>2198</v>
      </c>
      <c r="C1661" s="143" t="s">
        <v>16</v>
      </c>
      <c r="D1661" s="143" t="s">
        <v>154</v>
      </c>
      <c r="E1661" s="142"/>
      <c r="F1661" s="142"/>
      <c r="G1661" s="226"/>
    </row>
    <row r="1662" spans="1:7" s="113" customFormat="1" x14ac:dyDescent="0.25">
      <c r="A1662" s="190">
        <v>31076</v>
      </c>
      <c r="B1662" s="606" t="s">
        <v>3194</v>
      </c>
      <c r="C1662" s="606" t="s">
        <v>3045</v>
      </c>
      <c r="D1662" s="606" t="s">
        <v>3067</v>
      </c>
      <c r="E1662" s="606"/>
      <c r="F1662" s="606"/>
    </row>
    <row r="1663" spans="1:7" s="113" customFormat="1" x14ac:dyDescent="0.25">
      <c r="A1663" s="190">
        <v>31273</v>
      </c>
      <c r="B1663" s="133" t="s">
        <v>2843</v>
      </c>
      <c r="C1663" s="187" t="s">
        <v>63</v>
      </c>
      <c r="D1663" s="606" t="s">
        <v>154</v>
      </c>
      <c r="E1663" s="606"/>
      <c r="F1663" s="606"/>
    </row>
    <row r="1664" spans="1:7" s="113" customFormat="1" x14ac:dyDescent="0.25">
      <c r="A1664" s="195">
        <v>31273</v>
      </c>
      <c r="B1664" s="188" t="s">
        <v>2843</v>
      </c>
      <c r="C1664" s="146" t="s">
        <v>63</v>
      </c>
      <c r="D1664" s="146" t="s">
        <v>154</v>
      </c>
      <c r="E1664" s="606"/>
      <c r="F1664" s="187"/>
    </row>
    <row r="1665" spans="1:7" s="113" customFormat="1" ht="26.25" x14ac:dyDescent="0.25">
      <c r="A1665" s="141">
        <v>31461</v>
      </c>
      <c r="B1665" s="142" t="s">
        <v>2199</v>
      </c>
      <c r="C1665" s="143" t="s">
        <v>16</v>
      </c>
      <c r="D1665" s="143" t="s">
        <v>302</v>
      </c>
      <c r="E1665" s="142"/>
      <c r="F1665" s="142"/>
    </row>
    <row r="1666" spans="1:7" s="113" customFormat="1" x14ac:dyDescent="0.25">
      <c r="A1666" s="141">
        <v>31524</v>
      </c>
      <c r="B1666" s="142" t="s">
        <v>2200</v>
      </c>
      <c r="C1666" s="143" t="s">
        <v>24</v>
      </c>
      <c r="D1666" s="143" t="s">
        <v>80</v>
      </c>
      <c r="E1666" s="142"/>
      <c r="F1666" s="142"/>
      <c r="G1666" s="226"/>
    </row>
    <row r="1667" spans="1:7" s="113" customFormat="1" ht="26.25" x14ac:dyDescent="0.25">
      <c r="A1667" s="141">
        <v>33834</v>
      </c>
      <c r="B1667" s="142" t="s">
        <v>2201</v>
      </c>
      <c r="C1667" s="143" t="s">
        <v>27</v>
      </c>
      <c r="D1667" s="143" t="s">
        <v>154</v>
      </c>
      <c r="E1667" s="142"/>
      <c r="F1667" s="142"/>
    </row>
    <row r="1668" spans="1:7" s="113" customFormat="1" x14ac:dyDescent="0.25">
      <c r="A1668" s="141">
        <v>33953</v>
      </c>
      <c r="B1668" s="142" t="s">
        <v>716</v>
      </c>
      <c r="C1668" s="143" t="s">
        <v>63</v>
      </c>
      <c r="D1668" s="143" t="s">
        <v>150</v>
      </c>
      <c r="E1668" s="142"/>
      <c r="F1668" s="142"/>
    </row>
    <row r="1669" spans="1:7" s="113" customFormat="1" x14ac:dyDescent="0.25">
      <c r="A1669" s="141">
        <v>34057</v>
      </c>
      <c r="B1669" s="142" t="s">
        <v>717</v>
      </c>
      <c r="C1669" s="143" t="s">
        <v>140</v>
      </c>
      <c r="D1669" s="143" t="s">
        <v>109</v>
      </c>
      <c r="E1669" s="142"/>
      <c r="F1669" s="142"/>
    </row>
    <row r="1670" spans="1:7" s="113" customFormat="1" x14ac:dyDescent="0.25">
      <c r="A1670" s="141">
        <v>34202</v>
      </c>
      <c r="B1670" s="142" t="s">
        <v>1138</v>
      </c>
      <c r="C1670" s="143" t="s">
        <v>64</v>
      </c>
      <c r="D1670" s="143" t="s">
        <v>11</v>
      </c>
      <c r="E1670" s="142"/>
      <c r="F1670" s="142"/>
      <c r="G1670" s="226"/>
    </row>
    <row r="1671" spans="1:7" s="113" customFormat="1" ht="26.25" x14ac:dyDescent="0.25">
      <c r="A1671" s="141">
        <v>34313</v>
      </c>
      <c r="B1671" s="142" t="s">
        <v>718</v>
      </c>
      <c r="C1671" s="143" t="s">
        <v>96</v>
      </c>
      <c r="D1671" s="143" t="s">
        <v>415</v>
      </c>
      <c r="E1671" s="142"/>
      <c r="F1671" s="142"/>
    </row>
    <row r="1672" spans="1:7" s="113" customFormat="1" ht="26.25" x14ac:dyDescent="0.25">
      <c r="A1672" s="141">
        <v>34382</v>
      </c>
      <c r="B1672" s="142" t="s">
        <v>2202</v>
      </c>
      <c r="C1672" s="143" t="s">
        <v>144</v>
      </c>
      <c r="D1672" s="143" t="s">
        <v>173</v>
      </c>
      <c r="E1672" s="142"/>
      <c r="F1672" s="142"/>
    </row>
    <row r="1673" spans="1:7" s="113" customFormat="1" ht="26.25" x14ac:dyDescent="0.25">
      <c r="A1673" s="141">
        <v>34386</v>
      </c>
      <c r="B1673" s="142" t="s">
        <v>2203</v>
      </c>
      <c r="C1673" s="143" t="s">
        <v>22</v>
      </c>
      <c r="D1673" s="143" t="s">
        <v>154</v>
      </c>
      <c r="E1673" s="142"/>
      <c r="F1673" s="142"/>
    </row>
    <row r="1674" spans="1:7" s="113" customFormat="1" ht="26.25" x14ac:dyDescent="0.25">
      <c r="A1674" s="141">
        <v>34394</v>
      </c>
      <c r="B1674" s="142" t="s">
        <v>2204</v>
      </c>
      <c r="C1674" s="143" t="s">
        <v>157</v>
      </c>
      <c r="D1674" s="143" t="s">
        <v>154</v>
      </c>
      <c r="E1674" s="142"/>
      <c r="F1674" s="142"/>
    </row>
    <row r="1675" spans="1:7" s="113" customFormat="1" x14ac:dyDescent="0.25">
      <c r="A1675" s="141">
        <v>34498</v>
      </c>
      <c r="B1675" s="142" t="s">
        <v>719</v>
      </c>
      <c r="C1675" s="143" t="s">
        <v>64</v>
      </c>
      <c r="D1675" s="143" t="s">
        <v>228</v>
      </c>
      <c r="E1675" s="142"/>
      <c r="F1675" s="142"/>
    </row>
    <row r="1676" spans="1:7" s="113" customFormat="1" ht="26.25" x14ac:dyDescent="0.25">
      <c r="A1676" s="141">
        <v>34712</v>
      </c>
      <c r="B1676" s="142" t="s">
        <v>720</v>
      </c>
      <c r="C1676" s="143" t="s">
        <v>144</v>
      </c>
      <c r="D1676" s="143" t="s">
        <v>11</v>
      </c>
      <c r="E1676" s="142"/>
      <c r="F1676" s="142"/>
    </row>
    <row r="1677" spans="1:7" s="113" customFormat="1" ht="26.25" x14ac:dyDescent="0.25">
      <c r="A1677" s="141">
        <v>34716</v>
      </c>
      <c r="B1677" s="142" t="s">
        <v>2205</v>
      </c>
      <c r="C1677" s="143" t="s">
        <v>914</v>
      </c>
      <c r="D1677" s="143" t="s">
        <v>242</v>
      </c>
      <c r="E1677" s="142"/>
      <c r="F1677" s="142"/>
    </row>
    <row r="1678" spans="1:7" s="113" customFormat="1" x14ac:dyDescent="0.25">
      <c r="A1678" s="190">
        <v>34732</v>
      </c>
      <c r="B1678" s="606" t="s">
        <v>3212</v>
      </c>
      <c r="C1678" s="606" t="s">
        <v>144</v>
      </c>
      <c r="D1678" s="606" t="s">
        <v>171</v>
      </c>
      <c r="E1678" s="606"/>
      <c r="F1678" s="606"/>
    </row>
    <row r="1679" spans="1:7" s="113" customFormat="1" x14ac:dyDescent="0.25">
      <c r="A1679" s="247">
        <v>34759</v>
      </c>
      <c r="B1679" s="250" t="s">
        <v>1514</v>
      </c>
      <c r="C1679" s="143" t="s">
        <v>167</v>
      </c>
      <c r="D1679" s="260" t="s">
        <v>148</v>
      </c>
      <c r="E1679" s="250"/>
      <c r="F1679" s="250"/>
    </row>
    <row r="1680" spans="1:7" s="113" customFormat="1" ht="26.25" x14ac:dyDescent="0.25">
      <c r="A1680" s="141">
        <v>34760</v>
      </c>
      <c r="B1680" s="142" t="s">
        <v>2206</v>
      </c>
      <c r="C1680" s="143" t="s">
        <v>1478</v>
      </c>
      <c r="D1680" s="143" t="s">
        <v>7</v>
      </c>
      <c r="E1680" s="142"/>
      <c r="F1680" s="142"/>
    </row>
    <row r="1681" spans="1:8" s="113" customFormat="1" ht="26.25" x14ac:dyDescent="0.25">
      <c r="A1681" s="141">
        <v>34764</v>
      </c>
      <c r="B1681" s="142" t="s">
        <v>721</v>
      </c>
      <c r="C1681" s="143" t="s">
        <v>27</v>
      </c>
      <c r="D1681" s="143" t="s">
        <v>242</v>
      </c>
      <c r="E1681" s="142"/>
      <c r="F1681" s="142"/>
    </row>
    <row r="1682" spans="1:8" s="113" customFormat="1" ht="26.25" x14ac:dyDescent="0.25">
      <c r="A1682" s="141">
        <v>34766</v>
      </c>
      <c r="B1682" s="142" t="s">
        <v>722</v>
      </c>
      <c r="C1682" s="143" t="s">
        <v>144</v>
      </c>
      <c r="D1682" s="143" t="s">
        <v>173</v>
      </c>
      <c r="E1682" s="142"/>
      <c r="F1682" s="142"/>
    </row>
    <row r="1683" spans="1:8" s="113" customFormat="1" x14ac:dyDescent="0.25">
      <c r="A1683" s="141">
        <v>34772</v>
      </c>
      <c r="B1683" s="142" t="s">
        <v>2207</v>
      </c>
      <c r="C1683" s="143" t="s">
        <v>44</v>
      </c>
      <c r="D1683" s="143" t="s">
        <v>7</v>
      </c>
      <c r="E1683" s="142"/>
      <c r="F1683" s="142"/>
      <c r="G1683" s="226"/>
    </row>
    <row r="1684" spans="1:8" s="113" customFormat="1" x14ac:dyDescent="0.25">
      <c r="A1684" s="141">
        <v>34787</v>
      </c>
      <c r="B1684" s="142" t="s">
        <v>723</v>
      </c>
      <c r="C1684" s="143" t="s">
        <v>167</v>
      </c>
      <c r="D1684" s="143" t="s">
        <v>173</v>
      </c>
      <c r="E1684" s="142"/>
      <c r="F1684" s="142"/>
      <c r="H1684" s="194"/>
    </row>
    <row r="1685" spans="1:8" s="113" customFormat="1" x14ac:dyDescent="0.25">
      <c r="A1685" s="141">
        <v>34797</v>
      </c>
      <c r="B1685" s="142" t="s">
        <v>724</v>
      </c>
      <c r="C1685" s="143" t="s">
        <v>17</v>
      </c>
      <c r="D1685" s="143" t="s">
        <v>7</v>
      </c>
      <c r="E1685" s="142"/>
      <c r="F1685" s="142"/>
    </row>
    <row r="1686" spans="1:8" s="113" customFormat="1" x14ac:dyDescent="0.25">
      <c r="A1686" s="141">
        <v>34801</v>
      </c>
      <c r="B1686" s="142" t="s">
        <v>725</v>
      </c>
      <c r="C1686" s="143" t="s">
        <v>167</v>
      </c>
      <c r="D1686" s="143" t="s">
        <v>109</v>
      </c>
      <c r="E1686" s="142"/>
      <c r="F1686" s="142"/>
    </row>
    <row r="1687" spans="1:8" s="113" customFormat="1" ht="26.25" x14ac:dyDescent="0.25">
      <c r="A1687" s="141">
        <v>34810</v>
      </c>
      <c r="B1687" s="142" t="s">
        <v>2208</v>
      </c>
      <c r="C1687" s="143" t="s">
        <v>1478</v>
      </c>
      <c r="D1687" s="143" t="s">
        <v>173</v>
      </c>
      <c r="E1687" s="142"/>
      <c r="F1687" s="142"/>
    </row>
    <row r="1688" spans="1:8" s="113" customFormat="1" x14ac:dyDescent="0.25">
      <c r="A1688" s="266">
        <v>34884</v>
      </c>
      <c r="B1688" s="142" t="s">
        <v>1317</v>
      </c>
      <c r="C1688" s="143" t="s">
        <v>9</v>
      </c>
      <c r="D1688" s="143" t="s">
        <v>540</v>
      </c>
      <c r="E1688" s="259"/>
      <c r="F1688" s="259"/>
    </row>
    <row r="1689" spans="1:8" s="113" customFormat="1" x14ac:dyDescent="0.25">
      <c r="A1689" s="245">
        <v>34927</v>
      </c>
      <c r="B1689" s="246" t="s">
        <v>2711</v>
      </c>
      <c r="C1689" s="246" t="s">
        <v>41</v>
      </c>
      <c r="D1689" s="246" t="s">
        <v>154</v>
      </c>
      <c r="E1689" s="246"/>
      <c r="F1689" s="246"/>
    </row>
    <row r="1690" spans="1:8" s="113" customFormat="1" x14ac:dyDescent="0.25">
      <c r="A1690" s="141">
        <v>34932</v>
      </c>
      <c r="B1690" s="142" t="s">
        <v>726</v>
      </c>
      <c r="C1690" s="143" t="s">
        <v>9</v>
      </c>
      <c r="D1690" s="143" t="s">
        <v>1696</v>
      </c>
      <c r="E1690" s="142"/>
      <c r="F1690" s="142"/>
    </row>
    <row r="1691" spans="1:8" s="113" customFormat="1" x14ac:dyDescent="0.25">
      <c r="A1691" s="141">
        <v>35055</v>
      </c>
      <c r="B1691" s="142" t="s">
        <v>1243</v>
      </c>
      <c r="C1691" s="143" t="s">
        <v>9</v>
      </c>
      <c r="D1691" s="143" t="s">
        <v>2209</v>
      </c>
      <c r="E1691" s="142"/>
      <c r="F1691" s="142"/>
    </row>
    <row r="1692" spans="1:8" s="113" customFormat="1" x14ac:dyDescent="0.25">
      <c r="A1692" s="141">
        <v>35114</v>
      </c>
      <c r="B1692" s="142" t="s">
        <v>2210</v>
      </c>
      <c r="C1692" s="143" t="s">
        <v>17</v>
      </c>
      <c r="D1692" s="143" t="s">
        <v>154</v>
      </c>
      <c r="E1692" s="142"/>
      <c r="F1692" s="142"/>
      <c r="G1692" s="226"/>
    </row>
    <row r="1693" spans="1:8" s="113" customFormat="1" x14ac:dyDescent="0.25">
      <c r="A1693" s="141">
        <v>35122</v>
      </c>
      <c r="B1693" s="142" t="s">
        <v>727</v>
      </c>
      <c r="C1693" s="143" t="s">
        <v>12</v>
      </c>
      <c r="D1693" s="143" t="s">
        <v>811</v>
      </c>
      <c r="E1693" s="142"/>
      <c r="F1693" s="142"/>
    </row>
    <row r="1694" spans="1:8" s="113" customFormat="1" ht="26.25" x14ac:dyDescent="0.25">
      <c r="A1694" s="141">
        <v>35219</v>
      </c>
      <c r="B1694" s="142" t="s">
        <v>728</v>
      </c>
      <c r="C1694" s="143" t="s">
        <v>1478</v>
      </c>
      <c r="D1694" s="143" t="s">
        <v>173</v>
      </c>
      <c r="E1694" s="142"/>
      <c r="F1694" s="142"/>
    </row>
    <row r="1695" spans="1:8" s="113" customFormat="1" x14ac:dyDescent="0.25">
      <c r="A1695" s="301">
        <v>35225</v>
      </c>
      <c r="B1695" s="608" t="s">
        <v>3357</v>
      </c>
      <c r="C1695" s="608" t="s">
        <v>167</v>
      </c>
      <c r="D1695" s="608" t="s">
        <v>173</v>
      </c>
      <c r="E1695" s="608"/>
      <c r="F1695" s="608"/>
    </row>
    <row r="1696" spans="1:8" s="113" customFormat="1" x14ac:dyDescent="0.25">
      <c r="A1696" s="141">
        <v>35226</v>
      </c>
      <c r="B1696" s="142" t="s">
        <v>1502</v>
      </c>
      <c r="C1696" s="143" t="s">
        <v>140</v>
      </c>
      <c r="D1696" s="143" t="s">
        <v>109</v>
      </c>
      <c r="E1696" s="142"/>
      <c r="F1696" s="142"/>
    </row>
    <row r="1697" spans="1:8" s="113" customFormat="1" ht="26.25" x14ac:dyDescent="0.25">
      <c r="A1697" s="141">
        <v>35227</v>
      </c>
      <c r="B1697" s="142" t="s">
        <v>2211</v>
      </c>
      <c r="C1697" s="143" t="s">
        <v>16</v>
      </c>
      <c r="D1697" s="143" t="s">
        <v>302</v>
      </c>
      <c r="E1697" s="142"/>
      <c r="F1697" s="142"/>
    </row>
    <row r="1698" spans="1:8" s="113" customFormat="1" x14ac:dyDescent="0.25">
      <c r="A1698" s="141">
        <v>35286</v>
      </c>
      <c r="B1698" s="142" t="s">
        <v>729</v>
      </c>
      <c r="C1698" s="143" t="s">
        <v>167</v>
      </c>
      <c r="D1698" s="143" t="s">
        <v>173</v>
      </c>
      <c r="E1698" s="142"/>
      <c r="F1698" s="142"/>
    </row>
    <row r="1699" spans="1:8" s="113" customFormat="1" x14ac:dyDescent="0.25">
      <c r="A1699" s="141">
        <v>35290</v>
      </c>
      <c r="B1699" s="142" t="s">
        <v>2212</v>
      </c>
      <c r="C1699" s="143" t="s">
        <v>140</v>
      </c>
      <c r="D1699" s="143" t="s">
        <v>109</v>
      </c>
      <c r="E1699" s="142"/>
      <c r="F1699" s="142"/>
      <c r="G1699" s="226"/>
    </row>
    <row r="1700" spans="1:8" s="113" customFormat="1" x14ac:dyDescent="0.25">
      <c r="A1700" s="141">
        <v>35755</v>
      </c>
      <c r="B1700" s="142" t="s">
        <v>730</v>
      </c>
      <c r="C1700" s="143" t="s">
        <v>32</v>
      </c>
      <c r="D1700" s="143" t="s">
        <v>154</v>
      </c>
      <c r="E1700" s="142"/>
      <c r="F1700" s="142"/>
    </row>
    <row r="1701" spans="1:8" s="113" customFormat="1" x14ac:dyDescent="0.25">
      <c r="A1701" s="141">
        <v>35761</v>
      </c>
      <c r="B1701" s="142" t="s">
        <v>731</v>
      </c>
      <c r="C1701" s="143" t="s">
        <v>32</v>
      </c>
      <c r="D1701" s="143" t="s">
        <v>154</v>
      </c>
      <c r="E1701" s="142"/>
      <c r="F1701" s="142"/>
    </row>
    <row r="1702" spans="1:8" s="113" customFormat="1" ht="26.25" x14ac:dyDescent="0.25">
      <c r="A1702" s="141">
        <v>35967</v>
      </c>
      <c r="B1702" s="142" t="s">
        <v>2213</v>
      </c>
      <c r="C1702" s="143" t="s">
        <v>5</v>
      </c>
      <c r="D1702" s="143" t="s">
        <v>154</v>
      </c>
      <c r="E1702" s="142"/>
      <c r="F1702" s="142"/>
    </row>
    <row r="1703" spans="1:8" s="113" customFormat="1" x14ac:dyDescent="0.25">
      <c r="A1703" s="190">
        <v>36066</v>
      </c>
      <c r="B1703" s="188" t="s">
        <v>2546</v>
      </c>
      <c r="C1703" s="606" t="s">
        <v>1529</v>
      </c>
      <c r="D1703" s="606" t="s">
        <v>173</v>
      </c>
      <c r="E1703" s="606"/>
      <c r="F1703" s="606"/>
    </row>
    <row r="1704" spans="1:8" s="113" customFormat="1" x14ac:dyDescent="0.25">
      <c r="A1704" s="141">
        <v>36076</v>
      </c>
      <c r="B1704" s="142" t="s">
        <v>732</v>
      </c>
      <c r="C1704" s="143" t="s">
        <v>47</v>
      </c>
      <c r="D1704" s="143" t="s">
        <v>56</v>
      </c>
      <c r="E1704" s="142"/>
      <c r="F1704" s="142"/>
    </row>
    <row r="1705" spans="1:8" s="113" customFormat="1" x14ac:dyDescent="0.25">
      <c r="A1705" s="141">
        <v>36098</v>
      </c>
      <c r="B1705" s="142" t="s">
        <v>2214</v>
      </c>
      <c r="C1705" s="143" t="s">
        <v>32</v>
      </c>
      <c r="D1705" s="143" t="s">
        <v>154</v>
      </c>
      <c r="E1705" s="142"/>
      <c r="F1705" s="142"/>
      <c r="G1705" s="194"/>
      <c r="H1705" s="194"/>
    </row>
    <row r="1706" spans="1:8" s="113" customFormat="1" ht="26.25" x14ac:dyDescent="0.25">
      <c r="A1706" s="141">
        <v>36963</v>
      </c>
      <c r="B1706" s="142" t="s">
        <v>2215</v>
      </c>
      <c r="C1706" s="143" t="s">
        <v>6</v>
      </c>
      <c r="D1706" s="143" t="s">
        <v>7</v>
      </c>
      <c r="E1706" s="142"/>
      <c r="F1706" s="142"/>
    </row>
    <row r="1707" spans="1:8" s="113" customFormat="1" x14ac:dyDescent="0.25">
      <c r="A1707" s="141">
        <v>37034</v>
      </c>
      <c r="B1707" s="142" t="s">
        <v>2216</v>
      </c>
      <c r="C1707" s="149" t="s">
        <v>67</v>
      </c>
      <c r="D1707" s="143" t="s">
        <v>161</v>
      </c>
      <c r="E1707" s="142"/>
      <c r="F1707" s="142"/>
    </row>
    <row r="1708" spans="1:8" s="113" customFormat="1" ht="26.25" x14ac:dyDescent="0.25">
      <c r="A1708" s="141">
        <v>37534</v>
      </c>
      <c r="B1708" s="142" t="s">
        <v>733</v>
      </c>
      <c r="C1708" s="143" t="s">
        <v>16</v>
      </c>
      <c r="D1708" s="143" t="s">
        <v>302</v>
      </c>
      <c r="E1708" s="142"/>
      <c r="F1708" s="142"/>
      <c r="G1708" s="226"/>
    </row>
    <row r="1709" spans="1:8" s="113" customFormat="1" x14ac:dyDescent="0.25">
      <c r="A1709" s="141">
        <v>38013</v>
      </c>
      <c r="B1709" s="144" t="s">
        <v>2217</v>
      </c>
      <c r="C1709" s="143" t="s">
        <v>47</v>
      </c>
      <c r="D1709" s="143" t="s">
        <v>159</v>
      </c>
      <c r="E1709" s="142"/>
      <c r="F1709" s="142"/>
    </row>
    <row r="1710" spans="1:8" s="113" customFormat="1" x14ac:dyDescent="0.25">
      <c r="A1710" s="187">
        <v>38013</v>
      </c>
      <c r="B1710" s="188" t="s">
        <v>2217</v>
      </c>
      <c r="C1710" s="146" t="s">
        <v>47</v>
      </c>
      <c r="D1710" s="146" t="s">
        <v>179</v>
      </c>
      <c r="E1710" s="606"/>
      <c r="F1710" s="606"/>
    </row>
    <row r="1711" spans="1:8" s="113" customFormat="1" x14ac:dyDescent="0.25">
      <c r="A1711" s="187">
        <v>38013</v>
      </c>
      <c r="B1711" s="188" t="s">
        <v>2217</v>
      </c>
      <c r="C1711" s="146" t="s">
        <v>47</v>
      </c>
      <c r="D1711" s="148" t="s">
        <v>179</v>
      </c>
      <c r="E1711" s="606"/>
      <c r="F1711" s="606"/>
      <c r="G1711" s="194"/>
      <c r="H1711" s="194"/>
    </row>
    <row r="1712" spans="1:8" s="113" customFormat="1" ht="26.25" x14ac:dyDescent="0.25">
      <c r="A1712" s="141">
        <v>38262</v>
      </c>
      <c r="B1712" s="142" t="s">
        <v>2218</v>
      </c>
      <c r="C1712" s="143" t="s">
        <v>3039</v>
      </c>
      <c r="D1712" s="143" t="s">
        <v>7</v>
      </c>
      <c r="E1712" s="142"/>
      <c r="F1712" s="142"/>
    </row>
    <row r="1713" spans="1:7" s="113" customFormat="1" ht="39" x14ac:dyDescent="0.25">
      <c r="A1713" s="141">
        <v>39256</v>
      </c>
      <c r="B1713" s="142" t="s">
        <v>1262</v>
      </c>
      <c r="C1713" s="143" t="s">
        <v>1398</v>
      </c>
      <c r="D1713" s="143" t="s">
        <v>154</v>
      </c>
      <c r="E1713" s="142"/>
      <c r="F1713" s="142"/>
    </row>
    <row r="1714" spans="1:7" s="113" customFormat="1" x14ac:dyDescent="0.25">
      <c r="A1714" s="141">
        <v>39340</v>
      </c>
      <c r="B1714" s="142" t="s">
        <v>2219</v>
      </c>
      <c r="C1714" s="143" t="s">
        <v>140</v>
      </c>
      <c r="D1714" s="143" t="s">
        <v>109</v>
      </c>
      <c r="E1714" s="142"/>
      <c r="F1714" s="142"/>
    </row>
    <row r="1715" spans="1:7" s="113" customFormat="1" x14ac:dyDescent="0.25">
      <c r="A1715" s="190">
        <v>39346</v>
      </c>
      <c r="B1715" s="188" t="s">
        <v>2615</v>
      </c>
      <c r="C1715" s="146" t="s">
        <v>36</v>
      </c>
      <c r="D1715" s="187" t="s">
        <v>302</v>
      </c>
      <c r="E1715" s="606"/>
      <c r="F1715" s="606"/>
    </row>
    <row r="1716" spans="1:7" s="113" customFormat="1" x14ac:dyDescent="0.25">
      <c r="A1716" s="141">
        <v>39347</v>
      </c>
      <c r="B1716" s="142" t="s">
        <v>734</v>
      </c>
      <c r="C1716" s="143" t="s">
        <v>38</v>
      </c>
      <c r="D1716" s="143" t="s">
        <v>453</v>
      </c>
      <c r="E1716" s="142"/>
      <c r="F1716" s="142"/>
      <c r="G1716" s="194"/>
    </row>
    <row r="1717" spans="1:7" s="113" customFormat="1" x14ac:dyDescent="0.25">
      <c r="A1717" s="141">
        <v>39364</v>
      </c>
      <c r="B1717" s="142" t="s">
        <v>735</v>
      </c>
      <c r="C1717" s="143" t="s">
        <v>38</v>
      </c>
      <c r="D1717" s="143" t="s">
        <v>453</v>
      </c>
      <c r="E1717" s="142"/>
      <c r="F1717" s="142"/>
    </row>
    <row r="1718" spans="1:7" s="113" customFormat="1" x14ac:dyDescent="0.25">
      <c r="A1718" s="141">
        <v>39373</v>
      </c>
      <c r="B1718" s="142" t="s">
        <v>736</v>
      </c>
      <c r="C1718" s="143" t="s">
        <v>167</v>
      </c>
      <c r="D1718" s="143" t="s">
        <v>173</v>
      </c>
      <c r="E1718" s="142"/>
      <c r="F1718" s="142"/>
    </row>
    <row r="1719" spans="1:7" s="113" customFormat="1" x14ac:dyDescent="0.25">
      <c r="A1719" s="247">
        <v>39408</v>
      </c>
      <c r="B1719" s="250" t="s">
        <v>1383</v>
      </c>
      <c r="C1719" s="143" t="s">
        <v>64</v>
      </c>
      <c r="D1719" s="260" t="s">
        <v>237</v>
      </c>
      <c r="E1719" s="250"/>
      <c r="F1719" s="250"/>
    </row>
    <row r="1720" spans="1:7" s="113" customFormat="1" x14ac:dyDescent="0.25">
      <c r="A1720" s="187">
        <v>39450</v>
      </c>
      <c r="B1720" s="187" t="s">
        <v>3656</v>
      </c>
      <c r="C1720" s="187" t="s">
        <v>3657</v>
      </c>
      <c r="D1720" s="146" t="s">
        <v>242</v>
      </c>
      <c r="E1720" s="606"/>
      <c r="F1720" s="187"/>
    </row>
    <row r="1721" spans="1:7" s="113" customFormat="1" x14ac:dyDescent="0.25">
      <c r="A1721" s="141">
        <v>39588</v>
      </c>
      <c r="B1721" s="142" t="s">
        <v>2220</v>
      </c>
      <c r="C1721" s="143" t="s">
        <v>63</v>
      </c>
      <c r="D1721" s="143" t="s">
        <v>242</v>
      </c>
      <c r="E1721" s="142"/>
      <c r="F1721" s="142"/>
    </row>
    <row r="1722" spans="1:7" s="113" customFormat="1" x14ac:dyDescent="0.25">
      <c r="A1722" s="141">
        <v>39613</v>
      </c>
      <c r="B1722" s="142" t="s">
        <v>737</v>
      </c>
      <c r="C1722" s="143" t="s">
        <v>12</v>
      </c>
      <c r="D1722" s="143" t="s">
        <v>11</v>
      </c>
      <c r="E1722" s="142"/>
      <c r="F1722" s="142"/>
    </row>
    <row r="1723" spans="1:7" s="113" customFormat="1" x14ac:dyDescent="0.25">
      <c r="A1723" s="141">
        <v>39653</v>
      </c>
      <c r="B1723" s="144" t="s">
        <v>738</v>
      </c>
      <c r="C1723" s="143" t="s">
        <v>12</v>
      </c>
      <c r="D1723" s="158" t="s">
        <v>1105</v>
      </c>
      <c r="E1723" s="142"/>
      <c r="F1723" s="142"/>
    </row>
    <row r="1724" spans="1:7" s="113" customFormat="1" x14ac:dyDescent="0.25">
      <c r="A1724" s="141">
        <v>39784</v>
      </c>
      <c r="B1724" s="142" t="s">
        <v>739</v>
      </c>
      <c r="C1724" s="143" t="s">
        <v>12</v>
      </c>
      <c r="D1724" s="143" t="s">
        <v>7</v>
      </c>
      <c r="E1724" s="142"/>
      <c r="F1724" s="142"/>
      <c r="G1724" s="226"/>
    </row>
    <row r="1725" spans="1:7" s="113" customFormat="1" x14ac:dyDescent="0.25">
      <c r="A1725" s="141">
        <v>39790</v>
      </c>
      <c r="B1725" s="142" t="s">
        <v>740</v>
      </c>
      <c r="C1725" s="143" t="s">
        <v>10</v>
      </c>
      <c r="D1725" s="143" t="s">
        <v>2221</v>
      </c>
      <c r="E1725" s="142"/>
      <c r="F1725" s="142"/>
    </row>
    <row r="1726" spans="1:7" s="113" customFormat="1" x14ac:dyDescent="0.25">
      <c r="A1726" s="190">
        <v>39801</v>
      </c>
      <c r="B1726" s="606" t="s">
        <v>3422</v>
      </c>
      <c r="C1726" s="606" t="s">
        <v>10</v>
      </c>
      <c r="D1726" s="606" t="s">
        <v>11</v>
      </c>
      <c r="E1726" s="606"/>
      <c r="F1726" s="606"/>
    </row>
    <row r="1727" spans="1:7" s="113" customFormat="1" x14ac:dyDescent="0.25">
      <c r="A1727" s="187">
        <v>39801</v>
      </c>
      <c r="B1727" s="187" t="s">
        <v>3422</v>
      </c>
      <c r="C1727" s="187" t="s">
        <v>10</v>
      </c>
      <c r="D1727" s="187" t="s">
        <v>11</v>
      </c>
      <c r="E1727" s="187"/>
      <c r="F1727" s="187"/>
    </row>
    <row r="1728" spans="1:7" s="113" customFormat="1" x14ac:dyDescent="0.25">
      <c r="A1728" s="141">
        <v>39879</v>
      </c>
      <c r="B1728" s="142" t="s">
        <v>2222</v>
      </c>
      <c r="C1728" s="143" t="s">
        <v>10</v>
      </c>
      <c r="D1728" s="143" t="s">
        <v>11</v>
      </c>
      <c r="E1728" s="142"/>
      <c r="F1728" s="142"/>
    </row>
    <row r="1729" spans="1:8" s="113" customFormat="1" ht="26.25" x14ac:dyDescent="0.25">
      <c r="A1729" s="141">
        <v>39914</v>
      </c>
      <c r="B1729" s="142" t="s">
        <v>2223</v>
      </c>
      <c r="C1729" s="143" t="s">
        <v>16</v>
      </c>
      <c r="D1729" s="143" t="s">
        <v>154</v>
      </c>
      <c r="E1729" s="142"/>
      <c r="F1729" s="142"/>
    </row>
    <row r="1730" spans="1:8" s="113" customFormat="1" x14ac:dyDescent="0.25">
      <c r="A1730" s="187">
        <v>39963</v>
      </c>
      <c r="B1730" s="188" t="s">
        <v>2770</v>
      </c>
      <c r="C1730" s="146" t="s">
        <v>10</v>
      </c>
      <c r="D1730" s="148" t="s">
        <v>125</v>
      </c>
      <c r="E1730" s="606"/>
      <c r="F1730" s="606"/>
    </row>
    <row r="1731" spans="1:8" s="113" customFormat="1" x14ac:dyDescent="0.25">
      <c r="A1731" s="141">
        <v>40020</v>
      </c>
      <c r="B1731" s="142" t="s">
        <v>1200</v>
      </c>
      <c r="C1731" s="143" t="s">
        <v>17</v>
      </c>
      <c r="D1731" s="143" t="s">
        <v>154</v>
      </c>
      <c r="E1731" s="142"/>
      <c r="F1731" s="142"/>
    </row>
    <row r="1732" spans="1:8" s="113" customFormat="1" x14ac:dyDescent="0.25">
      <c r="A1732" s="141">
        <v>40046</v>
      </c>
      <c r="B1732" s="142" t="s">
        <v>741</v>
      </c>
      <c r="C1732" s="143" t="s">
        <v>384</v>
      </c>
      <c r="D1732" s="143" t="s">
        <v>415</v>
      </c>
      <c r="E1732" s="142"/>
      <c r="F1732" s="142"/>
    </row>
    <row r="1733" spans="1:8" s="113" customFormat="1" ht="26.25" x14ac:dyDescent="0.25">
      <c r="A1733" s="141">
        <v>40078</v>
      </c>
      <c r="B1733" s="142" t="s">
        <v>2224</v>
      </c>
      <c r="C1733" s="143" t="s">
        <v>417</v>
      </c>
      <c r="D1733" s="143" t="s">
        <v>1186</v>
      </c>
      <c r="E1733" s="142"/>
      <c r="F1733" s="142"/>
    </row>
    <row r="1734" spans="1:8" s="113" customFormat="1" x14ac:dyDescent="0.25">
      <c r="A1734" s="141">
        <v>40171</v>
      </c>
      <c r="B1734" s="142" t="s">
        <v>2225</v>
      </c>
      <c r="C1734" s="143" t="s">
        <v>12</v>
      </c>
      <c r="D1734" s="143" t="s">
        <v>811</v>
      </c>
      <c r="E1734" s="142"/>
      <c r="F1734" s="142"/>
      <c r="G1734" s="278"/>
    </row>
    <row r="1735" spans="1:8" s="113" customFormat="1" x14ac:dyDescent="0.25">
      <c r="A1735" s="141">
        <v>40179</v>
      </c>
      <c r="B1735" s="142" t="s">
        <v>742</v>
      </c>
      <c r="C1735" s="143" t="s">
        <v>10</v>
      </c>
      <c r="D1735" s="143" t="s">
        <v>7</v>
      </c>
      <c r="E1735" s="142"/>
      <c r="F1735" s="142"/>
    </row>
    <row r="1736" spans="1:8" s="113" customFormat="1" x14ac:dyDescent="0.25">
      <c r="A1736" s="190">
        <v>40302</v>
      </c>
      <c r="B1736" s="606" t="s">
        <v>2820</v>
      </c>
      <c r="C1736" s="606" t="s">
        <v>5</v>
      </c>
      <c r="D1736" s="606" t="s">
        <v>242</v>
      </c>
      <c r="E1736" s="606"/>
      <c r="F1736" s="606"/>
    </row>
    <row r="1737" spans="1:8" s="113" customFormat="1" x14ac:dyDescent="0.25">
      <c r="A1737" s="195">
        <v>40302</v>
      </c>
      <c r="B1737" s="187" t="s">
        <v>3050</v>
      </c>
      <c r="C1737" s="187" t="s">
        <v>5</v>
      </c>
      <c r="D1737" s="146" t="s">
        <v>242</v>
      </c>
      <c r="E1737" s="606"/>
      <c r="F1737" s="187"/>
    </row>
    <row r="1738" spans="1:8" s="113" customFormat="1" x14ac:dyDescent="0.25">
      <c r="A1738" s="190">
        <v>40302</v>
      </c>
      <c r="B1738" s="606" t="s">
        <v>3050</v>
      </c>
      <c r="C1738" s="606" t="s">
        <v>5</v>
      </c>
      <c r="D1738" s="606" t="s">
        <v>242</v>
      </c>
      <c r="E1738" s="606"/>
      <c r="F1738" s="606"/>
      <c r="G1738" s="194"/>
      <c r="H1738" s="194"/>
    </row>
    <row r="1739" spans="1:8" s="113" customFormat="1" ht="26.25" x14ac:dyDescent="0.25">
      <c r="A1739" s="141">
        <v>40406</v>
      </c>
      <c r="B1739" s="142" t="s">
        <v>2226</v>
      </c>
      <c r="C1739" s="143" t="s">
        <v>4</v>
      </c>
      <c r="D1739" s="143" t="s">
        <v>1290</v>
      </c>
      <c r="E1739" s="142"/>
      <c r="F1739" s="142"/>
    </row>
    <row r="1740" spans="1:8" s="113" customFormat="1" x14ac:dyDescent="0.25">
      <c r="A1740" s="141">
        <v>40616</v>
      </c>
      <c r="B1740" s="142" t="s">
        <v>743</v>
      </c>
      <c r="C1740" s="143" t="s">
        <v>12</v>
      </c>
      <c r="D1740" s="143" t="s">
        <v>150</v>
      </c>
      <c r="E1740" s="142"/>
      <c r="F1740" s="142"/>
    </row>
    <row r="1741" spans="1:8" s="113" customFormat="1" x14ac:dyDescent="0.25">
      <c r="A1741" s="141">
        <v>40646</v>
      </c>
      <c r="B1741" s="142" t="s">
        <v>744</v>
      </c>
      <c r="C1741" s="143" t="s">
        <v>10</v>
      </c>
      <c r="D1741" s="143" t="s">
        <v>623</v>
      </c>
      <c r="E1741" s="142"/>
      <c r="F1741" s="142"/>
    </row>
    <row r="1742" spans="1:8" s="113" customFormat="1" ht="26.25" x14ac:dyDescent="0.25">
      <c r="A1742" s="141">
        <v>40705</v>
      </c>
      <c r="B1742" s="142" t="s">
        <v>746</v>
      </c>
      <c r="C1742" s="143" t="s">
        <v>12</v>
      </c>
      <c r="D1742" s="143" t="s">
        <v>2227</v>
      </c>
      <c r="E1742" s="142"/>
      <c r="F1742" s="142"/>
    </row>
    <row r="1743" spans="1:8" s="113" customFormat="1" x14ac:dyDescent="0.25">
      <c r="A1743" s="247">
        <v>40739</v>
      </c>
      <c r="B1743" s="250" t="s">
        <v>2228</v>
      </c>
      <c r="C1743" s="143" t="s">
        <v>10</v>
      </c>
      <c r="D1743" s="260" t="s">
        <v>745</v>
      </c>
      <c r="E1743" s="250"/>
      <c r="F1743" s="250"/>
    </row>
    <row r="1744" spans="1:8" s="113" customFormat="1" x14ac:dyDescent="0.25">
      <c r="A1744" s="141">
        <v>40916</v>
      </c>
      <c r="B1744" s="142" t="s">
        <v>2229</v>
      </c>
      <c r="C1744" s="143" t="s">
        <v>167</v>
      </c>
      <c r="D1744" s="143" t="s">
        <v>173</v>
      </c>
      <c r="E1744" s="142"/>
      <c r="F1744" s="142"/>
    </row>
    <row r="1745" spans="1:6" s="113" customFormat="1" x14ac:dyDescent="0.25">
      <c r="A1745" s="141">
        <v>40922</v>
      </c>
      <c r="B1745" s="142" t="s">
        <v>2230</v>
      </c>
      <c r="C1745" s="143" t="s">
        <v>599</v>
      </c>
      <c r="D1745" s="143" t="s">
        <v>11</v>
      </c>
      <c r="E1745" s="142"/>
      <c r="F1745" s="142"/>
    </row>
    <row r="1746" spans="1:6" s="113" customFormat="1" x14ac:dyDescent="0.25">
      <c r="A1746" s="141">
        <v>41032</v>
      </c>
      <c r="B1746" s="142" t="s">
        <v>747</v>
      </c>
      <c r="C1746" s="143" t="s">
        <v>10</v>
      </c>
      <c r="D1746" s="143" t="s">
        <v>1105</v>
      </c>
      <c r="E1746" s="142"/>
      <c r="F1746" s="142"/>
    </row>
    <row r="1747" spans="1:6" s="113" customFormat="1" ht="26.25" x14ac:dyDescent="0.25">
      <c r="A1747" s="141">
        <v>41071</v>
      </c>
      <c r="B1747" s="142" t="s">
        <v>748</v>
      </c>
      <c r="C1747" s="143" t="s">
        <v>65</v>
      </c>
      <c r="D1747" s="143" t="s">
        <v>242</v>
      </c>
      <c r="E1747" s="142"/>
      <c r="F1747" s="142"/>
    </row>
    <row r="1748" spans="1:6" s="113" customFormat="1" x14ac:dyDescent="0.25">
      <c r="A1748" s="247">
        <v>41090</v>
      </c>
      <c r="B1748" s="250" t="s">
        <v>1320</v>
      </c>
      <c r="C1748" s="143" t="s">
        <v>17</v>
      </c>
      <c r="D1748" s="260" t="s">
        <v>11</v>
      </c>
      <c r="E1748" s="250"/>
      <c r="F1748" s="250"/>
    </row>
    <row r="1749" spans="1:6" s="113" customFormat="1" x14ac:dyDescent="0.25">
      <c r="A1749" s="141">
        <v>41118</v>
      </c>
      <c r="B1749" s="142" t="s">
        <v>749</v>
      </c>
      <c r="C1749" s="143" t="s">
        <v>44</v>
      </c>
      <c r="D1749" s="143" t="s">
        <v>148</v>
      </c>
      <c r="E1749" s="142"/>
      <c r="F1749" s="142"/>
    </row>
    <row r="1750" spans="1:6" s="113" customFormat="1" x14ac:dyDescent="0.25">
      <c r="A1750" s="141">
        <v>41142</v>
      </c>
      <c r="B1750" s="142" t="s">
        <v>2231</v>
      </c>
      <c r="C1750" s="149" t="s">
        <v>67</v>
      </c>
      <c r="D1750" s="143" t="s">
        <v>501</v>
      </c>
      <c r="E1750" s="142"/>
      <c r="F1750" s="142"/>
    </row>
    <row r="1751" spans="1:6" s="113" customFormat="1" x14ac:dyDescent="0.25">
      <c r="A1751" s="141">
        <v>41189</v>
      </c>
      <c r="B1751" s="142" t="s">
        <v>2232</v>
      </c>
      <c r="C1751" s="143" t="s">
        <v>140</v>
      </c>
      <c r="D1751" s="143" t="s">
        <v>109</v>
      </c>
      <c r="E1751" s="142"/>
      <c r="F1751" s="142"/>
    </row>
    <row r="1752" spans="1:6" s="113" customFormat="1" x14ac:dyDescent="0.25">
      <c r="A1752" s="141">
        <v>41190</v>
      </c>
      <c r="B1752" s="142" t="s">
        <v>750</v>
      </c>
      <c r="C1752" s="149" t="s">
        <v>67</v>
      </c>
      <c r="D1752" s="143" t="s">
        <v>116</v>
      </c>
      <c r="E1752" s="142"/>
      <c r="F1752" s="142"/>
    </row>
    <row r="1753" spans="1:6" s="113" customFormat="1" x14ac:dyDescent="0.25">
      <c r="A1753" s="141">
        <v>41198</v>
      </c>
      <c r="B1753" s="142" t="s">
        <v>2233</v>
      </c>
      <c r="C1753" s="143" t="s">
        <v>38</v>
      </c>
      <c r="D1753" s="143" t="s">
        <v>148</v>
      </c>
      <c r="E1753" s="142"/>
      <c r="F1753" s="142"/>
    </row>
    <row r="1754" spans="1:6" s="113" customFormat="1" x14ac:dyDescent="0.25">
      <c r="A1754" s="190">
        <v>41232</v>
      </c>
      <c r="B1754" s="606" t="s">
        <v>3372</v>
      </c>
      <c r="C1754" s="606" t="s">
        <v>67</v>
      </c>
      <c r="D1754" s="606" t="s">
        <v>37</v>
      </c>
      <c r="E1754" s="606"/>
      <c r="F1754" s="606"/>
    </row>
    <row r="1755" spans="1:6" s="113" customFormat="1" x14ac:dyDescent="0.25">
      <c r="A1755" s="190">
        <v>41232</v>
      </c>
      <c r="B1755" s="606" t="s">
        <v>3372</v>
      </c>
      <c r="C1755" s="606" t="s">
        <v>67</v>
      </c>
      <c r="D1755" s="606" t="s">
        <v>37</v>
      </c>
      <c r="E1755" s="606"/>
      <c r="F1755" s="606"/>
    </row>
    <row r="1756" spans="1:6" s="113" customFormat="1" ht="26.25" x14ac:dyDescent="0.25">
      <c r="A1756" s="141">
        <v>41248</v>
      </c>
      <c r="B1756" s="142" t="s">
        <v>751</v>
      </c>
      <c r="C1756" s="143" t="s">
        <v>1478</v>
      </c>
      <c r="D1756" s="143" t="s">
        <v>173</v>
      </c>
      <c r="E1756" s="142"/>
      <c r="F1756" s="142"/>
    </row>
    <row r="1757" spans="1:6" s="113" customFormat="1" x14ac:dyDescent="0.25">
      <c r="A1757" s="255">
        <v>41252</v>
      </c>
      <c r="B1757" s="259" t="s">
        <v>1321</v>
      </c>
      <c r="C1757" s="149" t="s">
        <v>67</v>
      </c>
      <c r="D1757" s="251" t="s">
        <v>37</v>
      </c>
      <c r="E1757" s="250"/>
      <c r="F1757" s="250"/>
    </row>
    <row r="1758" spans="1:6" s="113" customFormat="1" x14ac:dyDescent="0.25">
      <c r="A1758" s="141">
        <v>41280</v>
      </c>
      <c r="B1758" s="142" t="s">
        <v>752</v>
      </c>
      <c r="C1758" s="149" t="s">
        <v>67</v>
      </c>
      <c r="D1758" s="143" t="s">
        <v>161</v>
      </c>
      <c r="E1758" s="142"/>
      <c r="F1758" s="142"/>
    </row>
    <row r="1759" spans="1:6" s="113" customFormat="1" ht="26.25" x14ac:dyDescent="0.25">
      <c r="A1759" s="190">
        <v>41282</v>
      </c>
      <c r="B1759" s="606" t="s">
        <v>2792</v>
      </c>
      <c r="C1759" s="146" t="s">
        <v>2825</v>
      </c>
      <c r="D1759" s="148" t="s">
        <v>143</v>
      </c>
      <c r="E1759" s="606"/>
      <c r="F1759" s="606"/>
    </row>
    <row r="1760" spans="1:6" s="113" customFormat="1" x14ac:dyDescent="0.25">
      <c r="A1760" s="187">
        <v>41282</v>
      </c>
      <c r="B1760" s="188" t="s">
        <v>2792</v>
      </c>
      <c r="C1760" s="146" t="s">
        <v>140</v>
      </c>
      <c r="D1760" s="148" t="s">
        <v>143</v>
      </c>
      <c r="E1760" s="606"/>
      <c r="F1760" s="606"/>
    </row>
    <row r="1761" spans="1:6" s="113" customFormat="1" x14ac:dyDescent="0.25">
      <c r="A1761" s="190">
        <v>41301</v>
      </c>
      <c r="B1761" s="606" t="s">
        <v>3392</v>
      </c>
      <c r="C1761" s="606" t="s">
        <v>17</v>
      </c>
      <c r="D1761" s="606" t="s">
        <v>504</v>
      </c>
      <c r="E1761" s="606"/>
      <c r="F1761" s="606"/>
    </row>
    <row r="1762" spans="1:6" s="113" customFormat="1" x14ac:dyDescent="0.25">
      <c r="A1762" s="187">
        <v>41304</v>
      </c>
      <c r="B1762" s="187" t="s">
        <v>3632</v>
      </c>
      <c r="C1762" s="187" t="s">
        <v>16</v>
      </c>
      <c r="D1762" s="187" t="s">
        <v>302</v>
      </c>
      <c r="E1762" s="187"/>
      <c r="F1762" s="187"/>
    </row>
    <row r="1763" spans="1:6" s="113" customFormat="1" x14ac:dyDescent="0.25">
      <c r="A1763" s="141">
        <v>41315</v>
      </c>
      <c r="B1763" s="142" t="s">
        <v>2234</v>
      </c>
      <c r="C1763" s="143" t="s">
        <v>167</v>
      </c>
      <c r="D1763" s="143" t="s">
        <v>173</v>
      </c>
      <c r="E1763" s="142"/>
      <c r="F1763" s="142"/>
    </row>
    <row r="1764" spans="1:6" s="113" customFormat="1" ht="26.25" x14ac:dyDescent="0.25">
      <c r="A1764" s="141">
        <v>41333</v>
      </c>
      <c r="B1764" s="142" t="s">
        <v>753</v>
      </c>
      <c r="C1764" s="143" t="s">
        <v>144</v>
      </c>
      <c r="D1764" s="143" t="s">
        <v>11</v>
      </c>
      <c r="E1764" s="142"/>
      <c r="F1764" s="142"/>
    </row>
    <row r="1765" spans="1:6" s="113" customFormat="1" x14ac:dyDescent="0.25">
      <c r="A1765" s="141">
        <v>41362</v>
      </c>
      <c r="B1765" s="142" t="s">
        <v>754</v>
      </c>
      <c r="C1765" s="143" t="s">
        <v>140</v>
      </c>
      <c r="D1765" s="143" t="s">
        <v>148</v>
      </c>
      <c r="E1765" s="142"/>
      <c r="F1765" s="142"/>
    </row>
    <row r="1766" spans="1:6" s="113" customFormat="1" ht="26.25" x14ac:dyDescent="0.25">
      <c r="A1766" s="141">
        <v>41371</v>
      </c>
      <c r="B1766" s="142" t="s">
        <v>2235</v>
      </c>
      <c r="C1766" s="143" t="s">
        <v>417</v>
      </c>
      <c r="D1766" s="143" t="s">
        <v>415</v>
      </c>
      <c r="E1766" s="142"/>
      <c r="F1766" s="142"/>
    </row>
    <row r="1767" spans="1:6" s="113" customFormat="1" x14ac:dyDescent="0.25">
      <c r="A1767" s="141">
        <v>41429</v>
      </c>
      <c r="B1767" s="142" t="s">
        <v>2236</v>
      </c>
      <c r="C1767" s="149" t="s">
        <v>67</v>
      </c>
      <c r="D1767" s="143" t="s">
        <v>150</v>
      </c>
      <c r="E1767" s="142"/>
      <c r="F1767" s="142"/>
    </row>
    <row r="1768" spans="1:6" s="113" customFormat="1" ht="26.25" x14ac:dyDescent="0.25">
      <c r="A1768" s="141">
        <v>41586</v>
      </c>
      <c r="B1768" s="142" t="s">
        <v>2237</v>
      </c>
      <c r="C1768" s="143" t="s">
        <v>144</v>
      </c>
      <c r="D1768" s="143" t="s">
        <v>173</v>
      </c>
      <c r="E1768" s="142"/>
      <c r="F1768" s="142"/>
    </row>
    <row r="1769" spans="1:6" s="113" customFormat="1" ht="26.25" x14ac:dyDescent="0.25">
      <c r="A1769" s="141">
        <v>41721</v>
      </c>
      <c r="B1769" s="142" t="s">
        <v>755</v>
      </c>
      <c r="C1769" s="143" t="s">
        <v>914</v>
      </c>
      <c r="D1769" s="143" t="s">
        <v>68</v>
      </c>
      <c r="E1769" s="142"/>
      <c r="F1769" s="142"/>
    </row>
    <row r="1770" spans="1:6" s="113" customFormat="1" x14ac:dyDescent="0.25">
      <c r="A1770" s="247">
        <v>41735</v>
      </c>
      <c r="B1770" s="250" t="s">
        <v>1399</v>
      </c>
      <c r="C1770" s="143" t="s">
        <v>41</v>
      </c>
      <c r="D1770" s="260" t="s">
        <v>154</v>
      </c>
      <c r="E1770" s="250"/>
      <c r="F1770" s="250"/>
    </row>
    <row r="1771" spans="1:6" s="113" customFormat="1" x14ac:dyDescent="0.25">
      <c r="A1771" s="141">
        <v>41737</v>
      </c>
      <c r="B1771" s="142" t="s">
        <v>756</v>
      </c>
      <c r="C1771" s="143" t="s">
        <v>53</v>
      </c>
      <c r="D1771" s="143" t="s">
        <v>154</v>
      </c>
      <c r="E1771" s="142"/>
      <c r="F1771" s="142"/>
    </row>
    <row r="1772" spans="1:6" s="113" customFormat="1" x14ac:dyDescent="0.25">
      <c r="A1772" s="141">
        <v>41750</v>
      </c>
      <c r="B1772" s="142" t="s">
        <v>757</v>
      </c>
      <c r="C1772" s="143" t="s">
        <v>64</v>
      </c>
      <c r="D1772" s="143" t="s">
        <v>150</v>
      </c>
      <c r="E1772" s="142"/>
      <c r="F1772" s="142"/>
    </row>
    <row r="1773" spans="1:6" s="113" customFormat="1" x14ac:dyDescent="0.25">
      <c r="A1773" s="141">
        <v>41768</v>
      </c>
      <c r="B1773" s="142" t="s">
        <v>758</v>
      </c>
      <c r="C1773" s="143" t="s">
        <v>53</v>
      </c>
      <c r="D1773" s="143" t="s">
        <v>154</v>
      </c>
      <c r="E1773" s="142"/>
      <c r="F1773" s="142"/>
    </row>
    <row r="1774" spans="1:6" s="113" customFormat="1" ht="26.25" x14ac:dyDescent="0.25">
      <c r="A1774" s="141">
        <v>41777</v>
      </c>
      <c r="B1774" s="142" t="s">
        <v>759</v>
      </c>
      <c r="C1774" s="143" t="s">
        <v>20</v>
      </c>
      <c r="D1774" s="143" t="s">
        <v>150</v>
      </c>
      <c r="E1774" s="142"/>
      <c r="F1774" s="142"/>
    </row>
    <row r="1775" spans="1:6" s="113" customFormat="1" x14ac:dyDescent="0.25">
      <c r="A1775" s="187">
        <v>41832</v>
      </c>
      <c r="B1775" s="187" t="s">
        <v>3293</v>
      </c>
      <c r="C1775" s="187" t="s">
        <v>49</v>
      </c>
      <c r="D1775" s="148" t="s">
        <v>116</v>
      </c>
      <c r="E1775" s="606"/>
      <c r="F1775" s="187"/>
    </row>
    <row r="1776" spans="1:6" s="113" customFormat="1" x14ac:dyDescent="0.25">
      <c r="A1776" s="195">
        <v>41832</v>
      </c>
      <c r="B1776" s="187" t="s">
        <v>3293</v>
      </c>
      <c r="C1776" s="187" t="s">
        <v>49</v>
      </c>
      <c r="D1776" s="148" t="s">
        <v>116</v>
      </c>
      <c r="E1776" s="606"/>
      <c r="F1776" s="187"/>
    </row>
    <row r="1777" spans="1:6" s="113" customFormat="1" ht="26.25" x14ac:dyDescent="0.25">
      <c r="A1777" s="141">
        <v>41833</v>
      </c>
      <c r="B1777" s="142" t="s">
        <v>760</v>
      </c>
      <c r="C1777" s="143" t="s">
        <v>914</v>
      </c>
      <c r="D1777" s="143" t="s">
        <v>154</v>
      </c>
      <c r="E1777" s="142"/>
      <c r="F1777" s="142"/>
    </row>
    <row r="1778" spans="1:6" s="113" customFormat="1" x14ac:dyDescent="0.25">
      <c r="A1778" s="141">
        <v>41835</v>
      </c>
      <c r="B1778" s="142" t="s">
        <v>2238</v>
      </c>
      <c r="C1778" s="143" t="s">
        <v>41</v>
      </c>
      <c r="D1778" s="143" t="s">
        <v>242</v>
      </c>
      <c r="E1778" s="142"/>
      <c r="F1778" s="142"/>
    </row>
    <row r="1779" spans="1:6" s="113" customFormat="1" x14ac:dyDescent="0.25">
      <c r="A1779" s="187">
        <v>41858</v>
      </c>
      <c r="B1779" s="606" t="s">
        <v>2629</v>
      </c>
      <c r="C1779" s="606" t="s">
        <v>9</v>
      </c>
      <c r="D1779" s="148" t="s">
        <v>116</v>
      </c>
      <c r="E1779" s="606"/>
      <c r="F1779" s="187"/>
    </row>
    <row r="1780" spans="1:6" s="113" customFormat="1" ht="26.25" x14ac:dyDescent="0.25">
      <c r="A1780" s="247">
        <v>41882</v>
      </c>
      <c r="B1780" s="250" t="s">
        <v>3075</v>
      </c>
      <c r="C1780" s="143" t="s">
        <v>49</v>
      </c>
      <c r="D1780" s="148" t="s">
        <v>116</v>
      </c>
      <c r="E1780" s="250"/>
      <c r="F1780" s="250"/>
    </row>
    <row r="1781" spans="1:6" s="113" customFormat="1" x14ac:dyDescent="0.25">
      <c r="A1781" s="141">
        <v>41890</v>
      </c>
      <c r="B1781" s="142" t="s">
        <v>2239</v>
      </c>
      <c r="C1781" s="143" t="s">
        <v>63</v>
      </c>
      <c r="D1781" s="143" t="s">
        <v>143</v>
      </c>
      <c r="E1781" s="142"/>
      <c r="F1781" s="142"/>
    </row>
    <row r="1782" spans="1:6" s="113" customFormat="1" x14ac:dyDescent="0.25">
      <c r="A1782" s="141">
        <v>41896</v>
      </c>
      <c r="B1782" s="142" t="s">
        <v>2240</v>
      </c>
      <c r="C1782" s="143" t="s">
        <v>41</v>
      </c>
      <c r="D1782" s="143" t="s">
        <v>109</v>
      </c>
      <c r="E1782" s="142"/>
      <c r="F1782" s="142"/>
    </row>
    <row r="1783" spans="1:6" s="113" customFormat="1" ht="26.25" x14ac:dyDescent="0.25">
      <c r="A1783" s="141">
        <v>41945</v>
      </c>
      <c r="B1783" s="142" t="s">
        <v>1190</v>
      </c>
      <c r="C1783" s="143" t="s">
        <v>49</v>
      </c>
      <c r="D1783" s="143" t="s">
        <v>154</v>
      </c>
      <c r="E1783" s="142"/>
      <c r="F1783" s="142"/>
    </row>
    <row r="1784" spans="1:6" s="113" customFormat="1" x14ac:dyDescent="0.25">
      <c r="A1784" s="141">
        <v>41955</v>
      </c>
      <c r="B1784" s="142" t="s">
        <v>761</v>
      </c>
      <c r="C1784" s="143" t="s">
        <v>41</v>
      </c>
      <c r="D1784" s="143" t="s">
        <v>242</v>
      </c>
      <c r="E1784" s="142"/>
      <c r="F1784" s="142"/>
    </row>
    <row r="1785" spans="1:6" s="113" customFormat="1" ht="26.25" x14ac:dyDescent="0.25">
      <c r="A1785" s="141">
        <v>41976</v>
      </c>
      <c r="B1785" s="142" t="s">
        <v>2241</v>
      </c>
      <c r="C1785" s="143" t="s">
        <v>49</v>
      </c>
      <c r="D1785" s="143" t="s">
        <v>11</v>
      </c>
      <c r="E1785" s="142"/>
      <c r="F1785" s="142"/>
    </row>
    <row r="1786" spans="1:6" s="113" customFormat="1" x14ac:dyDescent="0.25">
      <c r="A1786" s="141">
        <v>41979</v>
      </c>
      <c r="B1786" s="142" t="s">
        <v>762</v>
      </c>
      <c r="C1786" s="143" t="s">
        <v>41</v>
      </c>
      <c r="D1786" s="143" t="s">
        <v>45</v>
      </c>
      <c r="E1786" s="142"/>
      <c r="F1786" s="142"/>
    </row>
    <row r="1787" spans="1:6" s="113" customFormat="1" ht="26.25" x14ac:dyDescent="0.25">
      <c r="A1787" s="141">
        <v>41982</v>
      </c>
      <c r="B1787" s="142" t="s">
        <v>763</v>
      </c>
      <c r="C1787" s="143" t="s">
        <v>65</v>
      </c>
      <c r="D1787" s="143" t="s">
        <v>302</v>
      </c>
      <c r="E1787" s="142"/>
      <c r="F1787" s="142"/>
    </row>
    <row r="1788" spans="1:6" s="113" customFormat="1" x14ac:dyDescent="0.25">
      <c r="A1788" s="247">
        <v>41996</v>
      </c>
      <c r="B1788" s="250" t="s">
        <v>1147</v>
      </c>
      <c r="C1788" s="143" t="s">
        <v>41</v>
      </c>
      <c r="D1788" s="143" t="s">
        <v>154</v>
      </c>
      <c r="E1788" s="250"/>
      <c r="F1788" s="250"/>
    </row>
    <row r="1789" spans="1:6" s="113" customFormat="1" x14ac:dyDescent="0.25">
      <c r="A1789" s="141">
        <v>42031</v>
      </c>
      <c r="B1789" s="142" t="s">
        <v>2242</v>
      </c>
      <c r="C1789" s="143" t="s">
        <v>64</v>
      </c>
      <c r="D1789" s="260" t="s">
        <v>237</v>
      </c>
      <c r="E1789" s="142"/>
      <c r="F1789" s="142"/>
    </row>
    <row r="1790" spans="1:6" s="113" customFormat="1" x14ac:dyDescent="0.25">
      <c r="A1790" s="190">
        <v>42044</v>
      </c>
      <c r="B1790" s="606" t="s">
        <v>3382</v>
      </c>
      <c r="C1790" s="606" t="s">
        <v>417</v>
      </c>
      <c r="D1790" s="606" t="s">
        <v>504</v>
      </c>
      <c r="E1790" s="606"/>
      <c r="F1790" s="606"/>
    </row>
    <row r="1791" spans="1:6" s="113" customFormat="1" x14ac:dyDescent="0.25">
      <c r="A1791" s="190">
        <v>42044</v>
      </c>
      <c r="B1791" s="606" t="s">
        <v>3382</v>
      </c>
      <c r="C1791" s="606" t="s">
        <v>417</v>
      </c>
      <c r="D1791" s="606" t="s">
        <v>504</v>
      </c>
      <c r="E1791" s="606"/>
      <c r="F1791" s="606"/>
    </row>
    <row r="1792" spans="1:6" s="113" customFormat="1" x14ac:dyDescent="0.25">
      <c r="A1792" s="141">
        <v>42708</v>
      </c>
      <c r="B1792" s="142" t="s">
        <v>764</v>
      </c>
      <c r="C1792" s="143" t="s">
        <v>63</v>
      </c>
      <c r="D1792" s="143" t="s">
        <v>7</v>
      </c>
      <c r="E1792" s="142"/>
      <c r="F1792" s="142"/>
    </row>
    <row r="1793" spans="1:6" s="113" customFormat="1" x14ac:dyDescent="0.25">
      <c r="A1793" s="141">
        <v>42717</v>
      </c>
      <c r="B1793" s="142" t="s">
        <v>765</v>
      </c>
      <c r="C1793" s="143" t="s">
        <v>63</v>
      </c>
      <c r="D1793" s="260" t="s">
        <v>21</v>
      </c>
      <c r="E1793" s="250"/>
      <c r="F1793" s="250"/>
    </row>
    <row r="1794" spans="1:6" s="113" customFormat="1" ht="26.25" x14ac:dyDescent="0.25">
      <c r="A1794" s="190">
        <v>42718</v>
      </c>
      <c r="B1794" s="188" t="s">
        <v>2542</v>
      </c>
      <c r="C1794" s="146" t="s">
        <v>1173</v>
      </c>
      <c r="D1794" s="262" t="s">
        <v>11</v>
      </c>
      <c r="E1794" s="606"/>
      <c r="F1794" s="606"/>
    </row>
    <row r="1795" spans="1:6" s="113" customFormat="1" x14ac:dyDescent="0.25">
      <c r="A1795" s="141">
        <v>42723</v>
      </c>
      <c r="B1795" s="142" t="s">
        <v>766</v>
      </c>
      <c r="C1795" s="143" t="s">
        <v>44</v>
      </c>
      <c r="D1795" s="143" t="s">
        <v>7</v>
      </c>
      <c r="E1795" s="142"/>
      <c r="F1795" s="142"/>
    </row>
    <row r="1796" spans="1:6" s="113" customFormat="1" x14ac:dyDescent="0.25">
      <c r="A1796" s="141">
        <v>42731</v>
      </c>
      <c r="B1796" s="142" t="s">
        <v>767</v>
      </c>
      <c r="C1796" s="143" t="s">
        <v>9</v>
      </c>
      <c r="D1796" s="143" t="s">
        <v>540</v>
      </c>
      <c r="E1796" s="142"/>
      <c r="F1796" s="142"/>
    </row>
    <row r="1797" spans="1:6" s="113" customFormat="1" x14ac:dyDescent="0.25">
      <c r="A1797" s="141">
        <v>42738</v>
      </c>
      <c r="B1797" s="142" t="s">
        <v>2243</v>
      </c>
      <c r="C1797" s="143" t="s">
        <v>63</v>
      </c>
      <c r="D1797" s="143" t="s">
        <v>68</v>
      </c>
      <c r="E1797" s="142"/>
      <c r="F1797" s="142"/>
    </row>
    <row r="1798" spans="1:6" s="113" customFormat="1" x14ac:dyDescent="0.25">
      <c r="A1798" s="141">
        <v>42742</v>
      </c>
      <c r="B1798" s="142" t="s">
        <v>768</v>
      </c>
      <c r="C1798" s="143" t="s">
        <v>3259</v>
      </c>
      <c r="D1798" s="143" t="s">
        <v>3651</v>
      </c>
      <c r="E1798" s="142"/>
      <c r="F1798" s="142"/>
    </row>
    <row r="1799" spans="1:6" s="113" customFormat="1" x14ac:dyDescent="0.25">
      <c r="A1799" s="141">
        <v>42744</v>
      </c>
      <c r="B1799" s="142" t="s">
        <v>2244</v>
      </c>
      <c r="C1799" s="143" t="s">
        <v>17</v>
      </c>
      <c r="D1799" s="143" t="s">
        <v>21</v>
      </c>
      <c r="E1799" s="142"/>
      <c r="F1799" s="142"/>
    </row>
    <row r="1800" spans="1:6" s="113" customFormat="1" ht="26.25" x14ac:dyDescent="0.25">
      <c r="A1800" s="187">
        <v>42749</v>
      </c>
      <c r="B1800" s="188" t="s">
        <v>2752</v>
      </c>
      <c r="C1800" s="146" t="s">
        <v>16</v>
      </c>
      <c r="D1800" s="146" t="s">
        <v>154</v>
      </c>
      <c r="E1800" s="606"/>
      <c r="F1800" s="606"/>
    </row>
    <row r="1801" spans="1:6" s="113" customFormat="1" ht="26.25" x14ac:dyDescent="0.25">
      <c r="A1801" s="247">
        <v>42760</v>
      </c>
      <c r="B1801" s="250" t="s">
        <v>1581</v>
      </c>
      <c r="C1801" s="143" t="s">
        <v>3039</v>
      </c>
      <c r="D1801" s="148" t="s">
        <v>242</v>
      </c>
      <c r="E1801" s="144"/>
      <c r="F1801" s="142"/>
    </row>
    <row r="1802" spans="1:6" s="113" customFormat="1" ht="26.25" x14ac:dyDescent="0.25">
      <c r="A1802" s="141">
        <v>42837</v>
      </c>
      <c r="B1802" s="142" t="s">
        <v>2245</v>
      </c>
      <c r="C1802" s="143" t="s">
        <v>5</v>
      </c>
      <c r="D1802" s="143" t="s">
        <v>11</v>
      </c>
      <c r="E1802" s="142"/>
      <c r="F1802" s="142"/>
    </row>
    <row r="1803" spans="1:6" s="113" customFormat="1" ht="26.25" x14ac:dyDescent="0.25">
      <c r="A1803" s="141">
        <v>42856</v>
      </c>
      <c r="B1803" s="142" t="s">
        <v>769</v>
      </c>
      <c r="C1803" s="143" t="s">
        <v>3039</v>
      </c>
      <c r="D1803" s="143" t="s">
        <v>150</v>
      </c>
      <c r="E1803" s="142"/>
      <c r="F1803" s="142"/>
    </row>
    <row r="1804" spans="1:6" s="113" customFormat="1" ht="26.25" x14ac:dyDescent="0.25">
      <c r="A1804" s="141">
        <v>42858</v>
      </c>
      <c r="B1804" s="142" t="s">
        <v>2246</v>
      </c>
      <c r="C1804" s="143" t="s">
        <v>27</v>
      </c>
      <c r="D1804" s="143" t="s">
        <v>45</v>
      </c>
      <c r="E1804" s="142"/>
      <c r="F1804" s="142"/>
    </row>
    <row r="1805" spans="1:6" s="113" customFormat="1" ht="26.25" x14ac:dyDescent="0.25">
      <c r="A1805" s="141">
        <v>42863</v>
      </c>
      <c r="B1805" s="142" t="s">
        <v>770</v>
      </c>
      <c r="C1805" s="143" t="s">
        <v>96</v>
      </c>
      <c r="D1805" s="143" t="s">
        <v>7</v>
      </c>
      <c r="E1805" s="142"/>
      <c r="F1805" s="142"/>
    </row>
    <row r="1806" spans="1:6" s="113" customFormat="1" ht="26.25" x14ac:dyDescent="0.25">
      <c r="A1806" s="190">
        <v>42866</v>
      </c>
      <c r="B1806" s="188" t="s">
        <v>2622</v>
      </c>
      <c r="C1806" s="146" t="s">
        <v>16</v>
      </c>
      <c r="D1806" s="187" t="s">
        <v>154</v>
      </c>
      <c r="E1806" s="606"/>
      <c r="F1806" s="606"/>
    </row>
    <row r="1807" spans="1:6" s="113" customFormat="1" ht="26.25" x14ac:dyDescent="0.25">
      <c r="A1807" s="141">
        <v>42882</v>
      </c>
      <c r="B1807" s="142" t="s">
        <v>771</v>
      </c>
      <c r="C1807" s="143" t="s">
        <v>1173</v>
      </c>
      <c r="D1807" s="143" t="s">
        <v>154</v>
      </c>
      <c r="E1807" s="142"/>
      <c r="F1807" s="142"/>
    </row>
    <row r="1808" spans="1:6" s="113" customFormat="1" x14ac:dyDescent="0.25">
      <c r="A1808" s="141">
        <v>42904</v>
      </c>
      <c r="B1808" s="142" t="s">
        <v>2247</v>
      </c>
      <c r="C1808" s="143" t="s">
        <v>53</v>
      </c>
      <c r="D1808" s="143" t="s">
        <v>7</v>
      </c>
      <c r="E1808" s="142"/>
      <c r="F1808" s="142"/>
    </row>
    <row r="1809" spans="1:6" s="113" customFormat="1" ht="26.25" x14ac:dyDescent="0.25">
      <c r="A1809" s="141">
        <v>42930</v>
      </c>
      <c r="B1809" s="142" t="s">
        <v>772</v>
      </c>
      <c r="C1809" s="143" t="s">
        <v>5</v>
      </c>
      <c r="D1809" s="143" t="s">
        <v>154</v>
      </c>
      <c r="E1809" s="142"/>
      <c r="F1809" s="142"/>
    </row>
    <row r="1810" spans="1:6" s="113" customFormat="1" ht="39" x14ac:dyDescent="0.25">
      <c r="A1810" s="247">
        <v>43010</v>
      </c>
      <c r="B1810" s="250" t="s">
        <v>1389</v>
      </c>
      <c r="C1810" s="143" t="s">
        <v>140</v>
      </c>
      <c r="D1810" s="143" t="s">
        <v>2248</v>
      </c>
      <c r="E1810" s="142"/>
      <c r="F1810" s="142"/>
    </row>
    <row r="1811" spans="1:6" s="113" customFormat="1" x14ac:dyDescent="0.25">
      <c r="A1811" s="195">
        <v>43018</v>
      </c>
      <c r="B1811" s="187" t="s">
        <v>3120</v>
      </c>
      <c r="C1811" s="187" t="s">
        <v>4</v>
      </c>
      <c r="D1811" s="146" t="s">
        <v>1164</v>
      </c>
      <c r="E1811" s="606"/>
      <c r="F1811" s="187"/>
    </row>
    <row r="1812" spans="1:6" s="113" customFormat="1" ht="26.25" x14ac:dyDescent="0.25">
      <c r="A1812" s="141">
        <v>43026</v>
      </c>
      <c r="B1812" s="142" t="s">
        <v>1167</v>
      </c>
      <c r="C1812" s="143" t="s">
        <v>32</v>
      </c>
      <c r="D1812" s="148" t="s">
        <v>603</v>
      </c>
      <c r="E1812" s="250"/>
      <c r="F1812" s="250"/>
    </row>
    <row r="1813" spans="1:6" s="113" customFormat="1" x14ac:dyDescent="0.25">
      <c r="A1813" s="141">
        <v>43034</v>
      </c>
      <c r="B1813" s="142" t="s">
        <v>2249</v>
      </c>
      <c r="C1813" s="143" t="s">
        <v>63</v>
      </c>
      <c r="D1813" s="143" t="s">
        <v>21</v>
      </c>
      <c r="E1813" s="142"/>
      <c r="F1813" s="142"/>
    </row>
    <row r="1814" spans="1:6" s="113" customFormat="1" ht="26.25" x14ac:dyDescent="0.25">
      <c r="A1814" s="141">
        <v>43042</v>
      </c>
      <c r="B1814" s="142" t="s">
        <v>2250</v>
      </c>
      <c r="C1814" s="143" t="s">
        <v>53</v>
      </c>
      <c r="D1814" s="143" t="s">
        <v>2251</v>
      </c>
      <c r="E1814" s="142"/>
      <c r="F1814" s="142"/>
    </row>
    <row r="1815" spans="1:6" s="113" customFormat="1" ht="26.25" x14ac:dyDescent="0.25">
      <c r="A1815" s="141">
        <v>43044</v>
      </c>
      <c r="B1815" s="142" t="s">
        <v>773</v>
      </c>
      <c r="C1815" s="143" t="s">
        <v>16</v>
      </c>
      <c r="D1815" s="143" t="s">
        <v>11</v>
      </c>
      <c r="E1815" s="142"/>
      <c r="F1815" s="142"/>
    </row>
    <row r="1816" spans="1:6" s="113" customFormat="1" ht="26.25" x14ac:dyDescent="0.25">
      <c r="A1816" s="141">
        <v>43116</v>
      </c>
      <c r="B1816" s="142" t="s">
        <v>1110</v>
      </c>
      <c r="C1816" s="143" t="s">
        <v>914</v>
      </c>
      <c r="D1816" s="148" t="s">
        <v>1131</v>
      </c>
      <c r="E1816" s="144"/>
      <c r="F1816" s="142"/>
    </row>
    <row r="1817" spans="1:6" s="113" customFormat="1" x14ac:dyDescent="0.25">
      <c r="A1817" s="141">
        <v>43123</v>
      </c>
      <c r="B1817" s="142" t="s">
        <v>774</v>
      </c>
      <c r="C1817" s="143" t="s">
        <v>32</v>
      </c>
      <c r="D1817" s="143" t="s">
        <v>154</v>
      </c>
      <c r="E1817" s="142"/>
      <c r="F1817" s="142"/>
    </row>
    <row r="1818" spans="1:6" s="113" customFormat="1" x14ac:dyDescent="0.25">
      <c r="A1818" s="141">
        <v>43141</v>
      </c>
      <c r="B1818" s="142" t="s">
        <v>2252</v>
      </c>
      <c r="C1818" s="143" t="s">
        <v>32</v>
      </c>
      <c r="D1818" s="148" t="s">
        <v>7</v>
      </c>
      <c r="E1818" s="142"/>
      <c r="F1818" s="142"/>
    </row>
    <row r="1819" spans="1:6" s="113" customFormat="1" ht="26.25" x14ac:dyDescent="0.25">
      <c r="A1819" s="141">
        <v>43158</v>
      </c>
      <c r="B1819" s="142" t="s">
        <v>775</v>
      </c>
      <c r="C1819" s="143" t="s">
        <v>8</v>
      </c>
      <c r="D1819" s="143" t="s">
        <v>154</v>
      </c>
      <c r="E1819" s="142"/>
      <c r="F1819" s="142"/>
    </row>
    <row r="1820" spans="1:6" s="113" customFormat="1" ht="26.25" x14ac:dyDescent="0.25">
      <c r="A1820" s="187">
        <v>43158</v>
      </c>
      <c r="B1820" s="188" t="s">
        <v>775</v>
      </c>
      <c r="C1820" s="146" t="s">
        <v>8</v>
      </c>
      <c r="D1820" s="148" t="s">
        <v>242</v>
      </c>
      <c r="E1820" s="606"/>
      <c r="F1820" s="606"/>
    </row>
    <row r="1821" spans="1:6" s="113" customFormat="1" x14ac:dyDescent="0.25">
      <c r="A1821" s="141">
        <v>43169</v>
      </c>
      <c r="B1821" s="142" t="s">
        <v>776</v>
      </c>
      <c r="C1821" s="143" t="s">
        <v>41</v>
      </c>
      <c r="D1821" s="143" t="s">
        <v>11</v>
      </c>
      <c r="E1821" s="142"/>
      <c r="F1821" s="142"/>
    </row>
    <row r="1822" spans="1:6" s="113" customFormat="1" x14ac:dyDescent="0.25">
      <c r="A1822" s="187">
        <v>43181</v>
      </c>
      <c r="B1822" s="187" t="s">
        <v>3681</v>
      </c>
      <c r="C1822" s="187" t="s">
        <v>3039</v>
      </c>
      <c r="D1822" s="187" t="s">
        <v>154</v>
      </c>
      <c r="E1822" s="187"/>
      <c r="F1822" s="187"/>
    </row>
    <row r="1823" spans="1:6" s="113" customFormat="1" ht="39" x14ac:dyDescent="0.25">
      <c r="A1823" s="141">
        <v>43192</v>
      </c>
      <c r="B1823" s="142" t="s">
        <v>777</v>
      </c>
      <c r="C1823" s="143" t="s">
        <v>1590</v>
      </c>
      <c r="D1823" s="143" t="s">
        <v>45</v>
      </c>
      <c r="E1823" s="142"/>
      <c r="F1823" s="142"/>
    </row>
    <row r="1824" spans="1:6" s="113" customFormat="1" x14ac:dyDescent="0.25">
      <c r="A1824" s="190">
        <v>43198</v>
      </c>
      <c r="B1824" s="606" t="s">
        <v>2735</v>
      </c>
      <c r="C1824" s="606" t="s">
        <v>73</v>
      </c>
      <c r="D1824" s="606" t="s">
        <v>408</v>
      </c>
      <c r="E1824" s="606"/>
      <c r="F1824" s="606"/>
    </row>
    <row r="1825" spans="1:8" s="113" customFormat="1" ht="26.25" x14ac:dyDescent="0.25">
      <c r="A1825" s="187">
        <v>43198</v>
      </c>
      <c r="B1825" s="188" t="s">
        <v>2735</v>
      </c>
      <c r="C1825" s="146" t="s">
        <v>73</v>
      </c>
      <c r="D1825" s="146" t="s">
        <v>2771</v>
      </c>
      <c r="E1825" s="606"/>
      <c r="F1825" s="606"/>
    </row>
    <row r="1826" spans="1:8" s="113" customFormat="1" ht="26.25" x14ac:dyDescent="0.25">
      <c r="A1826" s="187">
        <v>43198</v>
      </c>
      <c r="B1826" s="188" t="s">
        <v>2735</v>
      </c>
      <c r="C1826" s="146" t="s">
        <v>73</v>
      </c>
      <c r="D1826" s="148" t="s">
        <v>2771</v>
      </c>
      <c r="E1826" s="606"/>
      <c r="F1826" s="606"/>
    </row>
    <row r="1827" spans="1:8" s="113" customFormat="1" x14ac:dyDescent="0.25">
      <c r="A1827" s="141">
        <v>43203</v>
      </c>
      <c r="B1827" s="142" t="s">
        <v>778</v>
      </c>
      <c r="C1827" s="143" t="s">
        <v>32</v>
      </c>
      <c r="D1827" s="143" t="s">
        <v>154</v>
      </c>
      <c r="E1827" s="142"/>
      <c r="F1827" s="142"/>
    </row>
    <row r="1828" spans="1:8" s="113" customFormat="1" ht="26.25" x14ac:dyDescent="0.25">
      <c r="A1828" s="195">
        <v>43206</v>
      </c>
      <c r="B1828" s="188" t="s">
        <v>2855</v>
      </c>
      <c r="C1828" s="143" t="s">
        <v>3039</v>
      </c>
      <c r="D1828" s="146" t="s">
        <v>242</v>
      </c>
      <c r="E1828" s="606"/>
      <c r="F1828" s="606"/>
    </row>
    <row r="1829" spans="1:8" s="113" customFormat="1" x14ac:dyDescent="0.25">
      <c r="A1829" s="141">
        <v>43219</v>
      </c>
      <c r="B1829" s="142" t="s">
        <v>2253</v>
      </c>
      <c r="C1829" s="143" t="s">
        <v>63</v>
      </c>
      <c r="D1829" s="143" t="s">
        <v>116</v>
      </c>
      <c r="E1829" s="142"/>
      <c r="F1829" s="142"/>
    </row>
    <row r="1830" spans="1:8" s="113" customFormat="1" x14ac:dyDescent="0.25">
      <c r="A1830" s="141">
        <v>43272</v>
      </c>
      <c r="B1830" s="142" t="s">
        <v>2254</v>
      </c>
      <c r="C1830" s="143" t="s">
        <v>63</v>
      </c>
      <c r="D1830" s="143" t="s">
        <v>154</v>
      </c>
      <c r="E1830" s="142"/>
      <c r="F1830" s="142"/>
    </row>
    <row r="1831" spans="1:8" s="113" customFormat="1" x14ac:dyDescent="0.25">
      <c r="A1831" s="141">
        <v>43399</v>
      </c>
      <c r="B1831" s="142" t="s">
        <v>2255</v>
      </c>
      <c r="C1831" s="143" t="s">
        <v>63</v>
      </c>
      <c r="D1831" s="143" t="s">
        <v>11</v>
      </c>
      <c r="E1831" s="142"/>
      <c r="F1831" s="142"/>
    </row>
    <row r="1832" spans="1:8" s="113" customFormat="1" ht="26.25" x14ac:dyDescent="0.25">
      <c r="A1832" s="247">
        <v>43405</v>
      </c>
      <c r="B1832" s="250" t="s">
        <v>1378</v>
      </c>
      <c r="C1832" s="143" t="s">
        <v>5</v>
      </c>
      <c r="D1832" s="143" t="s">
        <v>7</v>
      </c>
      <c r="E1832" s="142"/>
      <c r="F1832" s="142"/>
    </row>
    <row r="1833" spans="1:8" s="113" customFormat="1" x14ac:dyDescent="0.25">
      <c r="A1833" s="141">
        <v>43420</v>
      </c>
      <c r="B1833" s="142" t="s">
        <v>3621</v>
      </c>
      <c r="C1833" s="143" t="s">
        <v>63</v>
      </c>
      <c r="D1833" s="260" t="s">
        <v>154</v>
      </c>
      <c r="E1833" s="250"/>
      <c r="F1833" s="250"/>
    </row>
    <row r="1834" spans="1:8" s="113" customFormat="1" ht="39" x14ac:dyDescent="0.25">
      <c r="A1834" s="141">
        <v>43715</v>
      </c>
      <c r="B1834" s="142" t="s">
        <v>779</v>
      </c>
      <c r="C1834" s="143" t="s">
        <v>1590</v>
      </c>
      <c r="D1834" s="143" t="s">
        <v>1591</v>
      </c>
      <c r="E1834" s="142"/>
      <c r="F1834" s="142"/>
    </row>
    <row r="1835" spans="1:8" s="113" customFormat="1" ht="26.25" x14ac:dyDescent="0.25">
      <c r="A1835" s="247">
        <v>43925</v>
      </c>
      <c r="B1835" s="250" t="s">
        <v>1280</v>
      </c>
      <c r="C1835" s="143" t="s">
        <v>3039</v>
      </c>
      <c r="D1835" s="143" t="s">
        <v>150</v>
      </c>
      <c r="E1835" s="142"/>
      <c r="F1835" s="142"/>
    </row>
    <row r="1836" spans="1:8" s="113" customFormat="1" ht="26.25" x14ac:dyDescent="0.25">
      <c r="A1836" s="141">
        <v>44174</v>
      </c>
      <c r="B1836" s="142" t="s">
        <v>2256</v>
      </c>
      <c r="C1836" s="143" t="s">
        <v>4</v>
      </c>
      <c r="D1836" s="143" t="s">
        <v>1164</v>
      </c>
      <c r="E1836" s="142"/>
      <c r="F1836" s="142"/>
      <c r="G1836" s="194"/>
    </row>
    <row r="1837" spans="1:8" s="113" customFormat="1" ht="26.25" x14ac:dyDescent="0.25">
      <c r="A1837" s="141">
        <v>44331</v>
      </c>
      <c r="B1837" s="142" t="s">
        <v>780</v>
      </c>
      <c r="C1837" s="143" t="s">
        <v>27</v>
      </c>
      <c r="D1837" s="143" t="s">
        <v>7</v>
      </c>
      <c r="E1837" s="142"/>
      <c r="F1837" s="142"/>
      <c r="H1837" s="607"/>
    </row>
    <row r="1838" spans="1:8" s="113" customFormat="1" x14ac:dyDescent="0.25">
      <c r="A1838" s="190">
        <v>44539</v>
      </c>
      <c r="B1838" s="606" t="s">
        <v>3215</v>
      </c>
      <c r="C1838" s="606" t="s">
        <v>1590</v>
      </c>
      <c r="D1838" s="606" t="s">
        <v>415</v>
      </c>
      <c r="E1838" s="606"/>
      <c r="F1838" s="606"/>
    </row>
    <row r="1839" spans="1:8" s="113" customFormat="1" x14ac:dyDescent="0.25">
      <c r="A1839" s="195">
        <v>44539</v>
      </c>
      <c r="B1839" s="187" t="s">
        <v>3215</v>
      </c>
      <c r="C1839" s="187" t="s">
        <v>1590</v>
      </c>
      <c r="D1839" s="146" t="s">
        <v>415</v>
      </c>
      <c r="E1839" s="606"/>
      <c r="F1839" s="187"/>
    </row>
    <row r="1840" spans="1:8" s="113" customFormat="1" x14ac:dyDescent="0.25">
      <c r="A1840" s="141">
        <v>44655</v>
      </c>
      <c r="B1840" s="142" t="s">
        <v>781</v>
      </c>
      <c r="C1840" s="143" t="s">
        <v>73</v>
      </c>
      <c r="D1840" s="143" t="s">
        <v>242</v>
      </c>
      <c r="E1840" s="142"/>
      <c r="F1840" s="142"/>
    </row>
    <row r="1841" spans="1:8" s="113" customFormat="1" x14ac:dyDescent="0.25">
      <c r="A1841" s="141">
        <v>44679</v>
      </c>
      <c r="B1841" s="142" t="s">
        <v>2257</v>
      </c>
      <c r="C1841" s="143" t="s">
        <v>41</v>
      </c>
      <c r="D1841" s="143" t="s">
        <v>11</v>
      </c>
      <c r="E1841" s="142"/>
      <c r="F1841" s="142"/>
      <c r="H1841" s="607"/>
    </row>
    <row r="1842" spans="1:8" s="113" customFormat="1" x14ac:dyDescent="0.25">
      <c r="A1842" s="141">
        <v>44700</v>
      </c>
      <c r="B1842" s="142" t="s">
        <v>2258</v>
      </c>
      <c r="C1842" s="143" t="s">
        <v>140</v>
      </c>
      <c r="D1842" s="143" t="s">
        <v>109</v>
      </c>
      <c r="E1842" s="142"/>
      <c r="F1842" s="142"/>
    </row>
    <row r="1843" spans="1:8" s="113" customFormat="1" ht="26.25" x14ac:dyDescent="0.25">
      <c r="A1843" s="141">
        <v>44712</v>
      </c>
      <c r="B1843" s="142" t="s">
        <v>1165</v>
      </c>
      <c r="C1843" s="143" t="s">
        <v>144</v>
      </c>
      <c r="D1843" s="143" t="s">
        <v>173</v>
      </c>
      <c r="E1843" s="142"/>
      <c r="F1843" s="142"/>
    </row>
    <row r="1844" spans="1:8" s="113" customFormat="1" x14ac:dyDescent="0.25">
      <c r="A1844" s="141">
        <v>44732</v>
      </c>
      <c r="B1844" s="142" t="s">
        <v>2259</v>
      </c>
      <c r="C1844" s="143" t="s">
        <v>41</v>
      </c>
      <c r="D1844" s="143" t="s">
        <v>116</v>
      </c>
      <c r="E1844" s="142"/>
      <c r="F1844" s="142"/>
      <c r="H1844" s="607"/>
    </row>
    <row r="1845" spans="1:8" s="113" customFormat="1" x14ac:dyDescent="0.25">
      <c r="A1845" s="141">
        <v>44742</v>
      </c>
      <c r="B1845" s="142" t="s">
        <v>2260</v>
      </c>
      <c r="C1845" s="143" t="s">
        <v>140</v>
      </c>
      <c r="D1845" s="143" t="s">
        <v>109</v>
      </c>
      <c r="E1845" s="142"/>
      <c r="F1845" s="142"/>
    </row>
    <row r="1846" spans="1:8" s="113" customFormat="1" x14ac:dyDescent="0.25">
      <c r="A1846" s="141">
        <v>44773</v>
      </c>
      <c r="B1846" s="142" t="s">
        <v>782</v>
      </c>
      <c r="C1846" s="143" t="s">
        <v>17</v>
      </c>
      <c r="D1846" s="143" t="s">
        <v>154</v>
      </c>
      <c r="E1846" s="142"/>
      <c r="F1846" s="142"/>
    </row>
    <row r="1847" spans="1:8" s="113" customFormat="1" ht="26.25" x14ac:dyDescent="0.25">
      <c r="A1847" s="141">
        <v>44790</v>
      </c>
      <c r="B1847" s="142" t="s">
        <v>2261</v>
      </c>
      <c r="C1847" s="143" t="s">
        <v>20</v>
      </c>
      <c r="D1847" s="143" t="s">
        <v>302</v>
      </c>
      <c r="E1847" s="142"/>
      <c r="F1847" s="142"/>
    </row>
    <row r="1848" spans="1:8" s="113" customFormat="1" ht="26.25" x14ac:dyDescent="0.25">
      <c r="A1848" s="141">
        <v>44812</v>
      </c>
      <c r="B1848" s="142" t="s">
        <v>783</v>
      </c>
      <c r="C1848" s="143" t="s">
        <v>27</v>
      </c>
      <c r="D1848" s="143" t="s">
        <v>302</v>
      </c>
      <c r="E1848" s="142"/>
      <c r="F1848" s="142"/>
    </row>
    <row r="1849" spans="1:8" s="113" customFormat="1" x14ac:dyDescent="0.25">
      <c r="A1849" s="247">
        <v>44813</v>
      </c>
      <c r="B1849" s="250" t="s">
        <v>1394</v>
      </c>
      <c r="C1849" s="143" t="s">
        <v>140</v>
      </c>
      <c r="D1849" s="143" t="s">
        <v>148</v>
      </c>
      <c r="E1849" s="142"/>
      <c r="F1849" s="142"/>
    </row>
    <row r="1850" spans="1:8" s="113" customFormat="1" x14ac:dyDescent="0.25">
      <c r="A1850" s="247">
        <v>45249</v>
      </c>
      <c r="B1850" s="250" t="s">
        <v>1281</v>
      </c>
      <c r="C1850" s="143" t="s">
        <v>9</v>
      </c>
      <c r="D1850" s="143" t="s">
        <v>1105</v>
      </c>
      <c r="E1850" s="250"/>
      <c r="F1850" s="250"/>
    </row>
    <row r="1851" spans="1:8" s="113" customFormat="1" ht="26.25" x14ac:dyDescent="0.25">
      <c r="A1851" s="195">
        <v>45368</v>
      </c>
      <c r="B1851" s="188" t="s">
        <v>2881</v>
      </c>
      <c r="C1851" s="146" t="s">
        <v>144</v>
      </c>
      <c r="D1851" s="146" t="s">
        <v>173</v>
      </c>
      <c r="E1851" s="606"/>
      <c r="F1851" s="187"/>
    </row>
    <row r="1852" spans="1:8" s="113" customFormat="1" x14ac:dyDescent="0.25">
      <c r="A1852" s="187">
        <v>45376</v>
      </c>
      <c r="B1852" s="187" t="s">
        <v>3628</v>
      </c>
      <c r="C1852" s="187" t="s">
        <v>16</v>
      </c>
      <c r="D1852" s="187" t="s">
        <v>7</v>
      </c>
      <c r="E1852" s="187"/>
      <c r="F1852" s="187"/>
    </row>
    <row r="1853" spans="1:8" s="113" customFormat="1" ht="26.25" x14ac:dyDescent="0.25">
      <c r="A1853" s="141">
        <v>45393</v>
      </c>
      <c r="B1853" s="142" t="s">
        <v>784</v>
      </c>
      <c r="C1853" s="143" t="s">
        <v>16</v>
      </c>
      <c r="D1853" s="260" t="s">
        <v>302</v>
      </c>
      <c r="E1853" s="250"/>
      <c r="F1853" s="250"/>
    </row>
    <row r="1854" spans="1:8" s="113" customFormat="1" x14ac:dyDescent="0.25">
      <c r="A1854" s="247">
        <v>45437</v>
      </c>
      <c r="B1854" s="250" t="s">
        <v>1520</v>
      </c>
      <c r="C1854" s="143" t="s">
        <v>32</v>
      </c>
      <c r="D1854" s="143" t="s">
        <v>551</v>
      </c>
      <c r="E1854" s="142"/>
      <c r="F1854" s="142"/>
    </row>
    <row r="1855" spans="1:8" s="113" customFormat="1" x14ac:dyDescent="0.25">
      <c r="A1855" s="141">
        <v>45449</v>
      </c>
      <c r="B1855" s="142" t="s">
        <v>785</v>
      </c>
      <c r="C1855" s="143" t="s">
        <v>38</v>
      </c>
      <c r="D1855" s="260" t="s">
        <v>1231</v>
      </c>
      <c r="E1855" s="250"/>
      <c r="F1855" s="250"/>
    </row>
    <row r="1856" spans="1:8" s="113" customFormat="1" x14ac:dyDescent="0.25">
      <c r="A1856" s="141">
        <v>45493</v>
      </c>
      <c r="B1856" s="142" t="s">
        <v>2262</v>
      </c>
      <c r="C1856" s="143" t="s">
        <v>167</v>
      </c>
      <c r="D1856" s="143" t="s">
        <v>7</v>
      </c>
      <c r="E1856" s="142"/>
      <c r="F1856" s="142"/>
    </row>
    <row r="1857" spans="1:8" s="113" customFormat="1" ht="26.25" x14ac:dyDescent="0.25">
      <c r="A1857" s="141">
        <v>45572</v>
      </c>
      <c r="B1857" s="142" t="s">
        <v>786</v>
      </c>
      <c r="C1857" s="143" t="s">
        <v>120</v>
      </c>
      <c r="D1857" s="143" t="s">
        <v>7</v>
      </c>
      <c r="E1857" s="142"/>
      <c r="F1857" s="142"/>
    </row>
    <row r="1858" spans="1:8" s="113" customFormat="1" ht="26.25" x14ac:dyDescent="0.25">
      <c r="A1858" s="141">
        <v>45588</v>
      </c>
      <c r="B1858" s="142" t="s">
        <v>787</v>
      </c>
      <c r="C1858" s="143" t="s">
        <v>49</v>
      </c>
      <c r="D1858" s="143" t="s">
        <v>150</v>
      </c>
      <c r="E1858" s="142"/>
      <c r="F1858" s="142"/>
    </row>
    <row r="1859" spans="1:8" s="113" customFormat="1" x14ac:dyDescent="0.25">
      <c r="A1859" s="141">
        <v>45597</v>
      </c>
      <c r="B1859" s="142" t="s">
        <v>2263</v>
      </c>
      <c r="C1859" s="143" t="s">
        <v>64</v>
      </c>
      <c r="D1859" s="143" t="s">
        <v>415</v>
      </c>
      <c r="E1859" s="142"/>
      <c r="F1859" s="142"/>
    </row>
    <row r="1860" spans="1:8" s="113" customFormat="1" x14ac:dyDescent="0.25">
      <c r="A1860" s="141">
        <v>45639</v>
      </c>
      <c r="B1860" s="142" t="s">
        <v>2264</v>
      </c>
      <c r="C1860" s="143" t="s">
        <v>140</v>
      </c>
      <c r="D1860" s="143" t="s">
        <v>109</v>
      </c>
      <c r="E1860" s="142"/>
      <c r="F1860" s="142"/>
    </row>
    <row r="1861" spans="1:8" s="113" customFormat="1" x14ac:dyDescent="0.25">
      <c r="A1861" s="141">
        <v>45666</v>
      </c>
      <c r="B1861" s="142" t="s">
        <v>2265</v>
      </c>
      <c r="C1861" s="143" t="s">
        <v>32</v>
      </c>
      <c r="D1861" s="143" t="s">
        <v>242</v>
      </c>
      <c r="E1861" s="142"/>
      <c r="F1861" s="142"/>
    </row>
    <row r="1862" spans="1:8" s="113" customFormat="1" ht="26.25" x14ac:dyDescent="0.25">
      <c r="A1862" s="141">
        <v>45685</v>
      </c>
      <c r="B1862" s="142" t="s">
        <v>1187</v>
      </c>
      <c r="C1862" s="143" t="s">
        <v>144</v>
      </c>
      <c r="D1862" s="143" t="s">
        <v>173</v>
      </c>
      <c r="E1862" s="142"/>
      <c r="F1862" s="142"/>
    </row>
    <row r="1863" spans="1:8" s="113" customFormat="1" x14ac:dyDescent="0.25">
      <c r="A1863" s="247">
        <v>45707</v>
      </c>
      <c r="B1863" s="250" t="s">
        <v>1440</v>
      </c>
      <c r="C1863" s="143" t="s">
        <v>9</v>
      </c>
      <c r="D1863" s="143" t="s">
        <v>1105</v>
      </c>
      <c r="E1863" s="142"/>
      <c r="F1863" s="142"/>
    </row>
    <row r="1864" spans="1:8" s="113" customFormat="1" x14ac:dyDescent="0.25">
      <c r="A1864" s="247">
        <v>45720</v>
      </c>
      <c r="B1864" s="250" t="s">
        <v>1437</v>
      </c>
      <c r="C1864" s="143" t="s">
        <v>167</v>
      </c>
      <c r="D1864" s="260" t="s">
        <v>109</v>
      </c>
      <c r="E1864" s="250"/>
      <c r="F1864" s="250"/>
    </row>
    <row r="1865" spans="1:8" s="113" customFormat="1" x14ac:dyDescent="0.25">
      <c r="A1865" s="141">
        <v>45744</v>
      </c>
      <c r="B1865" s="142" t="s">
        <v>788</v>
      </c>
      <c r="C1865" s="143" t="s">
        <v>140</v>
      </c>
      <c r="D1865" s="260" t="s">
        <v>11</v>
      </c>
      <c r="E1865" s="250"/>
      <c r="F1865" s="250"/>
    </row>
    <row r="1866" spans="1:8" s="113" customFormat="1" x14ac:dyDescent="0.25">
      <c r="A1866" s="141">
        <v>45770</v>
      </c>
      <c r="B1866" s="142" t="s">
        <v>1168</v>
      </c>
      <c r="C1866" s="143" t="s">
        <v>17</v>
      </c>
      <c r="D1866" s="143" t="s">
        <v>7</v>
      </c>
      <c r="E1866" s="142"/>
      <c r="F1866" s="142"/>
    </row>
    <row r="1867" spans="1:8" s="113" customFormat="1" ht="26.25" x14ac:dyDescent="0.25">
      <c r="A1867" s="141">
        <v>45777</v>
      </c>
      <c r="B1867" s="142" t="s">
        <v>2266</v>
      </c>
      <c r="C1867" s="143" t="s">
        <v>65</v>
      </c>
      <c r="D1867" s="143" t="s">
        <v>116</v>
      </c>
      <c r="E1867" s="142"/>
      <c r="F1867" s="142"/>
    </row>
    <row r="1868" spans="1:8" s="113" customFormat="1" ht="26.25" x14ac:dyDescent="0.25">
      <c r="A1868" s="247">
        <v>45931</v>
      </c>
      <c r="B1868" s="250" t="s">
        <v>1545</v>
      </c>
      <c r="C1868" s="143" t="s">
        <v>1173</v>
      </c>
      <c r="D1868" s="143" t="s">
        <v>116</v>
      </c>
      <c r="E1868" s="142"/>
      <c r="F1868" s="142"/>
      <c r="G1868" s="607"/>
    </row>
    <row r="1869" spans="1:8" s="113" customFormat="1" ht="26.25" x14ac:dyDescent="0.25">
      <c r="A1869" s="141">
        <v>45968</v>
      </c>
      <c r="B1869" s="142" t="s">
        <v>789</v>
      </c>
      <c r="C1869" s="143" t="s">
        <v>96</v>
      </c>
      <c r="D1869" s="143" t="s">
        <v>7</v>
      </c>
      <c r="E1869" s="142"/>
      <c r="F1869" s="142"/>
    </row>
    <row r="1870" spans="1:8" s="113" customFormat="1" ht="26.25" x14ac:dyDescent="0.25">
      <c r="A1870" s="141">
        <v>45994</v>
      </c>
      <c r="B1870" s="142" t="s">
        <v>790</v>
      </c>
      <c r="C1870" s="143" t="s">
        <v>96</v>
      </c>
      <c r="D1870" s="143" t="s">
        <v>109</v>
      </c>
      <c r="E1870" s="142"/>
      <c r="F1870" s="142"/>
    </row>
    <row r="1871" spans="1:8" s="113" customFormat="1" x14ac:dyDescent="0.25">
      <c r="A1871" s="141">
        <v>46028</v>
      </c>
      <c r="B1871" s="142" t="s">
        <v>2267</v>
      </c>
      <c r="C1871" s="149" t="s">
        <v>67</v>
      </c>
      <c r="D1871" s="143" t="s">
        <v>37</v>
      </c>
      <c r="E1871" s="142"/>
      <c r="F1871" s="142"/>
      <c r="H1871" s="607"/>
    </row>
    <row r="1872" spans="1:8" s="113" customFormat="1" x14ac:dyDescent="0.25">
      <c r="A1872" s="141">
        <v>46072</v>
      </c>
      <c r="B1872" s="142" t="s">
        <v>791</v>
      </c>
      <c r="C1872" s="143" t="s">
        <v>599</v>
      </c>
      <c r="D1872" s="143" t="s">
        <v>7</v>
      </c>
      <c r="E1872" s="142"/>
      <c r="F1872" s="142"/>
      <c r="G1872" s="607"/>
    </row>
    <row r="1873" spans="1:8" s="113" customFormat="1" ht="26.25" x14ac:dyDescent="0.25">
      <c r="A1873" s="141">
        <v>46194</v>
      </c>
      <c r="B1873" s="142" t="s">
        <v>2268</v>
      </c>
      <c r="C1873" s="143" t="s">
        <v>8</v>
      </c>
      <c r="D1873" s="143" t="s">
        <v>242</v>
      </c>
      <c r="E1873" s="142"/>
      <c r="F1873" s="142"/>
    </row>
    <row r="1874" spans="1:8" s="113" customFormat="1" ht="26.25" x14ac:dyDescent="0.25">
      <c r="A1874" s="141">
        <v>46212</v>
      </c>
      <c r="B1874" s="144" t="s">
        <v>1429</v>
      </c>
      <c r="C1874" s="143" t="s">
        <v>144</v>
      </c>
      <c r="D1874" s="143" t="s">
        <v>173</v>
      </c>
      <c r="E1874" s="142"/>
      <c r="F1874" s="142"/>
    </row>
    <row r="1875" spans="1:8" s="113" customFormat="1" ht="26.25" x14ac:dyDescent="0.25">
      <c r="A1875" s="141">
        <v>46336</v>
      </c>
      <c r="B1875" s="142" t="s">
        <v>792</v>
      </c>
      <c r="C1875" s="143" t="s">
        <v>36</v>
      </c>
      <c r="D1875" s="146" t="s">
        <v>1635</v>
      </c>
      <c r="E1875" s="142"/>
      <c r="F1875" s="142"/>
    </row>
    <row r="1876" spans="1:8" s="113" customFormat="1" x14ac:dyDescent="0.25">
      <c r="A1876" s="141">
        <v>46349</v>
      </c>
      <c r="B1876" s="142" t="s">
        <v>793</v>
      </c>
      <c r="C1876" s="143" t="s">
        <v>63</v>
      </c>
      <c r="D1876" s="143" t="s">
        <v>794</v>
      </c>
      <c r="E1876" s="142"/>
      <c r="F1876" s="142"/>
      <c r="G1876" s="608"/>
    </row>
    <row r="1877" spans="1:8" s="113" customFormat="1" x14ac:dyDescent="0.25">
      <c r="A1877" s="261">
        <v>46438</v>
      </c>
      <c r="B1877" s="188" t="s">
        <v>2598</v>
      </c>
      <c r="C1877" s="606"/>
      <c r="D1877" s="606"/>
      <c r="E1877" s="606"/>
      <c r="F1877" s="187"/>
    </row>
    <row r="1878" spans="1:8" s="113" customFormat="1" x14ac:dyDescent="0.25">
      <c r="A1878" s="187">
        <v>46464</v>
      </c>
      <c r="B1878" s="188" t="s">
        <v>2772</v>
      </c>
      <c r="C1878" s="146" t="s">
        <v>9</v>
      </c>
      <c r="D1878" s="148" t="s">
        <v>154</v>
      </c>
      <c r="E1878" s="606"/>
      <c r="F1878" s="606"/>
    </row>
    <row r="1879" spans="1:8" s="113" customFormat="1" x14ac:dyDescent="0.25">
      <c r="A1879" s="187">
        <v>46464</v>
      </c>
      <c r="B1879" s="188" t="s">
        <v>2772</v>
      </c>
      <c r="C1879" s="146" t="s">
        <v>9</v>
      </c>
      <c r="D1879" s="148" t="s">
        <v>154</v>
      </c>
      <c r="E1879" s="606"/>
      <c r="F1879" s="606"/>
    </row>
    <row r="1880" spans="1:8" s="113" customFormat="1" ht="26.25" x14ac:dyDescent="0.25">
      <c r="A1880" s="141">
        <v>46490</v>
      </c>
      <c r="B1880" s="142" t="s">
        <v>795</v>
      </c>
      <c r="C1880" s="143" t="s">
        <v>8</v>
      </c>
      <c r="D1880" s="143" t="s">
        <v>3192</v>
      </c>
      <c r="E1880" s="250"/>
      <c r="F1880" s="250"/>
    </row>
    <row r="1881" spans="1:8" s="113" customFormat="1" ht="26.25" x14ac:dyDescent="0.25">
      <c r="A1881" s="141">
        <v>46533</v>
      </c>
      <c r="B1881" s="142" t="s">
        <v>2269</v>
      </c>
      <c r="C1881" s="143" t="s">
        <v>3039</v>
      </c>
      <c r="D1881" s="143" t="s">
        <v>242</v>
      </c>
      <c r="E1881" s="142"/>
      <c r="F1881" s="142"/>
      <c r="G1881" s="226"/>
    </row>
    <row r="1882" spans="1:8" s="113" customFormat="1" x14ac:dyDescent="0.25">
      <c r="A1882" s="247">
        <v>46638</v>
      </c>
      <c r="B1882" s="250" t="s">
        <v>1546</v>
      </c>
      <c r="C1882" s="143" t="s">
        <v>36</v>
      </c>
      <c r="D1882" s="143" t="s">
        <v>7</v>
      </c>
      <c r="E1882" s="142"/>
      <c r="F1882" s="142"/>
      <c r="H1882" s="607"/>
    </row>
    <row r="1883" spans="1:8" s="113" customFormat="1" ht="26.25" x14ac:dyDescent="0.25">
      <c r="A1883" s="141">
        <v>46746</v>
      </c>
      <c r="B1883" s="142" t="s">
        <v>796</v>
      </c>
      <c r="C1883" s="143" t="s">
        <v>3039</v>
      </c>
      <c r="D1883" s="260" t="s">
        <v>150</v>
      </c>
      <c r="E1883" s="250"/>
      <c r="F1883" s="250"/>
    </row>
    <row r="1884" spans="1:8" s="113" customFormat="1" x14ac:dyDescent="0.25">
      <c r="A1884" s="141">
        <v>46783</v>
      </c>
      <c r="B1884" s="142" t="s">
        <v>2270</v>
      </c>
      <c r="C1884" s="143" t="s">
        <v>63</v>
      </c>
      <c r="D1884" s="143" t="s">
        <v>7</v>
      </c>
      <c r="E1884" s="142"/>
      <c r="F1884" s="142"/>
      <c r="G1884" s="607"/>
      <c r="H1884" s="607"/>
    </row>
    <row r="1885" spans="1:8" s="113" customFormat="1" ht="26.25" x14ac:dyDescent="0.25">
      <c r="A1885" s="187">
        <v>46830</v>
      </c>
      <c r="B1885" s="188" t="s">
        <v>2869</v>
      </c>
      <c r="C1885" s="146" t="s">
        <v>4</v>
      </c>
      <c r="D1885" s="148" t="s">
        <v>1290</v>
      </c>
      <c r="E1885" s="606"/>
      <c r="F1885" s="606"/>
    </row>
    <row r="1886" spans="1:8" s="113" customFormat="1" ht="26.25" x14ac:dyDescent="0.25">
      <c r="A1886" s="195">
        <v>46830</v>
      </c>
      <c r="B1886" s="188" t="s">
        <v>2869</v>
      </c>
      <c r="C1886" s="146" t="s">
        <v>4</v>
      </c>
      <c r="D1886" s="146" t="s">
        <v>1290</v>
      </c>
      <c r="E1886" s="606"/>
      <c r="F1886" s="187"/>
    </row>
    <row r="1887" spans="1:8" s="113" customFormat="1" x14ac:dyDescent="0.25">
      <c r="A1887" s="141">
        <v>46936</v>
      </c>
      <c r="B1887" s="142" t="s">
        <v>798</v>
      </c>
      <c r="C1887" s="143" t="s">
        <v>10</v>
      </c>
      <c r="D1887" s="143" t="s">
        <v>7</v>
      </c>
      <c r="E1887" s="142"/>
      <c r="F1887" s="142"/>
      <c r="G1887" s="226"/>
    </row>
    <row r="1888" spans="1:8" s="113" customFormat="1" ht="26.25" x14ac:dyDescent="0.25">
      <c r="A1888" s="141">
        <v>46967</v>
      </c>
      <c r="B1888" s="142" t="s">
        <v>2271</v>
      </c>
      <c r="C1888" s="143" t="s">
        <v>16</v>
      </c>
      <c r="D1888" s="143" t="s">
        <v>7</v>
      </c>
      <c r="E1888" s="142"/>
      <c r="F1888" s="142"/>
    </row>
    <row r="1889" spans="1:7" s="113" customFormat="1" ht="26.25" x14ac:dyDescent="0.25">
      <c r="A1889" s="141">
        <v>47013</v>
      </c>
      <c r="B1889" s="142" t="s">
        <v>2272</v>
      </c>
      <c r="C1889" s="143" t="s">
        <v>1173</v>
      </c>
      <c r="D1889" s="143" t="s">
        <v>7</v>
      </c>
      <c r="E1889" s="142"/>
      <c r="F1889" s="142"/>
    </row>
    <row r="1890" spans="1:7" s="113" customFormat="1" ht="26.25" x14ac:dyDescent="0.25">
      <c r="A1890" s="141">
        <v>47016</v>
      </c>
      <c r="B1890" s="142" t="s">
        <v>1362</v>
      </c>
      <c r="C1890" s="143" t="s">
        <v>1173</v>
      </c>
      <c r="D1890" s="143" t="s">
        <v>11</v>
      </c>
      <c r="E1890" s="142"/>
      <c r="F1890" s="142"/>
    </row>
    <row r="1891" spans="1:7" s="113" customFormat="1" x14ac:dyDescent="0.25">
      <c r="A1891" s="141">
        <v>47097</v>
      </c>
      <c r="B1891" s="142" t="s">
        <v>1427</v>
      </c>
      <c r="C1891" s="143" t="s">
        <v>63</v>
      </c>
      <c r="D1891" s="143" t="s">
        <v>116</v>
      </c>
      <c r="E1891" s="142"/>
      <c r="F1891" s="142"/>
      <c r="G1891" s="226"/>
    </row>
    <row r="1892" spans="1:7" s="113" customFormat="1" x14ac:dyDescent="0.25">
      <c r="A1892" s="141">
        <v>47142</v>
      </c>
      <c r="B1892" s="142" t="s">
        <v>799</v>
      </c>
      <c r="C1892" s="143" t="s">
        <v>63</v>
      </c>
      <c r="D1892" s="148" t="s">
        <v>154</v>
      </c>
      <c r="E1892" s="144"/>
      <c r="F1892" s="142"/>
    </row>
    <row r="1893" spans="1:7" s="113" customFormat="1" ht="26.25" x14ac:dyDescent="0.25">
      <c r="A1893" s="156">
        <v>47222</v>
      </c>
      <c r="B1893" s="157" t="s">
        <v>800</v>
      </c>
      <c r="C1893" s="143" t="s">
        <v>3</v>
      </c>
      <c r="D1893" s="143" t="s">
        <v>242</v>
      </c>
      <c r="E1893" s="142"/>
      <c r="F1893" s="142"/>
    </row>
    <row r="1894" spans="1:7" s="113" customFormat="1" x14ac:dyDescent="0.25">
      <c r="A1894" s="141">
        <v>47238</v>
      </c>
      <c r="B1894" s="142" t="s">
        <v>801</v>
      </c>
      <c r="C1894" s="143" t="s">
        <v>9</v>
      </c>
      <c r="D1894" s="158" t="s">
        <v>154</v>
      </c>
      <c r="E1894" s="142"/>
      <c r="F1894" s="142"/>
    </row>
    <row r="1895" spans="1:7" s="113" customFormat="1" x14ac:dyDescent="0.25">
      <c r="A1895" s="245">
        <v>47311</v>
      </c>
      <c r="B1895" s="246" t="s">
        <v>2653</v>
      </c>
      <c r="C1895" s="246" t="s">
        <v>32</v>
      </c>
      <c r="D1895" s="246" t="s">
        <v>154</v>
      </c>
      <c r="E1895" s="246"/>
      <c r="F1895" s="246"/>
    </row>
    <row r="1896" spans="1:7" s="113" customFormat="1" x14ac:dyDescent="0.25">
      <c r="A1896" s="190">
        <v>47311</v>
      </c>
      <c r="B1896" s="606" t="s">
        <v>2653</v>
      </c>
      <c r="C1896" s="606" t="s">
        <v>32</v>
      </c>
      <c r="D1896" s="606" t="s">
        <v>154</v>
      </c>
      <c r="E1896" s="606"/>
      <c r="F1896" s="606"/>
    </row>
    <row r="1897" spans="1:7" s="113" customFormat="1" ht="39" x14ac:dyDescent="0.25">
      <c r="A1897" s="141">
        <v>47336</v>
      </c>
      <c r="B1897" s="142" t="s">
        <v>2273</v>
      </c>
      <c r="C1897" s="143" t="s">
        <v>2274</v>
      </c>
      <c r="D1897" s="143" t="s">
        <v>2274</v>
      </c>
      <c r="E1897" s="142"/>
      <c r="F1897" s="142"/>
    </row>
    <row r="1898" spans="1:7" s="113" customFormat="1" x14ac:dyDescent="0.25">
      <c r="A1898" s="141">
        <v>47410</v>
      </c>
      <c r="B1898" s="142" t="s">
        <v>2275</v>
      </c>
      <c r="C1898" s="143" t="s">
        <v>63</v>
      </c>
      <c r="D1898" s="143" t="s">
        <v>154</v>
      </c>
      <c r="E1898" s="142"/>
      <c r="F1898" s="142"/>
    </row>
    <row r="1899" spans="1:7" s="113" customFormat="1" x14ac:dyDescent="0.25">
      <c r="A1899" s="141">
        <v>47528</v>
      </c>
      <c r="B1899" s="144" t="s">
        <v>802</v>
      </c>
      <c r="C1899" s="143" t="s">
        <v>24</v>
      </c>
      <c r="D1899" s="143" t="s">
        <v>37</v>
      </c>
      <c r="E1899" s="142"/>
      <c r="F1899" s="142"/>
    </row>
    <row r="1900" spans="1:7" s="113" customFormat="1" x14ac:dyDescent="0.25">
      <c r="A1900" s="141">
        <v>47532</v>
      </c>
      <c r="B1900" s="142" t="s">
        <v>803</v>
      </c>
      <c r="C1900" s="143" t="s">
        <v>63</v>
      </c>
      <c r="D1900" s="146" t="s">
        <v>124</v>
      </c>
      <c r="E1900" s="142"/>
      <c r="F1900" s="142"/>
    </row>
    <row r="1901" spans="1:7" s="113" customFormat="1" x14ac:dyDescent="0.25">
      <c r="A1901" s="141">
        <v>47596</v>
      </c>
      <c r="B1901" s="142" t="s">
        <v>2276</v>
      </c>
      <c r="C1901" s="143" t="s">
        <v>63</v>
      </c>
      <c r="D1901" s="148" t="s">
        <v>154</v>
      </c>
      <c r="E1901" s="144"/>
      <c r="F1901" s="142"/>
    </row>
    <row r="1902" spans="1:7" s="113" customFormat="1" x14ac:dyDescent="0.25">
      <c r="A1902" s="141">
        <v>47692</v>
      </c>
      <c r="B1902" s="142" t="s">
        <v>804</v>
      </c>
      <c r="C1902" s="143" t="s">
        <v>32</v>
      </c>
      <c r="D1902" s="143" t="s">
        <v>7</v>
      </c>
      <c r="E1902" s="142"/>
      <c r="F1902" s="142"/>
    </row>
    <row r="1903" spans="1:7" s="113" customFormat="1" ht="26.25" x14ac:dyDescent="0.25">
      <c r="A1903" s="156">
        <v>47828</v>
      </c>
      <c r="B1903" s="157" t="s">
        <v>805</v>
      </c>
      <c r="C1903" s="143" t="s">
        <v>5</v>
      </c>
      <c r="D1903" s="143" t="s">
        <v>11</v>
      </c>
      <c r="E1903" s="142"/>
      <c r="F1903" s="142"/>
    </row>
    <row r="1904" spans="1:7" s="113" customFormat="1" ht="26.25" x14ac:dyDescent="0.25">
      <c r="A1904" s="141">
        <v>47839</v>
      </c>
      <c r="B1904" s="144" t="s">
        <v>806</v>
      </c>
      <c r="C1904" s="143" t="s">
        <v>4</v>
      </c>
      <c r="D1904" s="143" t="s">
        <v>1164</v>
      </c>
      <c r="E1904" s="142"/>
      <c r="F1904" s="142"/>
      <c r="G1904" s="607"/>
    </row>
    <row r="1905" spans="1:7" s="113" customFormat="1" x14ac:dyDescent="0.25">
      <c r="A1905" s="187">
        <v>47874</v>
      </c>
      <c r="B1905" s="187" t="s">
        <v>3305</v>
      </c>
      <c r="C1905" s="187" t="s">
        <v>41</v>
      </c>
      <c r="D1905" s="187" t="s">
        <v>11</v>
      </c>
      <c r="E1905" s="187"/>
      <c r="F1905" s="187"/>
      <c r="G1905" s="226"/>
    </row>
    <row r="1906" spans="1:7" s="113" customFormat="1" x14ac:dyDescent="0.25">
      <c r="A1906" s="141">
        <v>47925</v>
      </c>
      <c r="B1906" s="142" t="s">
        <v>2277</v>
      </c>
      <c r="C1906" s="143" t="s">
        <v>3045</v>
      </c>
      <c r="D1906" s="146" t="s">
        <v>154</v>
      </c>
      <c r="E1906" s="142"/>
      <c r="F1906" s="142"/>
    </row>
    <row r="1907" spans="1:7" s="113" customFormat="1" x14ac:dyDescent="0.25">
      <c r="A1907" s="141">
        <v>48010</v>
      </c>
      <c r="B1907" s="142" t="s">
        <v>807</v>
      </c>
      <c r="C1907" s="143" t="s">
        <v>53</v>
      </c>
      <c r="D1907" s="143" t="s">
        <v>242</v>
      </c>
      <c r="E1907" s="142"/>
      <c r="F1907" s="142"/>
      <c r="G1907" s="194"/>
    </row>
    <row r="1908" spans="1:7" s="113" customFormat="1" ht="26.25" x14ac:dyDescent="0.25">
      <c r="A1908" s="141">
        <v>48148</v>
      </c>
      <c r="B1908" s="142" t="s">
        <v>808</v>
      </c>
      <c r="C1908" s="143" t="s">
        <v>65</v>
      </c>
      <c r="D1908" s="148" t="s">
        <v>154</v>
      </c>
      <c r="E1908" s="142"/>
      <c r="F1908" s="142"/>
    </row>
    <row r="1909" spans="1:7" s="113" customFormat="1" ht="26.25" x14ac:dyDescent="0.25">
      <c r="A1909" s="141">
        <v>48149</v>
      </c>
      <c r="B1909" s="142" t="s">
        <v>809</v>
      </c>
      <c r="C1909" s="143" t="s">
        <v>8</v>
      </c>
      <c r="D1909" s="143" t="s">
        <v>408</v>
      </c>
      <c r="E1909" s="142"/>
      <c r="F1909" s="142"/>
    </row>
    <row r="1910" spans="1:7" s="113" customFormat="1" ht="39" x14ac:dyDescent="0.25">
      <c r="A1910" s="141">
        <v>48186</v>
      </c>
      <c r="B1910" s="142" t="s">
        <v>810</v>
      </c>
      <c r="C1910" s="143" t="s">
        <v>2110</v>
      </c>
      <c r="D1910" s="143" t="s">
        <v>7</v>
      </c>
      <c r="E1910" s="142"/>
      <c r="F1910" s="142"/>
    </row>
    <row r="1911" spans="1:7" s="113" customFormat="1" x14ac:dyDescent="0.25">
      <c r="A1911" s="141">
        <v>48228</v>
      </c>
      <c r="B1911" s="142" t="s">
        <v>812</v>
      </c>
      <c r="C1911" s="143" t="s">
        <v>140</v>
      </c>
      <c r="D1911" s="143" t="s">
        <v>11</v>
      </c>
      <c r="E1911" s="142"/>
      <c r="F1911" s="142"/>
    </row>
    <row r="1912" spans="1:7" s="113" customFormat="1" ht="26.25" x14ac:dyDescent="0.25">
      <c r="A1912" s="141">
        <v>48427</v>
      </c>
      <c r="B1912" s="142" t="s">
        <v>3557</v>
      </c>
      <c r="C1912" s="143" t="s">
        <v>1478</v>
      </c>
      <c r="D1912" s="143" t="s">
        <v>173</v>
      </c>
      <c r="E1912" s="142"/>
      <c r="F1912" s="142"/>
    </row>
    <row r="1913" spans="1:7" s="113" customFormat="1" x14ac:dyDescent="0.25">
      <c r="A1913" s="187">
        <v>48482</v>
      </c>
      <c r="B1913" s="187" t="s">
        <v>3591</v>
      </c>
      <c r="C1913" s="187" t="s">
        <v>4</v>
      </c>
      <c r="D1913" s="187" t="s">
        <v>1164</v>
      </c>
      <c r="E1913" s="187"/>
      <c r="F1913" s="187"/>
    </row>
    <row r="1914" spans="1:7" s="113" customFormat="1" ht="26.25" x14ac:dyDescent="0.25">
      <c r="A1914" s="141">
        <v>48490</v>
      </c>
      <c r="B1914" s="142" t="s">
        <v>813</v>
      </c>
      <c r="C1914" s="143" t="s">
        <v>9</v>
      </c>
      <c r="D1914" s="143" t="s">
        <v>1589</v>
      </c>
      <c r="E1914" s="142"/>
      <c r="F1914" s="142"/>
    </row>
    <row r="1915" spans="1:7" s="113" customFormat="1" x14ac:dyDescent="0.25">
      <c r="A1915" s="141">
        <v>48512</v>
      </c>
      <c r="B1915" s="142" t="s">
        <v>814</v>
      </c>
      <c r="C1915" s="143" t="s">
        <v>9</v>
      </c>
      <c r="D1915" s="143" t="s">
        <v>1105</v>
      </c>
      <c r="E1915" s="142"/>
      <c r="F1915" s="142"/>
      <c r="G1915" s="607"/>
    </row>
    <row r="1916" spans="1:7" s="113" customFormat="1" x14ac:dyDescent="0.25">
      <c r="A1916" s="141">
        <v>48529</v>
      </c>
      <c r="B1916" s="142" t="s">
        <v>2278</v>
      </c>
      <c r="C1916" s="143" t="s">
        <v>63</v>
      </c>
      <c r="D1916" s="143" t="s">
        <v>794</v>
      </c>
      <c r="E1916" s="142"/>
      <c r="F1916" s="142"/>
    </row>
    <row r="1917" spans="1:7" s="113" customFormat="1" x14ac:dyDescent="0.25">
      <c r="A1917" s="141">
        <v>48534</v>
      </c>
      <c r="B1917" s="142" t="s">
        <v>2279</v>
      </c>
      <c r="C1917" s="143" t="s">
        <v>9</v>
      </c>
      <c r="D1917" s="143" t="s">
        <v>11</v>
      </c>
      <c r="E1917" s="142"/>
      <c r="F1917" s="142"/>
      <c r="G1917" s="226"/>
    </row>
    <row r="1918" spans="1:7" s="113" customFormat="1" ht="26.25" x14ac:dyDescent="0.25">
      <c r="A1918" s="141">
        <v>48536</v>
      </c>
      <c r="B1918" s="142" t="s">
        <v>1224</v>
      </c>
      <c r="C1918" s="143" t="s">
        <v>914</v>
      </c>
      <c r="D1918" s="143" t="s">
        <v>7</v>
      </c>
      <c r="E1918" s="142"/>
      <c r="F1918" s="142"/>
    </row>
    <row r="1919" spans="1:7" s="113" customFormat="1" x14ac:dyDescent="0.25">
      <c r="A1919" s="141">
        <v>48732</v>
      </c>
      <c r="B1919" s="142" t="s">
        <v>815</v>
      </c>
      <c r="C1919" s="143" t="s">
        <v>63</v>
      </c>
      <c r="D1919" s="148" t="s">
        <v>11</v>
      </c>
      <c r="E1919" s="144"/>
      <c r="F1919" s="250"/>
    </row>
    <row r="1920" spans="1:7" s="113" customFormat="1" x14ac:dyDescent="0.25">
      <c r="A1920" s="247">
        <v>48765</v>
      </c>
      <c r="B1920" s="250" t="s">
        <v>1410</v>
      </c>
      <c r="C1920" s="143" t="s">
        <v>9</v>
      </c>
      <c r="D1920" s="143" t="s">
        <v>1105</v>
      </c>
      <c r="E1920" s="142"/>
      <c r="F1920" s="142"/>
    </row>
    <row r="1921" spans="1:7" s="113" customFormat="1" ht="26.25" x14ac:dyDescent="0.25">
      <c r="A1921" s="141">
        <v>48767</v>
      </c>
      <c r="B1921" s="142" t="s">
        <v>816</v>
      </c>
      <c r="C1921" s="143" t="s">
        <v>49</v>
      </c>
      <c r="D1921" s="260" t="s">
        <v>150</v>
      </c>
      <c r="E1921" s="250"/>
      <c r="F1921" s="250"/>
    </row>
    <row r="1922" spans="1:7" s="113" customFormat="1" x14ac:dyDescent="0.25">
      <c r="A1922" s="141">
        <v>48768</v>
      </c>
      <c r="B1922" s="142" t="s">
        <v>817</v>
      </c>
      <c r="C1922" s="143" t="s">
        <v>47</v>
      </c>
      <c r="D1922" s="143" t="s">
        <v>56</v>
      </c>
      <c r="E1922" s="142"/>
      <c r="F1922" s="142"/>
    </row>
    <row r="1923" spans="1:7" s="113" customFormat="1" ht="26.25" x14ac:dyDescent="0.25">
      <c r="A1923" s="141">
        <v>48804</v>
      </c>
      <c r="B1923" s="142" t="s">
        <v>818</v>
      </c>
      <c r="C1923" s="143" t="s">
        <v>27</v>
      </c>
      <c r="D1923" s="143" t="s">
        <v>7</v>
      </c>
      <c r="E1923" s="142"/>
      <c r="F1923" s="142"/>
    </row>
    <row r="1924" spans="1:7" s="113" customFormat="1" x14ac:dyDescent="0.25">
      <c r="A1924" s="141">
        <v>48807</v>
      </c>
      <c r="B1924" s="142" t="s">
        <v>2280</v>
      </c>
      <c r="C1924" s="143" t="s">
        <v>32</v>
      </c>
      <c r="D1924" s="143" t="s">
        <v>7</v>
      </c>
      <c r="E1924" s="142"/>
      <c r="F1924" s="142"/>
    </row>
    <row r="1925" spans="1:7" s="113" customFormat="1" ht="26.25" x14ac:dyDescent="0.25">
      <c r="A1925" s="141">
        <v>48842</v>
      </c>
      <c r="B1925" s="142" t="s">
        <v>2281</v>
      </c>
      <c r="C1925" s="143" t="s">
        <v>27</v>
      </c>
      <c r="D1925" s="143" t="s">
        <v>11</v>
      </c>
      <c r="E1925" s="142"/>
      <c r="F1925" s="142"/>
      <c r="G1925" s="226"/>
    </row>
    <row r="1926" spans="1:7" s="113" customFormat="1" ht="26.25" x14ac:dyDescent="0.25">
      <c r="A1926" s="141">
        <v>48848</v>
      </c>
      <c r="B1926" s="142" t="s">
        <v>2282</v>
      </c>
      <c r="C1926" s="143" t="s">
        <v>9</v>
      </c>
      <c r="D1926" s="143" t="s">
        <v>1635</v>
      </c>
      <c r="E1926" s="142"/>
      <c r="F1926" s="142"/>
    </row>
    <row r="1927" spans="1:7" s="113" customFormat="1" x14ac:dyDescent="0.25">
      <c r="A1927" s="141">
        <v>48863</v>
      </c>
      <c r="B1927" s="142" t="s">
        <v>819</v>
      </c>
      <c r="C1927" s="143" t="s">
        <v>32</v>
      </c>
      <c r="D1927" s="143" t="s">
        <v>7</v>
      </c>
      <c r="E1927" s="142"/>
      <c r="F1927" s="142"/>
    </row>
    <row r="1928" spans="1:7" s="113" customFormat="1" x14ac:dyDescent="0.25">
      <c r="A1928" s="245">
        <v>48978</v>
      </c>
      <c r="B1928" s="246" t="s">
        <v>2652</v>
      </c>
      <c r="C1928" s="246" t="s">
        <v>10</v>
      </c>
      <c r="D1928" s="246" t="s">
        <v>11</v>
      </c>
      <c r="E1928" s="246"/>
      <c r="F1928" s="246"/>
    </row>
    <row r="1929" spans="1:7" s="113" customFormat="1" x14ac:dyDescent="0.25">
      <c r="A1929" s="187">
        <v>48978</v>
      </c>
      <c r="B1929" s="188" t="s">
        <v>2652</v>
      </c>
      <c r="C1929" s="146" t="s">
        <v>10</v>
      </c>
      <c r="D1929" s="187" t="s">
        <v>11</v>
      </c>
      <c r="E1929" s="606"/>
      <c r="F1929" s="606"/>
    </row>
    <row r="1930" spans="1:7" s="113" customFormat="1" ht="26.25" x14ac:dyDescent="0.25">
      <c r="A1930" s="141">
        <v>49021</v>
      </c>
      <c r="B1930" s="142" t="s">
        <v>2283</v>
      </c>
      <c r="C1930" s="143" t="s">
        <v>27</v>
      </c>
      <c r="D1930" s="143" t="s">
        <v>154</v>
      </c>
      <c r="E1930" s="142"/>
      <c r="F1930" s="142"/>
    </row>
    <row r="1931" spans="1:7" s="113" customFormat="1" x14ac:dyDescent="0.25">
      <c r="A1931" s="187">
        <v>49157</v>
      </c>
      <c r="B1931" s="187" t="s">
        <v>3406</v>
      </c>
      <c r="C1931" s="187" t="s">
        <v>3407</v>
      </c>
      <c r="D1931" s="187" t="s">
        <v>7</v>
      </c>
      <c r="E1931" s="187"/>
      <c r="F1931" s="187"/>
    </row>
    <row r="1932" spans="1:7" s="113" customFormat="1" x14ac:dyDescent="0.25">
      <c r="A1932" s="187">
        <v>49157</v>
      </c>
      <c r="B1932" s="187" t="s">
        <v>3406</v>
      </c>
      <c r="C1932" s="187" t="s">
        <v>32</v>
      </c>
      <c r="D1932" s="187" t="s">
        <v>7</v>
      </c>
      <c r="E1932" s="187"/>
      <c r="F1932" s="187"/>
    </row>
    <row r="1933" spans="1:7" s="113" customFormat="1" ht="26.25" x14ac:dyDescent="0.25">
      <c r="A1933" s="141">
        <v>49189</v>
      </c>
      <c r="B1933" s="142" t="s">
        <v>2284</v>
      </c>
      <c r="C1933" s="143" t="s">
        <v>1173</v>
      </c>
      <c r="D1933" s="148" t="s">
        <v>154</v>
      </c>
      <c r="E1933" s="142"/>
      <c r="F1933" s="142"/>
    </row>
    <row r="1934" spans="1:7" s="113" customFormat="1" ht="26.25" x14ac:dyDescent="0.25">
      <c r="A1934" s="141">
        <v>49222</v>
      </c>
      <c r="B1934" s="142" t="s">
        <v>2285</v>
      </c>
      <c r="C1934" s="143" t="s">
        <v>16</v>
      </c>
      <c r="D1934" s="143" t="s">
        <v>154</v>
      </c>
      <c r="E1934" s="142"/>
      <c r="F1934" s="142"/>
    </row>
    <row r="1935" spans="1:7" s="113" customFormat="1" ht="26.25" x14ac:dyDescent="0.25">
      <c r="A1935" s="247">
        <v>49234</v>
      </c>
      <c r="B1935" s="250" t="s">
        <v>1424</v>
      </c>
      <c r="C1935" s="143" t="s">
        <v>16</v>
      </c>
      <c r="D1935" s="143" t="s">
        <v>302</v>
      </c>
      <c r="E1935" s="142"/>
      <c r="F1935" s="142"/>
      <c r="G1935" s="226"/>
    </row>
    <row r="1936" spans="1:7" s="113" customFormat="1" x14ac:dyDescent="0.25">
      <c r="A1936" s="141">
        <v>49474</v>
      </c>
      <c r="B1936" s="142" t="s">
        <v>2286</v>
      </c>
      <c r="C1936" s="143" t="s">
        <v>32</v>
      </c>
      <c r="D1936" s="260" t="s">
        <v>154</v>
      </c>
      <c r="E1936" s="250"/>
      <c r="F1936" s="250"/>
    </row>
    <row r="1937" spans="1:7" s="113" customFormat="1" x14ac:dyDescent="0.25">
      <c r="A1937" s="190">
        <v>49484</v>
      </c>
      <c r="B1937" s="188" t="s">
        <v>2568</v>
      </c>
      <c r="C1937" s="187" t="s">
        <v>2569</v>
      </c>
      <c r="D1937" s="244" t="s">
        <v>302</v>
      </c>
      <c r="E1937" s="187"/>
      <c r="F1937" s="187"/>
    </row>
    <row r="1938" spans="1:7" s="113" customFormat="1" x14ac:dyDescent="0.25">
      <c r="A1938" s="141">
        <v>49659</v>
      </c>
      <c r="B1938" s="142" t="s">
        <v>2287</v>
      </c>
      <c r="C1938" s="143" t="s">
        <v>63</v>
      </c>
      <c r="D1938" s="143" t="s">
        <v>7</v>
      </c>
      <c r="E1938" s="142"/>
      <c r="F1938" s="142"/>
    </row>
    <row r="1939" spans="1:7" s="113" customFormat="1" x14ac:dyDescent="0.25">
      <c r="A1939" s="141">
        <v>50877</v>
      </c>
      <c r="B1939" s="142" t="s">
        <v>820</v>
      </c>
      <c r="C1939" s="143" t="s">
        <v>63</v>
      </c>
      <c r="D1939" s="143" t="s">
        <v>154</v>
      </c>
      <c r="E1939" s="142"/>
      <c r="F1939" s="142"/>
    </row>
    <row r="1940" spans="1:7" s="113" customFormat="1" x14ac:dyDescent="0.25">
      <c r="A1940" s="141">
        <v>51037</v>
      </c>
      <c r="B1940" s="142" t="s">
        <v>821</v>
      </c>
      <c r="C1940" s="143" t="s">
        <v>63</v>
      </c>
      <c r="D1940" s="143" t="s">
        <v>1164</v>
      </c>
      <c r="E1940" s="142"/>
      <c r="F1940" s="142"/>
    </row>
    <row r="1941" spans="1:7" s="113" customFormat="1" x14ac:dyDescent="0.25">
      <c r="A1941" s="195">
        <v>51075</v>
      </c>
      <c r="B1941" s="187" t="s">
        <v>3051</v>
      </c>
      <c r="C1941" s="187" t="s">
        <v>63</v>
      </c>
      <c r="D1941" s="146" t="s">
        <v>2841</v>
      </c>
      <c r="E1941" s="189"/>
      <c r="F1941" s="187"/>
    </row>
    <row r="1942" spans="1:7" s="113" customFormat="1" x14ac:dyDescent="0.25">
      <c r="A1942" s="190">
        <v>51111</v>
      </c>
      <c r="B1942" s="606" t="s">
        <v>2953</v>
      </c>
      <c r="C1942" s="606" t="s">
        <v>63</v>
      </c>
      <c r="D1942" s="606" t="s">
        <v>154</v>
      </c>
      <c r="E1942" s="189"/>
      <c r="F1942" s="606"/>
    </row>
    <row r="1943" spans="1:7" s="113" customFormat="1" x14ac:dyDescent="0.25">
      <c r="A1943" s="190">
        <v>51111</v>
      </c>
      <c r="B1943" s="606" t="s">
        <v>2953</v>
      </c>
      <c r="C1943" s="606" t="s">
        <v>63</v>
      </c>
      <c r="D1943" s="606" t="s">
        <v>154</v>
      </c>
      <c r="E1943" s="606"/>
      <c r="F1943" s="606"/>
    </row>
    <row r="1944" spans="1:7" s="113" customFormat="1" x14ac:dyDescent="0.25">
      <c r="A1944" s="195">
        <v>51111</v>
      </c>
      <c r="B1944" s="187" t="s">
        <v>2953</v>
      </c>
      <c r="C1944" s="187" t="s">
        <v>63</v>
      </c>
      <c r="D1944" s="146" t="s">
        <v>154</v>
      </c>
      <c r="E1944" s="606"/>
      <c r="F1944" s="187"/>
    </row>
    <row r="1945" spans="1:7" s="113" customFormat="1" x14ac:dyDescent="0.25">
      <c r="A1945" s="245">
        <v>51118</v>
      </c>
      <c r="B1945" s="246" t="s">
        <v>2703</v>
      </c>
      <c r="C1945" s="246" t="s">
        <v>63</v>
      </c>
      <c r="D1945" s="246" t="s">
        <v>1164</v>
      </c>
      <c r="E1945" s="246"/>
      <c r="F1945" s="246"/>
    </row>
    <row r="1946" spans="1:7" s="113" customFormat="1" x14ac:dyDescent="0.25">
      <c r="A1946" s="190">
        <v>51119</v>
      </c>
      <c r="B1946" s="606" t="s">
        <v>2780</v>
      </c>
      <c r="C1946" s="606" t="s">
        <v>63</v>
      </c>
      <c r="D1946" s="606" t="s">
        <v>325</v>
      </c>
      <c r="E1946" s="606"/>
      <c r="F1946" s="606"/>
    </row>
    <row r="1947" spans="1:7" s="113" customFormat="1" x14ac:dyDescent="0.25">
      <c r="A1947" s="190">
        <v>51119</v>
      </c>
      <c r="B1947" s="188" t="s">
        <v>2780</v>
      </c>
      <c r="C1947" s="606" t="s">
        <v>63</v>
      </c>
      <c r="D1947" s="606" t="s">
        <v>325</v>
      </c>
      <c r="E1947" s="606"/>
      <c r="F1947" s="606"/>
    </row>
    <row r="1948" spans="1:7" s="113" customFormat="1" x14ac:dyDescent="0.25">
      <c r="A1948" s="195">
        <v>51119</v>
      </c>
      <c r="B1948" s="188" t="s">
        <v>2780</v>
      </c>
      <c r="C1948" s="146" t="s">
        <v>63</v>
      </c>
      <c r="D1948" s="146" t="s">
        <v>325</v>
      </c>
      <c r="E1948" s="606"/>
      <c r="F1948" s="606"/>
    </row>
    <row r="1949" spans="1:7" s="113" customFormat="1" x14ac:dyDescent="0.25">
      <c r="A1949" s="187">
        <v>51122</v>
      </c>
      <c r="B1949" s="188" t="s">
        <v>2725</v>
      </c>
      <c r="C1949" s="146" t="s">
        <v>63</v>
      </c>
      <c r="D1949" s="148" t="s">
        <v>242</v>
      </c>
      <c r="E1949" s="606"/>
      <c r="F1949" s="606"/>
      <c r="G1949" s="226"/>
    </row>
    <row r="1950" spans="1:7" s="113" customFormat="1" x14ac:dyDescent="0.25">
      <c r="A1950" s="141">
        <v>51158</v>
      </c>
      <c r="B1950" s="142" t="s">
        <v>2288</v>
      </c>
      <c r="C1950" s="149" t="s">
        <v>67</v>
      </c>
      <c r="D1950" s="143" t="s">
        <v>154</v>
      </c>
      <c r="E1950" s="142"/>
      <c r="F1950" s="142"/>
    </row>
    <row r="1951" spans="1:7" s="113" customFormat="1" ht="26.25" x14ac:dyDescent="0.25">
      <c r="A1951" s="141">
        <v>51330</v>
      </c>
      <c r="B1951" s="142" t="s">
        <v>3520</v>
      </c>
      <c r="C1951" s="143" t="s">
        <v>22</v>
      </c>
      <c r="D1951" s="143" t="s">
        <v>501</v>
      </c>
      <c r="E1951" s="142"/>
      <c r="F1951" s="142"/>
    </row>
    <row r="1952" spans="1:7" s="113" customFormat="1" ht="26.25" x14ac:dyDescent="0.25">
      <c r="A1952" s="141">
        <v>51436</v>
      </c>
      <c r="B1952" s="142" t="s">
        <v>2289</v>
      </c>
      <c r="C1952" s="143" t="s">
        <v>20</v>
      </c>
      <c r="D1952" s="143" t="s">
        <v>302</v>
      </c>
      <c r="E1952" s="142"/>
      <c r="F1952" s="142"/>
    </row>
    <row r="1953" spans="1:7" s="113" customFormat="1" x14ac:dyDescent="0.25">
      <c r="A1953" s="141">
        <v>51442</v>
      </c>
      <c r="B1953" s="142" t="s">
        <v>2290</v>
      </c>
      <c r="C1953" s="143" t="s">
        <v>64</v>
      </c>
      <c r="D1953" s="143" t="s">
        <v>504</v>
      </c>
      <c r="E1953" s="142"/>
      <c r="F1953" s="142"/>
    </row>
    <row r="1954" spans="1:7" s="113" customFormat="1" x14ac:dyDescent="0.25">
      <c r="A1954" s="190">
        <v>52195</v>
      </c>
      <c r="B1954" s="606" t="s">
        <v>2928</v>
      </c>
      <c r="C1954" s="606" t="s">
        <v>6</v>
      </c>
      <c r="D1954" s="606" t="s">
        <v>242</v>
      </c>
      <c r="E1954" s="606"/>
      <c r="F1954" s="606"/>
    </row>
    <row r="1955" spans="1:7" s="113" customFormat="1" ht="26.25" x14ac:dyDescent="0.25">
      <c r="A1955" s="141">
        <v>52685</v>
      </c>
      <c r="B1955" s="142" t="s">
        <v>2291</v>
      </c>
      <c r="C1955" s="143" t="s">
        <v>22</v>
      </c>
      <c r="D1955" s="143" t="s">
        <v>11</v>
      </c>
      <c r="E1955" s="142"/>
      <c r="F1955" s="142"/>
    </row>
    <row r="1956" spans="1:7" s="113" customFormat="1" ht="24.75" customHeight="1" x14ac:dyDescent="0.25">
      <c r="A1956" s="141">
        <v>52731</v>
      </c>
      <c r="B1956" s="142" t="s">
        <v>822</v>
      </c>
      <c r="C1956" s="143" t="s">
        <v>914</v>
      </c>
      <c r="D1956" s="143" t="s">
        <v>154</v>
      </c>
      <c r="E1956" s="142"/>
      <c r="F1956" s="142"/>
    </row>
    <row r="1957" spans="1:7" s="113" customFormat="1" x14ac:dyDescent="0.25">
      <c r="A1957" s="141">
        <v>53240</v>
      </c>
      <c r="B1957" s="142" t="s">
        <v>2292</v>
      </c>
      <c r="C1957" s="143" t="s">
        <v>24</v>
      </c>
      <c r="D1957" s="143" t="s">
        <v>37</v>
      </c>
      <c r="E1957" s="142"/>
      <c r="F1957" s="142"/>
    </row>
    <row r="1958" spans="1:7" s="113" customFormat="1" x14ac:dyDescent="0.25">
      <c r="A1958" s="141">
        <v>54158</v>
      </c>
      <c r="B1958" s="142" t="s">
        <v>2293</v>
      </c>
      <c r="C1958" s="143" t="s">
        <v>24</v>
      </c>
      <c r="D1958" s="143" t="s">
        <v>37</v>
      </c>
      <c r="E1958" s="142"/>
      <c r="F1958" s="142"/>
    </row>
    <row r="1959" spans="1:7" s="113" customFormat="1" x14ac:dyDescent="0.25">
      <c r="A1959" s="190">
        <v>55206</v>
      </c>
      <c r="B1959" s="606" t="s">
        <v>3365</v>
      </c>
      <c r="C1959" s="606" t="s">
        <v>41</v>
      </c>
      <c r="D1959" s="606" t="s">
        <v>154</v>
      </c>
      <c r="E1959" s="606"/>
      <c r="F1959" s="606"/>
    </row>
    <row r="1960" spans="1:7" s="113" customFormat="1" x14ac:dyDescent="0.25">
      <c r="A1960" s="141">
        <v>55380</v>
      </c>
      <c r="B1960" s="142" t="s">
        <v>2294</v>
      </c>
      <c r="C1960" s="143" t="s">
        <v>64</v>
      </c>
      <c r="D1960" s="148" t="s">
        <v>45</v>
      </c>
      <c r="E1960" s="144"/>
      <c r="F1960" s="142"/>
    </row>
    <row r="1961" spans="1:7" s="113" customFormat="1" ht="26.25" x14ac:dyDescent="0.25">
      <c r="A1961" s="141">
        <v>55408</v>
      </c>
      <c r="B1961" s="142" t="s">
        <v>2295</v>
      </c>
      <c r="C1961" s="143" t="s">
        <v>417</v>
      </c>
      <c r="D1961" s="143" t="s">
        <v>116</v>
      </c>
      <c r="E1961" s="142"/>
      <c r="F1961" s="142"/>
    </row>
    <row r="1962" spans="1:7" s="113" customFormat="1" x14ac:dyDescent="0.25">
      <c r="A1962" s="141">
        <v>55415</v>
      </c>
      <c r="B1962" s="142" t="s">
        <v>2296</v>
      </c>
      <c r="C1962" s="143" t="s">
        <v>47</v>
      </c>
      <c r="D1962" s="143" t="s">
        <v>7</v>
      </c>
      <c r="E1962" s="142"/>
      <c r="F1962" s="142"/>
    </row>
    <row r="1963" spans="1:7" s="113" customFormat="1" x14ac:dyDescent="0.25">
      <c r="A1963" s="141">
        <v>55443</v>
      </c>
      <c r="B1963" s="142" t="s">
        <v>823</v>
      </c>
      <c r="C1963" s="143" t="s">
        <v>17</v>
      </c>
      <c r="D1963" s="143" t="s">
        <v>242</v>
      </c>
      <c r="E1963" s="142"/>
      <c r="F1963" s="142"/>
    </row>
    <row r="1964" spans="1:7" s="113" customFormat="1" x14ac:dyDescent="0.25">
      <c r="A1964" s="129">
        <v>55514</v>
      </c>
      <c r="B1964" s="606" t="s">
        <v>3145</v>
      </c>
      <c r="C1964" s="606" t="s">
        <v>6</v>
      </c>
      <c r="D1964" s="606" t="s">
        <v>242</v>
      </c>
      <c r="E1964" s="606"/>
      <c r="F1964" s="606"/>
    </row>
    <row r="1965" spans="1:7" s="113" customFormat="1" x14ac:dyDescent="0.25">
      <c r="A1965" s="190">
        <v>55514</v>
      </c>
      <c r="B1965" s="606" t="s">
        <v>3145</v>
      </c>
      <c r="C1965" s="606" t="s">
        <v>6</v>
      </c>
      <c r="D1965" s="606" t="s">
        <v>242</v>
      </c>
      <c r="E1965" s="606"/>
      <c r="F1965" s="606"/>
      <c r="G1965" s="276"/>
    </row>
    <row r="1966" spans="1:7" s="113" customFormat="1" ht="26.25" x14ac:dyDescent="0.25">
      <c r="A1966" s="141">
        <v>55522</v>
      </c>
      <c r="B1966" s="142" t="s">
        <v>824</v>
      </c>
      <c r="C1966" s="143" t="s">
        <v>157</v>
      </c>
      <c r="D1966" s="143" t="s">
        <v>143</v>
      </c>
      <c r="E1966" s="142"/>
      <c r="F1966" s="142"/>
    </row>
    <row r="1967" spans="1:7" s="113" customFormat="1" x14ac:dyDescent="0.25">
      <c r="A1967" s="141">
        <v>55832</v>
      </c>
      <c r="B1967" s="142" t="s">
        <v>825</v>
      </c>
      <c r="C1967" s="143" t="s">
        <v>140</v>
      </c>
      <c r="D1967" s="143" t="s">
        <v>148</v>
      </c>
      <c r="E1967" s="142"/>
      <c r="F1967" s="142"/>
    </row>
    <row r="1968" spans="1:7" s="113" customFormat="1" x14ac:dyDescent="0.25">
      <c r="A1968" s="247">
        <v>55861</v>
      </c>
      <c r="B1968" s="250" t="s">
        <v>1547</v>
      </c>
      <c r="C1968" s="143" t="s">
        <v>44</v>
      </c>
      <c r="D1968" s="143" t="s">
        <v>453</v>
      </c>
      <c r="E1968" s="142"/>
      <c r="F1968" s="142"/>
    </row>
    <row r="1969" spans="1:8" s="113" customFormat="1" ht="26.25" x14ac:dyDescent="0.25">
      <c r="A1969" s="141">
        <v>55949</v>
      </c>
      <c r="B1969" s="142" t="s">
        <v>1473</v>
      </c>
      <c r="C1969" s="143" t="s">
        <v>8</v>
      </c>
      <c r="D1969" s="260" t="s">
        <v>11</v>
      </c>
      <c r="E1969" s="250"/>
      <c r="F1969" s="250"/>
    </row>
    <row r="1970" spans="1:8" s="113" customFormat="1" x14ac:dyDescent="0.25">
      <c r="A1970" s="141">
        <v>55995</v>
      </c>
      <c r="B1970" s="142" t="s">
        <v>826</v>
      </c>
      <c r="C1970" s="143" t="s">
        <v>140</v>
      </c>
      <c r="D1970" s="143" t="s">
        <v>109</v>
      </c>
      <c r="E1970" s="250"/>
      <c r="F1970" s="250"/>
    </row>
    <row r="1971" spans="1:8" s="113" customFormat="1" x14ac:dyDescent="0.25">
      <c r="A1971" s="141">
        <v>56031</v>
      </c>
      <c r="B1971" s="142" t="s">
        <v>2297</v>
      </c>
      <c r="C1971" s="143" t="s">
        <v>41</v>
      </c>
      <c r="D1971" s="143" t="s">
        <v>116</v>
      </c>
      <c r="E1971" s="142"/>
      <c r="F1971" s="142"/>
    </row>
    <row r="1972" spans="1:8" s="113" customFormat="1" x14ac:dyDescent="0.25">
      <c r="A1972" s="141">
        <v>56155</v>
      </c>
      <c r="B1972" s="142" t="s">
        <v>827</v>
      </c>
      <c r="C1972" s="143" t="s">
        <v>64</v>
      </c>
      <c r="D1972" s="143" t="s">
        <v>228</v>
      </c>
      <c r="E1972" s="142"/>
      <c r="F1972" s="142"/>
    </row>
    <row r="1973" spans="1:8" s="113" customFormat="1" ht="26.25" x14ac:dyDescent="0.25">
      <c r="A1973" s="141">
        <v>56375</v>
      </c>
      <c r="B1973" s="142" t="s">
        <v>828</v>
      </c>
      <c r="C1973" s="143" t="s">
        <v>22</v>
      </c>
      <c r="D1973" s="143" t="s">
        <v>302</v>
      </c>
      <c r="E1973" s="142"/>
      <c r="F1973" s="142"/>
    </row>
    <row r="1974" spans="1:8" s="113" customFormat="1" x14ac:dyDescent="0.25">
      <c r="A1974" s="195">
        <v>56530</v>
      </c>
      <c r="B1974" s="187" t="s">
        <v>3112</v>
      </c>
      <c r="C1974" s="187" t="s">
        <v>140</v>
      </c>
      <c r="D1974" s="146" t="s">
        <v>109</v>
      </c>
      <c r="E1974" s="606"/>
      <c r="F1974" s="187"/>
    </row>
    <row r="1975" spans="1:8" s="113" customFormat="1" ht="26.25" x14ac:dyDescent="0.25">
      <c r="A1975" s="141">
        <v>56531</v>
      </c>
      <c r="B1975" s="142" t="s">
        <v>829</v>
      </c>
      <c r="C1975" s="143" t="s">
        <v>3</v>
      </c>
      <c r="D1975" s="143" t="s">
        <v>154</v>
      </c>
      <c r="E1975" s="142"/>
      <c r="F1975" s="142"/>
    </row>
    <row r="1976" spans="1:8" s="113" customFormat="1" ht="26.25" x14ac:dyDescent="0.25">
      <c r="A1976" s="141">
        <v>57099</v>
      </c>
      <c r="B1976" s="142" t="s">
        <v>2298</v>
      </c>
      <c r="C1976" s="143" t="s">
        <v>144</v>
      </c>
      <c r="D1976" s="143" t="s">
        <v>171</v>
      </c>
      <c r="E1976" s="142"/>
      <c r="F1976" s="142"/>
    </row>
    <row r="1977" spans="1:8" s="113" customFormat="1" ht="26.25" x14ac:dyDescent="0.25">
      <c r="A1977" s="195">
        <v>57121</v>
      </c>
      <c r="B1977" s="188" t="s">
        <v>2919</v>
      </c>
      <c r="C1977" s="146" t="s">
        <v>8</v>
      </c>
      <c r="D1977" s="146" t="s">
        <v>242</v>
      </c>
      <c r="E1977" s="606"/>
      <c r="F1977" s="187"/>
      <c r="G1977" s="607"/>
      <c r="H1977" s="607"/>
    </row>
    <row r="1978" spans="1:8" s="113" customFormat="1" ht="26.25" x14ac:dyDescent="0.25">
      <c r="A1978" s="247">
        <v>57288</v>
      </c>
      <c r="B1978" s="265" t="s">
        <v>1523</v>
      </c>
      <c r="C1978" s="289" t="s">
        <v>27</v>
      </c>
      <c r="D1978" s="145" t="s">
        <v>45</v>
      </c>
      <c r="E1978" s="126"/>
      <c r="F1978" s="265"/>
    </row>
    <row r="1979" spans="1:8" s="113" customFormat="1" x14ac:dyDescent="0.25">
      <c r="A1979" s="195">
        <v>57565</v>
      </c>
      <c r="B1979" s="187" t="s">
        <v>3123</v>
      </c>
      <c r="C1979" s="187" t="s">
        <v>1455</v>
      </c>
      <c r="D1979" s="146" t="s">
        <v>415</v>
      </c>
      <c r="E1979" s="606"/>
      <c r="F1979" s="187"/>
    </row>
    <row r="1980" spans="1:8" s="113" customFormat="1" x14ac:dyDescent="0.25">
      <c r="A1980" s="141">
        <v>57596</v>
      </c>
      <c r="B1980" s="142" t="s">
        <v>2907</v>
      </c>
      <c r="C1980" s="143" t="s">
        <v>17</v>
      </c>
      <c r="D1980" s="148" t="s">
        <v>242</v>
      </c>
      <c r="E1980" s="144"/>
      <c r="F1980" s="142"/>
    </row>
    <row r="1981" spans="1:8" s="113" customFormat="1" x14ac:dyDescent="0.25">
      <c r="A1981" s="301">
        <v>57631</v>
      </c>
      <c r="B1981" s="608" t="s">
        <v>3342</v>
      </c>
      <c r="C1981" s="608" t="s">
        <v>1590</v>
      </c>
      <c r="D1981" s="608" t="s">
        <v>242</v>
      </c>
      <c r="E1981" s="608"/>
      <c r="F1981" s="608"/>
    </row>
    <row r="1982" spans="1:8" s="113" customFormat="1" ht="26.25" x14ac:dyDescent="0.25">
      <c r="A1982" s="141">
        <v>57642</v>
      </c>
      <c r="B1982" s="142" t="s">
        <v>2299</v>
      </c>
      <c r="C1982" s="143" t="s">
        <v>3</v>
      </c>
      <c r="D1982" s="143" t="s">
        <v>242</v>
      </c>
      <c r="E1982" s="142"/>
      <c r="F1982" s="142"/>
    </row>
    <row r="1983" spans="1:8" s="113" customFormat="1" x14ac:dyDescent="0.25">
      <c r="A1983" s="195">
        <v>57657</v>
      </c>
      <c r="B1983" s="187" t="s">
        <v>3117</v>
      </c>
      <c r="C1983" s="187" t="s">
        <v>157</v>
      </c>
      <c r="D1983" s="146" t="s">
        <v>2841</v>
      </c>
      <c r="E1983" s="606"/>
      <c r="F1983" s="187"/>
    </row>
    <row r="1984" spans="1:8" s="113" customFormat="1" ht="26.25" x14ac:dyDescent="0.25">
      <c r="A1984" s="141">
        <v>57694</v>
      </c>
      <c r="B1984" s="142" t="s">
        <v>830</v>
      </c>
      <c r="C1984" s="143" t="s">
        <v>3</v>
      </c>
      <c r="D1984" s="143" t="s">
        <v>242</v>
      </c>
      <c r="E1984" s="142"/>
      <c r="F1984" s="142"/>
    </row>
    <row r="1985" spans="1:6" s="113" customFormat="1" x14ac:dyDescent="0.25">
      <c r="A1985" s="141">
        <v>57716</v>
      </c>
      <c r="B1985" s="142" t="s">
        <v>831</v>
      </c>
      <c r="C1985" s="143" t="s">
        <v>53</v>
      </c>
      <c r="D1985" s="143" t="s">
        <v>2300</v>
      </c>
      <c r="E1985" s="142"/>
      <c r="F1985" s="142"/>
    </row>
    <row r="1986" spans="1:6" s="113" customFormat="1" ht="26.25" x14ac:dyDescent="0.25">
      <c r="A1986" s="141">
        <v>57877</v>
      </c>
      <c r="B1986" s="142" t="s">
        <v>1169</v>
      </c>
      <c r="C1986" s="143" t="s">
        <v>27</v>
      </c>
      <c r="D1986" s="143" t="s">
        <v>154</v>
      </c>
      <c r="E1986" s="142"/>
      <c r="F1986" s="142"/>
    </row>
    <row r="1987" spans="1:6" s="113" customFormat="1" x14ac:dyDescent="0.25">
      <c r="A1987" s="141">
        <v>58084</v>
      </c>
      <c r="B1987" s="142" t="s">
        <v>2301</v>
      </c>
      <c r="C1987" s="143" t="s">
        <v>9</v>
      </c>
      <c r="D1987" s="143" t="s">
        <v>811</v>
      </c>
      <c r="E1987" s="142"/>
      <c r="F1987" s="142"/>
    </row>
    <row r="1988" spans="1:6" s="113" customFormat="1" x14ac:dyDescent="0.25">
      <c r="A1988" s="141">
        <v>58164</v>
      </c>
      <c r="B1988" s="142" t="s">
        <v>3444</v>
      </c>
      <c r="C1988" s="143" t="s">
        <v>17</v>
      </c>
      <c r="D1988" s="143" t="s">
        <v>68</v>
      </c>
      <c r="E1988" s="142"/>
      <c r="F1988" s="142"/>
    </row>
    <row r="1989" spans="1:6" s="113" customFormat="1" x14ac:dyDescent="0.25">
      <c r="A1989" s="187">
        <v>58217</v>
      </c>
      <c r="B1989" s="187" t="s">
        <v>3577</v>
      </c>
      <c r="C1989" s="187" t="s">
        <v>144</v>
      </c>
      <c r="D1989" s="187" t="s">
        <v>173</v>
      </c>
      <c r="E1989" s="187"/>
      <c r="F1989" s="187"/>
    </row>
    <row r="1990" spans="1:6" s="113" customFormat="1" x14ac:dyDescent="0.25">
      <c r="A1990" s="141">
        <v>58287</v>
      </c>
      <c r="B1990" s="142" t="s">
        <v>2302</v>
      </c>
      <c r="C1990" s="143" t="s">
        <v>167</v>
      </c>
      <c r="D1990" s="143" t="s">
        <v>173</v>
      </c>
      <c r="E1990" s="142"/>
      <c r="F1990" s="142"/>
    </row>
    <row r="1991" spans="1:6" s="113" customFormat="1" x14ac:dyDescent="0.25">
      <c r="A1991" s="141">
        <v>58304</v>
      </c>
      <c r="B1991" s="142" t="s">
        <v>833</v>
      </c>
      <c r="C1991" s="143" t="s">
        <v>9</v>
      </c>
      <c r="D1991" s="143" t="s">
        <v>1105</v>
      </c>
      <c r="E1991" s="142"/>
      <c r="F1991" s="142"/>
    </row>
    <row r="1992" spans="1:6" s="113" customFormat="1" ht="26.25" x14ac:dyDescent="0.25">
      <c r="A1992" s="141">
        <v>58329</v>
      </c>
      <c r="B1992" s="142" t="s">
        <v>1503</v>
      </c>
      <c r="C1992" s="143" t="s">
        <v>65</v>
      </c>
      <c r="D1992" s="143" t="s">
        <v>302</v>
      </c>
      <c r="E1992" s="142"/>
      <c r="F1992" s="142"/>
    </row>
    <row r="1993" spans="1:6" s="113" customFormat="1" ht="39" x14ac:dyDescent="0.25">
      <c r="A1993" s="141">
        <v>58341</v>
      </c>
      <c r="B1993" s="142" t="s">
        <v>834</v>
      </c>
      <c r="C1993" s="143" t="s">
        <v>2110</v>
      </c>
      <c r="D1993" s="143" t="s">
        <v>1696</v>
      </c>
      <c r="E1993" s="142"/>
      <c r="F1993" s="142"/>
    </row>
    <row r="1994" spans="1:6" s="113" customFormat="1" ht="26.25" x14ac:dyDescent="0.25">
      <c r="A1994" s="141">
        <v>58451</v>
      </c>
      <c r="B1994" s="142" t="s">
        <v>835</v>
      </c>
      <c r="C1994" s="143" t="s">
        <v>8</v>
      </c>
      <c r="D1994" s="143" t="s">
        <v>242</v>
      </c>
      <c r="E1994" s="142"/>
      <c r="F1994" s="142"/>
    </row>
    <row r="1995" spans="1:6" s="113" customFormat="1" ht="39" x14ac:dyDescent="0.25">
      <c r="A1995" s="247">
        <v>58454</v>
      </c>
      <c r="B1995" s="250" t="s">
        <v>1282</v>
      </c>
      <c r="C1995" s="143" t="s">
        <v>1590</v>
      </c>
      <c r="D1995" s="143" t="s">
        <v>154</v>
      </c>
      <c r="E1995" s="142"/>
      <c r="F1995" s="142"/>
    </row>
    <row r="1996" spans="1:6" s="113" customFormat="1" x14ac:dyDescent="0.25">
      <c r="A1996" s="190">
        <v>58461</v>
      </c>
      <c r="B1996" s="187" t="s">
        <v>2637</v>
      </c>
      <c r="C1996" s="187" t="s">
        <v>41</v>
      </c>
      <c r="D1996" s="606" t="s">
        <v>154</v>
      </c>
      <c r="E1996" s="606"/>
      <c r="F1996" s="606"/>
    </row>
    <row r="1997" spans="1:6" s="113" customFormat="1" x14ac:dyDescent="0.25">
      <c r="A1997" s="190">
        <v>58469</v>
      </c>
      <c r="B1997" s="188" t="s">
        <v>2663</v>
      </c>
      <c r="C1997" s="606" t="s">
        <v>140</v>
      </c>
      <c r="D1997" s="606" t="s">
        <v>109</v>
      </c>
      <c r="E1997" s="606"/>
      <c r="F1997" s="606"/>
    </row>
    <row r="1998" spans="1:6" s="113" customFormat="1" x14ac:dyDescent="0.25">
      <c r="A1998" s="141">
        <v>58474</v>
      </c>
      <c r="B1998" s="142" t="s">
        <v>2303</v>
      </c>
      <c r="C1998" s="143" t="s">
        <v>17</v>
      </c>
      <c r="D1998" s="143" t="s">
        <v>11</v>
      </c>
      <c r="E1998" s="250"/>
      <c r="F1998" s="250"/>
    </row>
    <row r="1999" spans="1:6" s="113" customFormat="1" x14ac:dyDescent="0.25">
      <c r="A1999" s="141">
        <v>58501</v>
      </c>
      <c r="B1999" s="142" t="s">
        <v>3499</v>
      </c>
      <c r="C1999" s="143" t="s">
        <v>9</v>
      </c>
      <c r="D1999" s="143" t="s">
        <v>116</v>
      </c>
      <c r="E1999" s="142"/>
      <c r="F1999" s="142"/>
    </row>
    <row r="2000" spans="1:6" s="113" customFormat="1" ht="26.25" x14ac:dyDescent="0.25">
      <c r="A2000" s="141">
        <v>58516</v>
      </c>
      <c r="B2000" s="142" t="s">
        <v>836</v>
      </c>
      <c r="C2000" s="143" t="s">
        <v>144</v>
      </c>
      <c r="D2000" s="143" t="s">
        <v>173</v>
      </c>
      <c r="E2000" s="142"/>
      <c r="F2000" s="142"/>
    </row>
    <row r="2001" spans="1:8" s="113" customFormat="1" x14ac:dyDescent="0.25">
      <c r="A2001" s="141">
        <v>58534</v>
      </c>
      <c r="B2001" s="142" t="s">
        <v>2304</v>
      </c>
      <c r="C2001" s="143" t="s">
        <v>9</v>
      </c>
      <c r="D2001" s="143" t="s">
        <v>1105</v>
      </c>
      <c r="E2001" s="142"/>
      <c r="F2001" s="142"/>
    </row>
    <row r="2002" spans="1:8" s="113" customFormat="1" x14ac:dyDescent="0.25">
      <c r="A2002" s="141">
        <v>58549</v>
      </c>
      <c r="B2002" s="142" t="s">
        <v>837</v>
      </c>
      <c r="C2002" s="143" t="s">
        <v>17</v>
      </c>
      <c r="D2002" s="143" t="s">
        <v>154</v>
      </c>
      <c r="E2002" s="142"/>
      <c r="F2002" s="142"/>
    </row>
    <row r="2003" spans="1:8" s="113" customFormat="1" x14ac:dyDescent="0.25">
      <c r="A2003" s="190">
        <v>58657</v>
      </c>
      <c r="B2003" s="187" t="s">
        <v>2826</v>
      </c>
      <c r="C2003" s="187" t="s">
        <v>2569</v>
      </c>
      <c r="D2003" s="606" t="s">
        <v>302</v>
      </c>
      <c r="E2003" s="606"/>
      <c r="F2003" s="606"/>
    </row>
    <row r="2004" spans="1:8" s="113" customFormat="1" x14ac:dyDescent="0.25">
      <c r="A2004" s="195">
        <v>58657</v>
      </c>
      <c r="B2004" s="188" t="s">
        <v>2826</v>
      </c>
      <c r="C2004" s="606"/>
      <c r="D2004" s="606"/>
      <c r="E2004" s="606"/>
      <c r="F2004" s="187"/>
    </row>
    <row r="2005" spans="1:8" s="113" customFormat="1" x14ac:dyDescent="0.25">
      <c r="A2005" s="187">
        <v>58744</v>
      </c>
      <c r="B2005" s="187" t="s">
        <v>2674</v>
      </c>
      <c r="C2005" s="187" t="s">
        <v>27</v>
      </c>
      <c r="D2005" s="244" t="s">
        <v>116</v>
      </c>
      <c r="E2005" s="606"/>
      <c r="F2005" s="187"/>
      <c r="G2005" s="607"/>
      <c r="H2005" s="607"/>
    </row>
    <row r="2006" spans="1:8" s="113" customFormat="1" x14ac:dyDescent="0.25">
      <c r="A2006" s="195">
        <v>58985</v>
      </c>
      <c r="B2006" s="187" t="s">
        <v>3552</v>
      </c>
      <c r="C2006" s="187" t="s">
        <v>2812</v>
      </c>
      <c r="D2006" s="146" t="s">
        <v>109</v>
      </c>
      <c r="E2006" s="606"/>
      <c r="F2006" s="187"/>
    </row>
    <row r="2007" spans="1:8" s="113" customFormat="1" x14ac:dyDescent="0.25">
      <c r="A2007" s="141">
        <v>59117</v>
      </c>
      <c r="B2007" s="142" t="s">
        <v>838</v>
      </c>
      <c r="C2007" s="143" t="s">
        <v>41</v>
      </c>
      <c r="D2007" s="143" t="s">
        <v>154</v>
      </c>
      <c r="E2007" s="142"/>
      <c r="F2007" s="142"/>
    </row>
    <row r="2008" spans="1:8" s="113" customFormat="1" ht="26.25" x14ac:dyDescent="0.25">
      <c r="A2008" s="141">
        <v>59205</v>
      </c>
      <c r="B2008" s="142" t="s">
        <v>2305</v>
      </c>
      <c r="C2008" s="143" t="s">
        <v>914</v>
      </c>
      <c r="D2008" s="143" t="s">
        <v>154</v>
      </c>
      <c r="E2008" s="142"/>
      <c r="F2008" s="142"/>
    </row>
    <row r="2009" spans="1:8" s="113" customFormat="1" ht="26.25" x14ac:dyDescent="0.25">
      <c r="A2009" s="141">
        <v>59233</v>
      </c>
      <c r="B2009" s="142" t="s">
        <v>2306</v>
      </c>
      <c r="C2009" s="143" t="s">
        <v>27</v>
      </c>
      <c r="D2009" s="148" t="s">
        <v>7</v>
      </c>
      <c r="E2009" s="144"/>
      <c r="F2009" s="142"/>
      <c r="G2009" s="194"/>
      <c r="H2009" s="194"/>
    </row>
    <row r="2010" spans="1:8" s="113" customFormat="1" x14ac:dyDescent="0.25">
      <c r="A2010" s="141">
        <v>59246</v>
      </c>
      <c r="B2010" s="142" t="s">
        <v>839</v>
      </c>
      <c r="C2010" s="143" t="s">
        <v>90</v>
      </c>
      <c r="D2010" s="143" t="s">
        <v>7</v>
      </c>
      <c r="E2010" s="142"/>
      <c r="F2010" s="142"/>
    </row>
    <row r="2011" spans="1:8" s="113" customFormat="1" x14ac:dyDescent="0.25">
      <c r="A2011" s="141">
        <v>59566</v>
      </c>
      <c r="B2011" s="142" t="s">
        <v>2307</v>
      </c>
      <c r="C2011" s="143" t="s">
        <v>167</v>
      </c>
      <c r="D2011" s="143" t="s">
        <v>7</v>
      </c>
      <c r="E2011" s="142"/>
      <c r="F2011" s="142"/>
    </row>
    <row r="2012" spans="1:8" s="113" customFormat="1" x14ac:dyDescent="0.25">
      <c r="A2012" s="195">
        <v>59578</v>
      </c>
      <c r="B2012" s="187" t="s">
        <v>3132</v>
      </c>
      <c r="C2012" s="187" t="s">
        <v>17</v>
      </c>
      <c r="D2012" s="146" t="s">
        <v>242</v>
      </c>
      <c r="E2012" s="606"/>
      <c r="F2012" s="187"/>
    </row>
    <row r="2013" spans="1:8" s="113" customFormat="1" ht="26.25" x14ac:dyDescent="0.25">
      <c r="A2013" s="141">
        <v>59588</v>
      </c>
      <c r="B2013" s="142" t="s">
        <v>840</v>
      </c>
      <c r="C2013" s="143" t="s">
        <v>22</v>
      </c>
      <c r="D2013" s="143" t="s">
        <v>150</v>
      </c>
      <c r="E2013" s="142"/>
      <c r="F2013" s="142"/>
    </row>
    <row r="2014" spans="1:8" s="113" customFormat="1" ht="26.25" x14ac:dyDescent="0.25">
      <c r="A2014" s="156">
        <v>59594</v>
      </c>
      <c r="B2014" s="157" t="s">
        <v>841</v>
      </c>
      <c r="C2014" s="143" t="s">
        <v>27</v>
      </c>
      <c r="D2014" s="143" t="s">
        <v>242</v>
      </c>
      <c r="E2014" s="142"/>
      <c r="F2014" s="142"/>
    </row>
    <row r="2015" spans="1:8" s="113" customFormat="1" ht="26.25" x14ac:dyDescent="0.25">
      <c r="A2015" s="141">
        <v>59726</v>
      </c>
      <c r="B2015" s="142" t="s">
        <v>842</v>
      </c>
      <c r="C2015" s="143" t="s">
        <v>914</v>
      </c>
      <c r="D2015" s="158" t="s">
        <v>242</v>
      </c>
      <c r="E2015" s="142"/>
      <c r="F2015" s="142"/>
    </row>
    <row r="2016" spans="1:8" s="113" customFormat="1" ht="26.25" x14ac:dyDescent="0.25">
      <c r="A2016" s="141">
        <v>59839</v>
      </c>
      <c r="B2016" s="142" t="s">
        <v>843</v>
      </c>
      <c r="C2016" s="143" t="s">
        <v>8</v>
      </c>
      <c r="D2016" s="143" t="s">
        <v>242</v>
      </c>
      <c r="E2016" s="142"/>
      <c r="F2016" s="142"/>
    </row>
    <row r="2017" spans="1:6" s="113" customFormat="1" ht="26.25" x14ac:dyDescent="0.25">
      <c r="A2017" s="153">
        <v>59927</v>
      </c>
      <c r="B2017" s="154" t="s">
        <v>2308</v>
      </c>
      <c r="C2017" s="143" t="s">
        <v>27</v>
      </c>
      <c r="D2017" s="143" t="s">
        <v>242</v>
      </c>
      <c r="E2017" s="142"/>
      <c r="F2017" s="142"/>
    </row>
    <row r="2018" spans="1:6" s="113" customFormat="1" ht="26.25" x14ac:dyDescent="0.25">
      <c r="A2018" s="141">
        <v>60486</v>
      </c>
      <c r="B2018" s="142" t="s">
        <v>2309</v>
      </c>
      <c r="C2018" s="143" t="s">
        <v>8</v>
      </c>
      <c r="D2018" s="143" t="s">
        <v>150</v>
      </c>
      <c r="E2018" s="142"/>
      <c r="F2018" s="142"/>
    </row>
    <row r="2019" spans="1:6" s="113" customFormat="1" x14ac:dyDescent="0.25">
      <c r="A2019" s="141">
        <v>60549</v>
      </c>
      <c r="B2019" s="142" t="s">
        <v>844</v>
      </c>
      <c r="C2019" s="143" t="s">
        <v>32</v>
      </c>
      <c r="D2019" s="143" t="s">
        <v>242</v>
      </c>
      <c r="E2019" s="142"/>
      <c r="F2019" s="142"/>
    </row>
    <row r="2020" spans="1:6" s="113" customFormat="1" x14ac:dyDescent="0.25">
      <c r="A2020" s="141">
        <v>60619</v>
      </c>
      <c r="B2020" s="142" t="s">
        <v>1170</v>
      </c>
      <c r="C2020" s="143" t="s">
        <v>10</v>
      </c>
      <c r="D2020" s="148" t="s">
        <v>154</v>
      </c>
      <c r="E2020" s="144"/>
      <c r="F2020" s="142"/>
    </row>
    <row r="2021" spans="1:6" s="113" customFormat="1" ht="26.25" x14ac:dyDescent="0.25">
      <c r="A2021" s="141">
        <v>60625</v>
      </c>
      <c r="B2021" s="142" t="s">
        <v>845</v>
      </c>
      <c r="C2021" s="143" t="s">
        <v>22</v>
      </c>
      <c r="D2021" s="143" t="s">
        <v>11</v>
      </c>
      <c r="E2021" s="142"/>
      <c r="F2021" s="142"/>
    </row>
    <row r="2022" spans="1:6" s="113" customFormat="1" x14ac:dyDescent="0.25">
      <c r="A2022" s="195">
        <v>60630</v>
      </c>
      <c r="B2022" s="606" t="s">
        <v>3249</v>
      </c>
      <c r="C2022" s="187" t="s">
        <v>17</v>
      </c>
      <c r="D2022" s="146" t="s">
        <v>154</v>
      </c>
      <c r="E2022" s="606"/>
      <c r="F2022" s="187"/>
    </row>
    <row r="2023" spans="1:6" s="113" customFormat="1" x14ac:dyDescent="0.25">
      <c r="A2023" s="195">
        <v>60634</v>
      </c>
      <c r="B2023" s="187" t="s">
        <v>3130</v>
      </c>
      <c r="C2023" s="187" t="s">
        <v>16</v>
      </c>
      <c r="D2023" s="146" t="s">
        <v>302</v>
      </c>
      <c r="E2023" s="606"/>
      <c r="F2023" s="187"/>
    </row>
    <row r="2024" spans="1:6" s="113" customFormat="1" x14ac:dyDescent="0.25">
      <c r="A2024" s="141">
        <v>60678</v>
      </c>
      <c r="B2024" s="142" t="s">
        <v>846</v>
      </c>
      <c r="C2024" s="143" t="s">
        <v>53</v>
      </c>
      <c r="D2024" s="143" t="s">
        <v>11</v>
      </c>
      <c r="E2024" s="142"/>
      <c r="F2024" s="142"/>
    </row>
    <row r="2025" spans="1:6" s="113" customFormat="1" x14ac:dyDescent="0.25">
      <c r="A2025" s="141">
        <v>60713</v>
      </c>
      <c r="B2025" s="142" t="s">
        <v>2310</v>
      </c>
      <c r="C2025" s="143" t="s">
        <v>53</v>
      </c>
      <c r="D2025" s="143" t="s">
        <v>242</v>
      </c>
      <c r="E2025" s="142"/>
      <c r="F2025" s="142"/>
    </row>
    <row r="2026" spans="1:6" s="113" customFormat="1" ht="26.25" x14ac:dyDescent="0.25">
      <c r="A2026" s="247">
        <v>61069</v>
      </c>
      <c r="B2026" s="250" t="s">
        <v>2311</v>
      </c>
      <c r="C2026" s="143" t="s">
        <v>20</v>
      </c>
      <c r="D2026" s="260" t="s">
        <v>116</v>
      </c>
      <c r="E2026" s="250"/>
      <c r="F2026" s="250"/>
    </row>
    <row r="2027" spans="1:6" s="113" customFormat="1" x14ac:dyDescent="0.25">
      <c r="A2027" s="141">
        <v>61584</v>
      </c>
      <c r="B2027" s="142" t="s">
        <v>2312</v>
      </c>
      <c r="C2027" s="143" t="s">
        <v>44</v>
      </c>
      <c r="D2027" s="143" t="s">
        <v>453</v>
      </c>
      <c r="E2027" s="142"/>
      <c r="F2027" s="142"/>
    </row>
    <row r="2028" spans="1:6" s="113" customFormat="1" x14ac:dyDescent="0.25">
      <c r="A2028" s="141">
        <v>61593</v>
      </c>
      <c r="B2028" s="142" t="s">
        <v>2313</v>
      </c>
      <c r="C2028" s="143" t="s">
        <v>41</v>
      </c>
      <c r="D2028" s="143" t="s">
        <v>154</v>
      </c>
      <c r="E2028" s="142"/>
      <c r="F2028" s="142"/>
    </row>
    <row r="2029" spans="1:6" s="113" customFormat="1" x14ac:dyDescent="0.25">
      <c r="A2029" s="141">
        <v>61625</v>
      </c>
      <c r="B2029" s="142" t="s">
        <v>847</v>
      </c>
      <c r="C2029" s="143" t="s">
        <v>167</v>
      </c>
      <c r="D2029" s="143" t="s">
        <v>109</v>
      </c>
      <c r="E2029" s="142"/>
      <c r="F2029" s="142"/>
    </row>
    <row r="2030" spans="1:6" s="113" customFormat="1" ht="26.25" x14ac:dyDescent="0.25">
      <c r="A2030" s="195">
        <v>61694</v>
      </c>
      <c r="B2030" s="188" t="s">
        <v>2967</v>
      </c>
      <c r="C2030" s="146" t="s">
        <v>1478</v>
      </c>
      <c r="D2030" s="146" t="s">
        <v>173</v>
      </c>
      <c r="E2030" s="606"/>
      <c r="F2030" s="187"/>
    </row>
    <row r="2031" spans="1:6" s="113" customFormat="1" x14ac:dyDescent="0.25">
      <c r="A2031" s="141">
        <v>61754</v>
      </c>
      <c r="B2031" s="142" t="s">
        <v>848</v>
      </c>
      <c r="C2031" s="143" t="s">
        <v>167</v>
      </c>
      <c r="D2031" s="143" t="s">
        <v>109</v>
      </c>
      <c r="E2031" s="142"/>
      <c r="F2031" s="142"/>
    </row>
    <row r="2032" spans="1:6" s="113" customFormat="1" x14ac:dyDescent="0.25">
      <c r="A2032" s="141">
        <v>61757</v>
      </c>
      <c r="B2032" s="142" t="s">
        <v>2314</v>
      </c>
      <c r="C2032" s="143" t="s">
        <v>64</v>
      </c>
      <c r="D2032" s="143" t="s">
        <v>2066</v>
      </c>
      <c r="E2032" s="142"/>
      <c r="F2032" s="142"/>
    </row>
    <row r="2033" spans="1:6" s="113" customFormat="1" ht="26.25" x14ac:dyDescent="0.25">
      <c r="A2033" s="141">
        <v>61815</v>
      </c>
      <c r="B2033" s="142" t="s">
        <v>1248</v>
      </c>
      <c r="C2033" s="143" t="s">
        <v>157</v>
      </c>
      <c r="D2033" s="143" t="s">
        <v>116</v>
      </c>
      <c r="E2033" s="142"/>
      <c r="F2033" s="142"/>
    </row>
    <row r="2034" spans="1:6" s="113" customFormat="1" x14ac:dyDescent="0.25">
      <c r="A2034" s="190">
        <v>61969</v>
      </c>
      <c r="B2034" s="606" t="s">
        <v>3397</v>
      </c>
      <c r="C2034" s="606" t="s">
        <v>16</v>
      </c>
      <c r="D2034" s="606" t="s">
        <v>154</v>
      </c>
      <c r="E2034" s="606"/>
      <c r="F2034" s="606"/>
    </row>
    <row r="2035" spans="1:6" s="113" customFormat="1" x14ac:dyDescent="0.25">
      <c r="A2035" s="141">
        <v>62026</v>
      </c>
      <c r="B2035" s="142" t="s">
        <v>1139</v>
      </c>
      <c r="C2035" s="143" t="s">
        <v>17</v>
      </c>
      <c r="D2035" s="143" t="s">
        <v>242</v>
      </c>
      <c r="E2035" s="142"/>
      <c r="F2035" s="142"/>
    </row>
    <row r="2036" spans="1:6" s="113" customFormat="1" x14ac:dyDescent="0.25">
      <c r="A2036" s="141">
        <v>62506</v>
      </c>
      <c r="B2036" s="142" t="s">
        <v>849</v>
      </c>
      <c r="C2036" s="143" t="s">
        <v>44</v>
      </c>
      <c r="D2036" s="143" t="s">
        <v>1131</v>
      </c>
      <c r="E2036" s="142"/>
      <c r="F2036" s="142"/>
    </row>
    <row r="2037" spans="1:6" s="113" customFormat="1" x14ac:dyDescent="0.25">
      <c r="A2037" s="141">
        <v>62596</v>
      </c>
      <c r="B2037" s="142" t="s">
        <v>2315</v>
      </c>
      <c r="C2037" s="143" t="s">
        <v>12</v>
      </c>
      <c r="D2037" s="143" t="s">
        <v>7</v>
      </c>
      <c r="E2037" s="142"/>
      <c r="F2037" s="142"/>
    </row>
    <row r="2038" spans="1:6" s="113" customFormat="1" x14ac:dyDescent="0.25">
      <c r="A2038" s="141">
        <v>62638</v>
      </c>
      <c r="B2038" s="142" t="s">
        <v>2316</v>
      </c>
      <c r="C2038" s="143" t="s">
        <v>9</v>
      </c>
      <c r="D2038" s="143" t="s">
        <v>1105</v>
      </c>
      <c r="E2038" s="142"/>
      <c r="F2038" s="142"/>
    </row>
    <row r="2039" spans="1:6" s="113" customFormat="1" ht="26.25" x14ac:dyDescent="0.25">
      <c r="A2039" s="141">
        <v>62964</v>
      </c>
      <c r="B2039" s="142" t="s">
        <v>850</v>
      </c>
      <c r="C2039" s="143" t="s">
        <v>49</v>
      </c>
      <c r="D2039" s="143" t="s">
        <v>150</v>
      </c>
      <c r="E2039" s="142"/>
      <c r="F2039" s="142"/>
    </row>
    <row r="2040" spans="1:6" s="113" customFormat="1" ht="26.25" x14ac:dyDescent="0.25">
      <c r="A2040" s="141">
        <v>63011</v>
      </c>
      <c r="B2040" s="142" t="s">
        <v>851</v>
      </c>
      <c r="C2040" s="143" t="s">
        <v>49</v>
      </c>
      <c r="D2040" s="143" t="s">
        <v>154</v>
      </c>
      <c r="E2040" s="142"/>
      <c r="F2040" s="142"/>
    </row>
    <row r="2041" spans="1:6" s="113" customFormat="1" ht="26.25" x14ac:dyDescent="0.25">
      <c r="A2041" s="187">
        <v>63029</v>
      </c>
      <c r="B2041" s="188" t="s">
        <v>2793</v>
      </c>
      <c r="C2041" s="146" t="s">
        <v>8</v>
      </c>
      <c r="D2041" s="148" t="s">
        <v>242</v>
      </c>
      <c r="E2041" s="606"/>
      <c r="F2041" s="606"/>
    </row>
    <row r="2042" spans="1:6" s="113" customFormat="1" ht="26.25" x14ac:dyDescent="0.25">
      <c r="A2042" s="141">
        <v>63132</v>
      </c>
      <c r="B2042" s="142" t="s">
        <v>1363</v>
      </c>
      <c r="C2042" s="143" t="s">
        <v>27</v>
      </c>
      <c r="D2042" s="143" t="s">
        <v>154</v>
      </c>
      <c r="E2042" s="142"/>
      <c r="F2042" s="142"/>
    </row>
    <row r="2043" spans="1:6" s="113" customFormat="1" ht="26.25" x14ac:dyDescent="0.25">
      <c r="A2043" s="141">
        <v>63153</v>
      </c>
      <c r="B2043" s="142" t="s">
        <v>2317</v>
      </c>
      <c r="C2043" s="143" t="s">
        <v>96</v>
      </c>
      <c r="D2043" s="143" t="s">
        <v>109</v>
      </c>
      <c r="E2043" s="142"/>
      <c r="F2043" s="142"/>
    </row>
    <row r="2044" spans="1:6" s="113" customFormat="1" ht="26.25" x14ac:dyDescent="0.25">
      <c r="A2044" s="141">
        <v>63214</v>
      </c>
      <c r="B2044" s="142" t="s">
        <v>852</v>
      </c>
      <c r="C2044" s="143" t="s">
        <v>16</v>
      </c>
      <c r="D2044" s="143" t="s">
        <v>302</v>
      </c>
      <c r="E2044" s="142"/>
      <c r="F2044" s="142"/>
    </row>
    <row r="2045" spans="1:6" s="113" customFormat="1" ht="26.25" x14ac:dyDescent="0.25">
      <c r="A2045" s="190">
        <v>63222</v>
      </c>
      <c r="B2045" s="188" t="s">
        <v>2505</v>
      </c>
      <c r="C2045" s="146" t="s">
        <v>2781</v>
      </c>
      <c r="D2045" s="148" t="s">
        <v>154</v>
      </c>
      <c r="E2045" s="606"/>
      <c r="F2045" s="187"/>
    </row>
    <row r="2046" spans="1:6" s="113" customFormat="1" x14ac:dyDescent="0.25">
      <c r="A2046" s="187">
        <v>63246</v>
      </c>
      <c r="B2046" s="187" t="s">
        <v>3654</v>
      </c>
      <c r="C2046" s="187" t="s">
        <v>3</v>
      </c>
      <c r="D2046" s="146" t="s">
        <v>242</v>
      </c>
      <c r="E2046" s="606"/>
      <c r="F2046" s="187"/>
    </row>
    <row r="2047" spans="1:6" s="113" customFormat="1" ht="39" x14ac:dyDescent="0.25">
      <c r="A2047" s="141">
        <v>63253</v>
      </c>
      <c r="B2047" s="142" t="s">
        <v>853</v>
      </c>
      <c r="C2047" s="143" t="s">
        <v>1590</v>
      </c>
      <c r="D2047" s="143" t="s">
        <v>854</v>
      </c>
      <c r="E2047" s="142"/>
      <c r="F2047" s="142"/>
    </row>
    <row r="2048" spans="1:6" s="113" customFormat="1" x14ac:dyDescent="0.25">
      <c r="A2048" s="195">
        <v>63264</v>
      </c>
      <c r="B2048" s="188" t="s">
        <v>2879</v>
      </c>
      <c r="C2048" s="146" t="s">
        <v>140</v>
      </c>
      <c r="D2048" s="146" t="s">
        <v>109</v>
      </c>
      <c r="E2048" s="606"/>
      <c r="F2048" s="187"/>
    </row>
    <row r="2049" spans="1:6" s="113" customFormat="1" ht="26.25" x14ac:dyDescent="0.25">
      <c r="A2049" s="141">
        <v>63335</v>
      </c>
      <c r="B2049" s="142" t="s">
        <v>1140</v>
      </c>
      <c r="C2049" s="143" t="s">
        <v>27</v>
      </c>
      <c r="D2049" s="143" t="s">
        <v>45</v>
      </c>
      <c r="E2049" s="142"/>
      <c r="F2049" s="142"/>
    </row>
    <row r="2050" spans="1:6" s="113" customFormat="1" x14ac:dyDescent="0.25">
      <c r="A2050" s="195">
        <v>63339</v>
      </c>
      <c r="B2050" s="187" t="s">
        <v>3527</v>
      </c>
      <c r="C2050" s="187" t="s">
        <v>49</v>
      </c>
      <c r="D2050" s="146" t="s">
        <v>154</v>
      </c>
      <c r="E2050" s="606"/>
      <c r="F2050" s="187"/>
    </row>
    <row r="2051" spans="1:6" s="113" customFormat="1" x14ac:dyDescent="0.25">
      <c r="A2051" s="195">
        <v>63341</v>
      </c>
      <c r="B2051" s="187" t="s">
        <v>3254</v>
      </c>
      <c r="C2051" s="187" t="s">
        <v>3</v>
      </c>
      <c r="D2051" s="148" t="s">
        <v>154</v>
      </c>
      <c r="E2051" s="606"/>
      <c r="F2051" s="187"/>
    </row>
    <row r="2052" spans="1:6" s="113" customFormat="1" ht="26.25" x14ac:dyDescent="0.25">
      <c r="A2052" s="141">
        <v>63353</v>
      </c>
      <c r="B2052" s="142" t="s">
        <v>855</v>
      </c>
      <c r="C2052" s="143" t="s">
        <v>27</v>
      </c>
      <c r="D2052" s="143" t="s">
        <v>242</v>
      </c>
      <c r="E2052" s="142"/>
      <c r="F2052" s="142"/>
    </row>
    <row r="2053" spans="1:6" s="113" customFormat="1" x14ac:dyDescent="0.25">
      <c r="A2053" s="190">
        <v>63699</v>
      </c>
      <c r="B2053" s="606" t="s">
        <v>3509</v>
      </c>
      <c r="C2053" s="606" t="s">
        <v>1478</v>
      </c>
      <c r="D2053" s="606" t="s">
        <v>173</v>
      </c>
      <c r="E2053" s="606"/>
      <c r="F2053" s="606"/>
    </row>
    <row r="2054" spans="1:6" s="113" customFormat="1" ht="26.25" x14ac:dyDescent="0.25">
      <c r="A2054" s="141">
        <v>64321</v>
      </c>
      <c r="B2054" s="142" t="s">
        <v>2318</v>
      </c>
      <c r="C2054" s="143" t="s">
        <v>4</v>
      </c>
      <c r="D2054" s="143" t="s">
        <v>302</v>
      </c>
      <c r="E2054" s="142"/>
      <c r="F2054" s="142"/>
    </row>
    <row r="2055" spans="1:6" s="113" customFormat="1" x14ac:dyDescent="0.25">
      <c r="A2055" s="190">
        <v>64635</v>
      </c>
      <c r="B2055" s="188" t="s">
        <v>2591</v>
      </c>
      <c r="C2055" s="187" t="s">
        <v>914</v>
      </c>
      <c r="D2055" s="244" t="s">
        <v>242</v>
      </c>
      <c r="E2055" s="606"/>
      <c r="F2055" s="187"/>
    </row>
    <row r="2056" spans="1:6" s="113" customFormat="1" x14ac:dyDescent="0.25">
      <c r="A2056" s="195">
        <v>64649</v>
      </c>
      <c r="B2056" s="187" t="s">
        <v>3223</v>
      </c>
      <c r="C2056" s="187" t="s">
        <v>914</v>
      </c>
      <c r="D2056" s="146" t="s">
        <v>150</v>
      </c>
      <c r="E2056" s="606"/>
      <c r="F2056" s="606"/>
    </row>
    <row r="2057" spans="1:6" s="113" customFormat="1" ht="26.25" x14ac:dyDescent="0.25">
      <c r="A2057" s="247">
        <v>64711</v>
      </c>
      <c r="B2057" s="250" t="s">
        <v>1538</v>
      </c>
      <c r="C2057" s="143" t="s">
        <v>16</v>
      </c>
      <c r="D2057" s="148" t="s">
        <v>302</v>
      </c>
      <c r="E2057" s="144"/>
      <c r="F2057" s="142"/>
    </row>
    <row r="2058" spans="1:6" s="113" customFormat="1" ht="26.25" x14ac:dyDescent="0.25">
      <c r="A2058" s="247">
        <v>64736</v>
      </c>
      <c r="B2058" s="250" t="s">
        <v>1111</v>
      </c>
      <c r="C2058" s="143" t="s">
        <v>914</v>
      </c>
      <c r="D2058" s="260" t="s">
        <v>154</v>
      </c>
      <c r="E2058" s="250"/>
      <c r="F2058" s="250"/>
    </row>
    <row r="2059" spans="1:6" s="113" customFormat="1" ht="26.25" x14ac:dyDescent="0.25">
      <c r="A2059" s="247">
        <v>64842</v>
      </c>
      <c r="B2059" s="250" t="s">
        <v>1227</v>
      </c>
      <c r="C2059" s="143" t="s">
        <v>1478</v>
      </c>
      <c r="D2059" s="260" t="s">
        <v>173</v>
      </c>
      <c r="E2059" s="250"/>
      <c r="F2059" s="250"/>
    </row>
    <row r="2060" spans="1:6" s="113" customFormat="1" ht="26.25" x14ac:dyDescent="0.25">
      <c r="A2060" s="247">
        <v>64893</v>
      </c>
      <c r="B2060" s="250" t="s">
        <v>1283</v>
      </c>
      <c r="C2060" s="143" t="s">
        <v>16</v>
      </c>
      <c r="D2060" s="260" t="s">
        <v>302</v>
      </c>
      <c r="E2060" s="250"/>
      <c r="F2060" s="250"/>
    </row>
    <row r="2061" spans="1:6" s="113" customFormat="1" x14ac:dyDescent="0.25">
      <c r="A2061" s="141">
        <v>64899</v>
      </c>
      <c r="B2061" s="142" t="s">
        <v>1192</v>
      </c>
      <c r="C2061" s="143" t="s">
        <v>140</v>
      </c>
      <c r="D2061" s="260" t="s">
        <v>148</v>
      </c>
      <c r="E2061" s="250"/>
      <c r="F2061" s="250"/>
    </row>
    <row r="2062" spans="1:6" s="113" customFormat="1" ht="26.25" x14ac:dyDescent="0.25">
      <c r="A2062" s="141">
        <v>64936</v>
      </c>
      <c r="B2062" s="142" t="s">
        <v>2319</v>
      </c>
      <c r="C2062" s="143" t="s">
        <v>914</v>
      </c>
      <c r="D2062" s="143" t="s">
        <v>148</v>
      </c>
      <c r="E2062" s="142"/>
      <c r="F2062" s="142"/>
    </row>
    <row r="2063" spans="1:6" s="113" customFormat="1" ht="26.25" x14ac:dyDescent="0.25">
      <c r="A2063" s="141">
        <v>65951</v>
      </c>
      <c r="B2063" s="142" t="s">
        <v>2320</v>
      </c>
      <c r="C2063" s="143" t="s">
        <v>3</v>
      </c>
      <c r="D2063" s="148" t="s">
        <v>154</v>
      </c>
      <c r="E2063" s="142"/>
      <c r="F2063" s="142"/>
    </row>
    <row r="2064" spans="1:6" s="113" customFormat="1" ht="26.25" x14ac:dyDescent="0.25">
      <c r="A2064" s="141">
        <v>66622</v>
      </c>
      <c r="B2064" s="142" t="s">
        <v>856</v>
      </c>
      <c r="C2064" s="143" t="s">
        <v>8</v>
      </c>
      <c r="D2064" s="143" t="s">
        <v>242</v>
      </c>
      <c r="E2064" s="142"/>
      <c r="F2064" s="142"/>
    </row>
    <row r="2065" spans="1:6" s="113" customFormat="1" ht="26.25" x14ac:dyDescent="0.25">
      <c r="A2065" s="247">
        <v>67087</v>
      </c>
      <c r="B2065" s="250" t="s">
        <v>1284</v>
      </c>
      <c r="C2065" s="143" t="s">
        <v>8</v>
      </c>
      <c r="D2065" s="143" t="s">
        <v>116</v>
      </c>
      <c r="E2065" s="142"/>
      <c r="F2065" s="142"/>
    </row>
    <row r="2066" spans="1:6" s="113" customFormat="1" x14ac:dyDescent="0.25">
      <c r="A2066" s="190">
        <v>67220</v>
      </c>
      <c r="B2066" s="606" t="s">
        <v>3376</v>
      </c>
      <c r="C2066" s="606" t="s">
        <v>167</v>
      </c>
      <c r="D2066" s="606" t="s">
        <v>109</v>
      </c>
      <c r="E2066" s="606"/>
      <c r="F2066" s="606"/>
    </row>
    <row r="2067" spans="1:6" s="113" customFormat="1" x14ac:dyDescent="0.25">
      <c r="A2067" s="190">
        <v>67220</v>
      </c>
      <c r="B2067" s="606" t="s">
        <v>3376</v>
      </c>
      <c r="C2067" s="606" t="s">
        <v>167</v>
      </c>
      <c r="D2067" s="606" t="s">
        <v>109</v>
      </c>
      <c r="E2067" s="606"/>
      <c r="F2067" s="606"/>
    </row>
    <row r="2068" spans="1:6" s="113" customFormat="1" x14ac:dyDescent="0.25">
      <c r="A2068" s="195">
        <v>67284</v>
      </c>
      <c r="B2068" s="187" t="s">
        <v>3052</v>
      </c>
      <c r="C2068" s="187" t="s">
        <v>8</v>
      </c>
      <c r="D2068" s="148" t="s">
        <v>116</v>
      </c>
      <c r="E2068" s="606"/>
      <c r="F2068" s="187"/>
    </row>
    <row r="2069" spans="1:6" s="113" customFormat="1" ht="26.25" x14ac:dyDescent="0.25">
      <c r="A2069" s="141">
        <v>67312</v>
      </c>
      <c r="B2069" s="142" t="s">
        <v>857</v>
      </c>
      <c r="C2069" s="143" t="s">
        <v>144</v>
      </c>
      <c r="D2069" s="143" t="s">
        <v>173</v>
      </c>
      <c r="E2069" s="250"/>
      <c r="F2069" s="250"/>
    </row>
    <row r="2070" spans="1:6" s="113" customFormat="1" x14ac:dyDescent="0.25">
      <c r="A2070" s="141">
        <v>67530</v>
      </c>
      <c r="B2070" s="142" t="s">
        <v>858</v>
      </c>
      <c r="C2070" s="143" t="s">
        <v>24</v>
      </c>
      <c r="D2070" s="143" t="s">
        <v>80</v>
      </c>
      <c r="E2070" s="142"/>
      <c r="F2070" s="142"/>
    </row>
    <row r="2071" spans="1:6" s="113" customFormat="1" ht="26.25" x14ac:dyDescent="0.25">
      <c r="A2071" s="141">
        <v>68720</v>
      </c>
      <c r="B2071" s="144" t="s">
        <v>859</v>
      </c>
      <c r="C2071" s="143" t="s">
        <v>1478</v>
      </c>
      <c r="D2071" s="143" t="s">
        <v>173</v>
      </c>
      <c r="E2071" s="142"/>
      <c r="F2071" s="142"/>
    </row>
    <row r="2072" spans="1:6" s="113" customFormat="1" ht="26.25" x14ac:dyDescent="0.25">
      <c r="A2072" s="141">
        <v>68855</v>
      </c>
      <c r="B2072" s="142" t="s">
        <v>860</v>
      </c>
      <c r="C2072" s="143" t="s">
        <v>1478</v>
      </c>
      <c r="D2072" s="146" t="s">
        <v>173</v>
      </c>
      <c r="E2072" s="142"/>
      <c r="F2072" s="142"/>
    </row>
    <row r="2073" spans="1:6" s="113" customFormat="1" ht="26.25" x14ac:dyDescent="0.25">
      <c r="A2073" s="247">
        <v>69521</v>
      </c>
      <c r="B2073" s="250" t="s">
        <v>1285</v>
      </c>
      <c r="C2073" s="143" t="s">
        <v>914</v>
      </c>
      <c r="D2073" s="143" t="s">
        <v>154</v>
      </c>
      <c r="E2073" s="142"/>
      <c r="F2073" s="142"/>
    </row>
    <row r="2074" spans="1:6" s="113" customFormat="1" ht="26.25" x14ac:dyDescent="0.25">
      <c r="A2074" s="195">
        <v>69629</v>
      </c>
      <c r="B2074" s="188" t="s">
        <v>3074</v>
      </c>
      <c r="C2074" s="146" t="s">
        <v>27</v>
      </c>
      <c r="D2074" s="148" t="s">
        <v>21</v>
      </c>
      <c r="E2074" s="190"/>
      <c r="F2074" s="187"/>
    </row>
    <row r="2075" spans="1:6" s="113" customFormat="1" x14ac:dyDescent="0.25">
      <c r="A2075" s="141">
        <v>70174</v>
      </c>
      <c r="B2075" s="142" t="s">
        <v>2321</v>
      </c>
      <c r="C2075" s="143" t="s">
        <v>384</v>
      </c>
      <c r="D2075" s="143" t="s">
        <v>415</v>
      </c>
      <c r="E2075" s="142"/>
      <c r="F2075" s="142"/>
    </row>
    <row r="2076" spans="1:6" s="113" customFormat="1" x14ac:dyDescent="0.25">
      <c r="A2076" s="141">
        <v>70236</v>
      </c>
      <c r="B2076" s="142" t="s">
        <v>861</v>
      </c>
      <c r="C2076" s="143" t="s">
        <v>38</v>
      </c>
      <c r="D2076" s="143" t="s">
        <v>1808</v>
      </c>
      <c r="E2076" s="142"/>
      <c r="F2076" s="142"/>
    </row>
    <row r="2077" spans="1:6" s="113" customFormat="1" x14ac:dyDescent="0.25">
      <c r="A2077" s="141">
        <v>70317</v>
      </c>
      <c r="B2077" s="142" t="s">
        <v>2322</v>
      </c>
      <c r="C2077" s="143" t="s">
        <v>47</v>
      </c>
      <c r="D2077" s="143" t="s">
        <v>179</v>
      </c>
      <c r="E2077" s="142"/>
      <c r="F2077" s="142"/>
    </row>
    <row r="2078" spans="1:6" s="113" customFormat="1" x14ac:dyDescent="0.25">
      <c r="A2078" s="141">
        <v>70774</v>
      </c>
      <c r="B2078" s="142" t="s">
        <v>2323</v>
      </c>
      <c r="C2078" s="143" t="s">
        <v>17</v>
      </c>
      <c r="D2078" s="143" t="s">
        <v>150</v>
      </c>
      <c r="E2078" s="142"/>
      <c r="F2078" s="142"/>
    </row>
    <row r="2079" spans="1:6" s="113" customFormat="1" x14ac:dyDescent="0.25">
      <c r="A2079" s="141">
        <v>70806</v>
      </c>
      <c r="B2079" s="142" t="s">
        <v>862</v>
      </c>
      <c r="C2079" s="149" t="s">
        <v>67</v>
      </c>
      <c r="D2079" s="143" t="s">
        <v>14</v>
      </c>
      <c r="E2079" s="142"/>
      <c r="F2079" s="142"/>
    </row>
    <row r="2080" spans="1:6" s="113" customFormat="1" ht="26.25" x14ac:dyDescent="0.25">
      <c r="A2080" s="247">
        <v>70868</v>
      </c>
      <c r="B2080" s="250" t="s">
        <v>1388</v>
      </c>
      <c r="C2080" s="143" t="s">
        <v>1652</v>
      </c>
      <c r="D2080" s="260" t="s">
        <v>21</v>
      </c>
      <c r="E2080" s="250"/>
      <c r="F2080" s="250"/>
    </row>
    <row r="2081" spans="1:6" s="113" customFormat="1" x14ac:dyDescent="0.25">
      <c r="A2081" s="141">
        <v>70888</v>
      </c>
      <c r="B2081" s="142" t="s">
        <v>2324</v>
      </c>
      <c r="C2081" s="143" t="s">
        <v>599</v>
      </c>
      <c r="D2081" s="143" t="s">
        <v>242</v>
      </c>
      <c r="E2081" s="142"/>
      <c r="F2081" s="142"/>
    </row>
    <row r="2082" spans="1:6" s="113" customFormat="1" x14ac:dyDescent="0.25">
      <c r="A2082" s="141">
        <v>70986</v>
      </c>
      <c r="B2082" s="142" t="s">
        <v>2325</v>
      </c>
      <c r="C2082" s="143" t="s">
        <v>63</v>
      </c>
      <c r="D2082" s="143" t="s">
        <v>116</v>
      </c>
      <c r="E2082" s="142"/>
      <c r="F2082" s="142"/>
    </row>
    <row r="2083" spans="1:6" s="113" customFormat="1" x14ac:dyDescent="0.25">
      <c r="A2083" s="141">
        <v>71117</v>
      </c>
      <c r="B2083" s="142" t="s">
        <v>863</v>
      </c>
      <c r="C2083" s="149" t="s">
        <v>67</v>
      </c>
      <c r="D2083" s="143" t="s">
        <v>161</v>
      </c>
      <c r="E2083" s="142"/>
      <c r="F2083" s="142"/>
    </row>
    <row r="2084" spans="1:6" s="113" customFormat="1" ht="26.25" x14ac:dyDescent="0.25">
      <c r="A2084" s="141">
        <v>71142</v>
      </c>
      <c r="B2084" s="142" t="s">
        <v>2326</v>
      </c>
      <c r="C2084" s="149" t="s">
        <v>67</v>
      </c>
      <c r="D2084" s="143" t="s">
        <v>1591</v>
      </c>
      <c r="E2084" s="142"/>
      <c r="F2084" s="142"/>
    </row>
    <row r="2085" spans="1:6" s="113" customFormat="1" x14ac:dyDescent="0.25">
      <c r="A2085" s="141">
        <v>71143</v>
      </c>
      <c r="B2085" s="142" t="s">
        <v>864</v>
      </c>
      <c r="C2085" s="149" t="s">
        <v>67</v>
      </c>
      <c r="D2085" s="143" t="s">
        <v>161</v>
      </c>
      <c r="E2085" s="142"/>
      <c r="F2085" s="142"/>
    </row>
    <row r="2086" spans="1:6" s="113" customFormat="1" ht="26.25" x14ac:dyDescent="0.25">
      <c r="A2086" s="247">
        <v>71157</v>
      </c>
      <c r="B2086" s="250" t="s">
        <v>1559</v>
      </c>
      <c r="C2086" s="143" t="s">
        <v>6</v>
      </c>
      <c r="D2086" s="148" t="s">
        <v>242</v>
      </c>
      <c r="E2086" s="250"/>
      <c r="F2086" s="250"/>
    </row>
    <row r="2087" spans="1:6" s="113" customFormat="1" x14ac:dyDescent="0.25">
      <c r="A2087" s="168">
        <v>71229</v>
      </c>
      <c r="B2087" s="187" t="s">
        <v>2691</v>
      </c>
      <c r="C2087" s="187" t="s">
        <v>24</v>
      </c>
      <c r="D2087" s="187" t="s">
        <v>268</v>
      </c>
      <c r="E2087" s="606"/>
      <c r="F2087" s="606"/>
    </row>
    <row r="2088" spans="1:6" s="113" customFormat="1" x14ac:dyDescent="0.25">
      <c r="A2088" s="141">
        <v>71235</v>
      </c>
      <c r="B2088" s="142" t="s">
        <v>865</v>
      </c>
      <c r="C2088" s="143" t="s">
        <v>24</v>
      </c>
      <c r="D2088" s="143" t="s">
        <v>268</v>
      </c>
      <c r="E2088" s="142"/>
      <c r="F2088" s="142"/>
    </row>
    <row r="2089" spans="1:6" s="113" customFormat="1" x14ac:dyDescent="0.25">
      <c r="A2089" s="141">
        <v>71256</v>
      </c>
      <c r="B2089" s="142" t="s">
        <v>1171</v>
      </c>
      <c r="C2089" s="149" t="s">
        <v>67</v>
      </c>
      <c r="D2089" s="143" t="s">
        <v>551</v>
      </c>
      <c r="E2089" s="142"/>
      <c r="F2089" s="142"/>
    </row>
    <row r="2090" spans="1:6" s="113" customFormat="1" ht="26.25" x14ac:dyDescent="0.25">
      <c r="A2090" s="141">
        <v>71257</v>
      </c>
      <c r="B2090" s="142" t="s">
        <v>2327</v>
      </c>
      <c r="C2090" s="143" t="s">
        <v>16</v>
      </c>
      <c r="D2090" s="143" t="s">
        <v>7</v>
      </c>
      <c r="E2090" s="142"/>
      <c r="F2090" s="142"/>
    </row>
    <row r="2091" spans="1:6" s="113" customFormat="1" x14ac:dyDescent="0.25">
      <c r="A2091" s="141">
        <v>71298</v>
      </c>
      <c r="B2091" s="142" t="s">
        <v>866</v>
      </c>
      <c r="C2091" s="143" t="s">
        <v>17</v>
      </c>
      <c r="D2091" s="143" t="s">
        <v>242</v>
      </c>
      <c r="E2091" s="142"/>
      <c r="F2091" s="142"/>
    </row>
    <row r="2092" spans="1:6" s="113" customFormat="1" x14ac:dyDescent="0.25">
      <c r="A2092" s="195">
        <v>71299</v>
      </c>
      <c r="B2092" s="188" t="s">
        <v>2861</v>
      </c>
      <c r="C2092" s="146" t="s">
        <v>67</v>
      </c>
      <c r="D2092" s="146" t="s">
        <v>161</v>
      </c>
      <c r="E2092" s="606"/>
      <c r="F2092" s="187"/>
    </row>
    <row r="2093" spans="1:6" s="113" customFormat="1" x14ac:dyDescent="0.25">
      <c r="A2093" s="141">
        <v>71448</v>
      </c>
      <c r="B2093" s="142" t="s">
        <v>2328</v>
      </c>
      <c r="C2093" s="143" t="s">
        <v>63</v>
      </c>
      <c r="D2093" s="143" t="s">
        <v>242</v>
      </c>
      <c r="E2093" s="142"/>
      <c r="F2093" s="142"/>
    </row>
    <row r="2094" spans="1:6" s="113" customFormat="1" x14ac:dyDescent="0.25">
      <c r="A2094" s="141">
        <v>71670</v>
      </c>
      <c r="B2094" s="142" t="s">
        <v>867</v>
      </c>
      <c r="C2094" s="143" t="s">
        <v>38</v>
      </c>
      <c r="D2094" s="143" t="s">
        <v>148</v>
      </c>
      <c r="E2094" s="142"/>
      <c r="F2094" s="142"/>
    </row>
    <row r="2095" spans="1:6" s="113" customFormat="1" ht="26.25" x14ac:dyDescent="0.25">
      <c r="A2095" s="141">
        <v>71805</v>
      </c>
      <c r="B2095" s="142" t="s">
        <v>868</v>
      </c>
      <c r="C2095" s="143" t="s">
        <v>3</v>
      </c>
      <c r="D2095" s="143" t="s">
        <v>116</v>
      </c>
      <c r="E2095" s="142"/>
      <c r="F2095" s="142"/>
    </row>
    <row r="2096" spans="1:6" s="113" customFormat="1" x14ac:dyDescent="0.25">
      <c r="A2096" s="247">
        <v>71830</v>
      </c>
      <c r="B2096" s="250" t="s">
        <v>1453</v>
      </c>
      <c r="C2096" s="143" t="s">
        <v>30</v>
      </c>
      <c r="D2096" s="260" t="s">
        <v>302</v>
      </c>
      <c r="E2096" s="250"/>
      <c r="F2096" s="250"/>
    </row>
    <row r="2097" spans="1:6" s="113" customFormat="1" x14ac:dyDescent="0.25">
      <c r="A2097" s="195">
        <v>72130</v>
      </c>
      <c r="B2097" s="187" t="s">
        <v>3555</v>
      </c>
      <c r="C2097" s="187" t="s">
        <v>3556</v>
      </c>
      <c r="D2097" s="146" t="s">
        <v>3329</v>
      </c>
      <c r="E2097" s="606"/>
      <c r="F2097" s="187"/>
    </row>
    <row r="2098" spans="1:6" s="113" customFormat="1" x14ac:dyDescent="0.25">
      <c r="A2098" s="187">
        <v>72130</v>
      </c>
      <c r="B2098" s="187" t="s">
        <v>3555</v>
      </c>
      <c r="C2098" s="187" t="s">
        <v>3556</v>
      </c>
      <c r="D2098" s="187" t="s">
        <v>3329</v>
      </c>
      <c r="E2098" s="187"/>
      <c r="F2098" s="187"/>
    </row>
    <row r="2099" spans="1:6" s="113" customFormat="1" x14ac:dyDescent="0.25">
      <c r="A2099" s="247">
        <v>72157</v>
      </c>
      <c r="B2099" s="250" t="s">
        <v>1525</v>
      </c>
      <c r="C2099" s="149" t="s">
        <v>67</v>
      </c>
      <c r="D2099" s="260" t="s">
        <v>242</v>
      </c>
      <c r="E2099" s="250"/>
      <c r="F2099" s="250"/>
    </row>
    <row r="2100" spans="1:6" s="113" customFormat="1" ht="26.25" x14ac:dyDescent="0.25">
      <c r="A2100" s="141">
        <v>72199</v>
      </c>
      <c r="B2100" s="142" t="s">
        <v>2329</v>
      </c>
      <c r="C2100" s="143" t="s">
        <v>144</v>
      </c>
      <c r="D2100" s="143" t="s">
        <v>173</v>
      </c>
      <c r="E2100" s="142"/>
      <c r="F2100" s="142"/>
    </row>
    <row r="2101" spans="1:6" s="113" customFormat="1" ht="26.25" x14ac:dyDescent="0.25">
      <c r="A2101" s="141">
        <v>73164</v>
      </c>
      <c r="B2101" s="142" t="s">
        <v>1172</v>
      </c>
      <c r="C2101" s="143" t="s">
        <v>1173</v>
      </c>
      <c r="D2101" s="143" t="s">
        <v>154</v>
      </c>
      <c r="E2101" s="142"/>
      <c r="F2101" s="142"/>
    </row>
    <row r="2102" spans="1:6" s="113" customFormat="1" ht="39" x14ac:dyDescent="0.25">
      <c r="A2102" s="141">
        <v>73176</v>
      </c>
      <c r="B2102" s="142" t="s">
        <v>2330</v>
      </c>
      <c r="C2102" s="143" t="s">
        <v>27</v>
      </c>
      <c r="D2102" s="143" t="s">
        <v>2331</v>
      </c>
      <c r="E2102" s="142"/>
      <c r="F2102" s="142"/>
    </row>
    <row r="2103" spans="1:6" s="113" customFormat="1" x14ac:dyDescent="0.25">
      <c r="A2103" s="141">
        <v>73765</v>
      </c>
      <c r="B2103" s="142" t="s">
        <v>2332</v>
      </c>
      <c r="C2103" s="143" t="s">
        <v>12</v>
      </c>
      <c r="D2103" s="143" t="s">
        <v>21</v>
      </c>
      <c r="E2103" s="142"/>
      <c r="F2103" s="142"/>
    </row>
    <row r="2104" spans="1:6" s="113" customFormat="1" ht="26.25" x14ac:dyDescent="0.25">
      <c r="A2104" s="141">
        <v>74494</v>
      </c>
      <c r="B2104" s="142" t="s">
        <v>869</v>
      </c>
      <c r="C2104" s="143" t="s">
        <v>8</v>
      </c>
      <c r="D2104" s="143" t="s">
        <v>242</v>
      </c>
      <c r="E2104" s="142"/>
      <c r="F2104" s="142"/>
    </row>
    <row r="2105" spans="1:6" s="113" customFormat="1" x14ac:dyDescent="0.25">
      <c r="A2105" s="187">
        <v>74685</v>
      </c>
      <c r="B2105" s="187" t="s">
        <v>3573</v>
      </c>
      <c r="C2105" s="187" t="s">
        <v>53</v>
      </c>
      <c r="D2105" s="187" t="s">
        <v>2251</v>
      </c>
      <c r="E2105" s="187"/>
      <c r="F2105" s="187"/>
    </row>
    <row r="2106" spans="1:6" s="113" customFormat="1" x14ac:dyDescent="0.25">
      <c r="A2106" s="141">
        <v>75490</v>
      </c>
      <c r="B2106" s="142" t="s">
        <v>870</v>
      </c>
      <c r="C2106" s="143" t="s">
        <v>32</v>
      </c>
      <c r="D2106" s="143" t="s">
        <v>242</v>
      </c>
      <c r="E2106" s="142"/>
      <c r="F2106" s="142"/>
    </row>
    <row r="2107" spans="1:6" s="113" customFormat="1" x14ac:dyDescent="0.25">
      <c r="A2107" s="190">
        <v>75627</v>
      </c>
      <c r="B2107" s="606" t="s">
        <v>3366</v>
      </c>
      <c r="C2107" s="606" t="s">
        <v>3070</v>
      </c>
      <c r="D2107" s="606" t="s">
        <v>453</v>
      </c>
      <c r="E2107" s="606"/>
      <c r="F2107" s="606"/>
    </row>
    <row r="2108" spans="1:6" s="113" customFormat="1" x14ac:dyDescent="0.25">
      <c r="A2108" s="141">
        <v>75769</v>
      </c>
      <c r="B2108" s="142" t="s">
        <v>871</v>
      </c>
      <c r="C2108" s="143" t="s">
        <v>63</v>
      </c>
      <c r="D2108" s="143" t="s">
        <v>150</v>
      </c>
      <c r="E2108" s="142"/>
      <c r="F2108" s="142"/>
    </row>
    <row r="2109" spans="1:6" s="113" customFormat="1" ht="26.25" x14ac:dyDescent="0.25">
      <c r="A2109" s="247">
        <v>76208</v>
      </c>
      <c r="B2109" s="160" t="s">
        <v>1286</v>
      </c>
      <c r="C2109" s="143" t="s">
        <v>6</v>
      </c>
      <c r="D2109" s="260" t="s">
        <v>7</v>
      </c>
      <c r="E2109" s="250"/>
      <c r="F2109" s="250"/>
    </row>
    <row r="2110" spans="1:6" s="113" customFormat="1" x14ac:dyDescent="0.25">
      <c r="A2110" s="141">
        <v>76214</v>
      </c>
      <c r="B2110" s="142" t="s">
        <v>872</v>
      </c>
      <c r="C2110" s="143" t="s">
        <v>63</v>
      </c>
      <c r="D2110" s="143" t="s">
        <v>242</v>
      </c>
      <c r="E2110" s="142"/>
      <c r="F2110" s="142"/>
    </row>
    <row r="2111" spans="1:6" s="113" customFormat="1" x14ac:dyDescent="0.25">
      <c r="A2111" s="141">
        <v>76377</v>
      </c>
      <c r="B2111" s="144" t="s">
        <v>873</v>
      </c>
      <c r="C2111" s="143" t="s">
        <v>73</v>
      </c>
      <c r="D2111" s="146" t="s">
        <v>154</v>
      </c>
      <c r="E2111" s="142"/>
      <c r="F2111" s="142"/>
    </row>
    <row r="2112" spans="1:6" s="113" customFormat="1" x14ac:dyDescent="0.25">
      <c r="A2112" s="141">
        <v>76828</v>
      </c>
      <c r="B2112" s="142" t="s">
        <v>2333</v>
      </c>
      <c r="C2112" s="143" t="s">
        <v>9</v>
      </c>
      <c r="D2112" s="143" t="s">
        <v>7</v>
      </c>
      <c r="E2112" s="142"/>
      <c r="F2112" s="142"/>
    </row>
    <row r="2113" spans="1:6" s="113" customFormat="1" ht="39" x14ac:dyDescent="0.25">
      <c r="A2113" s="141">
        <v>76831</v>
      </c>
      <c r="B2113" s="142" t="s">
        <v>874</v>
      </c>
      <c r="C2113" s="143" t="s">
        <v>2110</v>
      </c>
      <c r="D2113" s="143" t="s">
        <v>811</v>
      </c>
      <c r="E2113" s="142"/>
      <c r="F2113" s="142"/>
    </row>
    <row r="2114" spans="1:6" s="113" customFormat="1" x14ac:dyDescent="0.25">
      <c r="A2114" s="190">
        <v>77021</v>
      </c>
      <c r="B2114" s="606" t="s">
        <v>3257</v>
      </c>
      <c r="C2114" s="606" t="s">
        <v>17</v>
      </c>
      <c r="D2114" s="606" t="s">
        <v>154</v>
      </c>
      <c r="E2114" s="606"/>
      <c r="F2114" s="606"/>
    </row>
    <row r="2115" spans="1:6" s="113" customFormat="1" x14ac:dyDescent="0.25">
      <c r="A2115" s="190">
        <v>77331</v>
      </c>
      <c r="B2115" s="188" t="s">
        <v>2525</v>
      </c>
      <c r="C2115" s="146" t="s">
        <v>34</v>
      </c>
      <c r="D2115" s="187" t="s">
        <v>7</v>
      </c>
      <c r="E2115" s="187"/>
      <c r="F2115" s="187"/>
    </row>
    <row r="2116" spans="1:6" s="113" customFormat="1" x14ac:dyDescent="0.25">
      <c r="A2116" s="141">
        <v>77455</v>
      </c>
      <c r="B2116" s="142" t="s">
        <v>875</v>
      </c>
      <c r="C2116" s="143" t="s">
        <v>1455</v>
      </c>
      <c r="D2116" s="143" t="s">
        <v>415</v>
      </c>
      <c r="E2116" s="142"/>
      <c r="F2116" s="142"/>
    </row>
    <row r="2117" spans="1:6" s="113" customFormat="1" ht="26.25" x14ac:dyDescent="0.25">
      <c r="A2117" s="141">
        <v>77577</v>
      </c>
      <c r="B2117" s="142" t="s">
        <v>2334</v>
      </c>
      <c r="C2117" s="143" t="s">
        <v>144</v>
      </c>
      <c r="D2117" s="143" t="s">
        <v>11</v>
      </c>
      <c r="E2117" s="142"/>
      <c r="F2117" s="142"/>
    </row>
    <row r="2118" spans="1:6" s="113" customFormat="1" ht="26.25" x14ac:dyDescent="0.25">
      <c r="A2118" s="247">
        <v>79124</v>
      </c>
      <c r="B2118" s="250" t="s">
        <v>1258</v>
      </c>
      <c r="C2118" s="143" t="s">
        <v>1478</v>
      </c>
      <c r="D2118" s="260" t="s">
        <v>173</v>
      </c>
      <c r="E2118" s="250"/>
      <c r="F2118" s="250"/>
    </row>
    <row r="2119" spans="1:6" s="113" customFormat="1" x14ac:dyDescent="0.25">
      <c r="A2119" s="141">
        <v>79323</v>
      </c>
      <c r="B2119" s="142" t="s">
        <v>876</v>
      </c>
      <c r="C2119" s="143" t="s">
        <v>167</v>
      </c>
      <c r="D2119" s="143" t="s">
        <v>150</v>
      </c>
      <c r="E2119" s="142"/>
      <c r="F2119" s="142"/>
    </row>
    <row r="2120" spans="1:6" s="113" customFormat="1" x14ac:dyDescent="0.25">
      <c r="A2120" s="141">
        <v>79542</v>
      </c>
      <c r="B2120" s="142" t="s">
        <v>1148</v>
      </c>
      <c r="C2120" s="143" t="s">
        <v>41</v>
      </c>
      <c r="D2120" s="143" t="s">
        <v>154</v>
      </c>
      <c r="E2120" s="142"/>
      <c r="F2120" s="142"/>
    </row>
    <row r="2121" spans="1:6" s="113" customFormat="1" ht="26.25" x14ac:dyDescent="0.25">
      <c r="A2121" s="141">
        <v>79556</v>
      </c>
      <c r="B2121" s="142" t="s">
        <v>2335</v>
      </c>
      <c r="C2121" s="143" t="s">
        <v>96</v>
      </c>
      <c r="D2121" s="143" t="s">
        <v>109</v>
      </c>
      <c r="E2121" s="142"/>
      <c r="F2121" s="142"/>
    </row>
    <row r="2122" spans="1:6" s="113" customFormat="1" ht="26.25" x14ac:dyDescent="0.25">
      <c r="A2122" s="141">
        <v>80897</v>
      </c>
      <c r="B2122" s="142" t="s">
        <v>2336</v>
      </c>
      <c r="C2122" s="143" t="s">
        <v>22</v>
      </c>
      <c r="D2122" s="143" t="s">
        <v>11</v>
      </c>
      <c r="E2122" s="142"/>
      <c r="F2122" s="142"/>
    </row>
    <row r="2123" spans="1:6" s="113" customFormat="1" ht="26.25" x14ac:dyDescent="0.25">
      <c r="A2123" s="141">
        <v>81409</v>
      </c>
      <c r="B2123" s="142" t="s">
        <v>2337</v>
      </c>
      <c r="C2123" s="143" t="s">
        <v>1478</v>
      </c>
      <c r="D2123" s="143" t="s">
        <v>173</v>
      </c>
      <c r="E2123" s="142"/>
      <c r="F2123" s="142"/>
    </row>
    <row r="2124" spans="1:6" s="113" customFormat="1" x14ac:dyDescent="0.25">
      <c r="A2124" s="141">
        <v>81811</v>
      </c>
      <c r="B2124" s="142" t="s">
        <v>877</v>
      </c>
      <c r="C2124" s="143" t="s">
        <v>53</v>
      </c>
      <c r="D2124" s="143" t="s">
        <v>154</v>
      </c>
      <c r="E2124" s="142"/>
      <c r="F2124" s="142"/>
    </row>
    <row r="2125" spans="1:6" s="113" customFormat="1" x14ac:dyDescent="0.25">
      <c r="A2125" s="200">
        <v>82061</v>
      </c>
      <c r="B2125" s="606" t="s">
        <v>2979</v>
      </c>
      <c r="C2125" s="606" t="s">
        <v>2980</v>
      </c>
      <c r="D2125" s="606" t="s">
        <v>154</v>
      </c>
      <c r="E2125" s="606"/>
      <c r="F2125" s="606"/>
    </row>
    <row r="2126" spans="1:6" s="113" customFormat="1" x14ac:dyDescent="0.25">
      <c r="A2126" s="141">
        <v>82061</v>
      </c>
      <c r="B2126" s="190" t="s">
        <v>2979</v>
      </c>
      <c r="C2126" s="190" t="s">
        <v>5</v>
      </c>
      <c r="D2126" s="148" t="s">
        <v>154</v>
      </c>
      <c r="E2126" s="190"/>
      <c r="F2126" s="190"/>
    </row>
    <row r="2127" spans="1:6" s="113" customFormat="1" ht="26.25" x14ac:dyDescent="0.25">
      <c r="A2127" s="141">
        <v>82383</v>
      </c>
      <c r="B2127" s="142" t="s">
        <v>1145</v>
      </c>
      <c r="C2127" s="143" t="s">
        <v>5</v>
      </c>
      <c r="D2127" s="143" t="s">
        <v>154</v>
      </c>
      <c r="E2127" s="142"/>
      <c r="F2127" s="142"/>
    </row>
    <row r="2128" spans="1:6" s="113" customFormat="1" ht="26.25" x14ac:dyDescent="0.25">
      <c r="A2128" s="141">
        <v>83048</v>
      </c>
      <c r="B2128" s="142" t="s">
        <v>2338</v>
      </c>
      <c r="C2128" s="143" t="s">
        <v>49</v>
      </c>
      <c r="D2128" s="143" t="s">
        <v>242</v>
      </c>
      <c r="E2128" s="142"/>
      <c r="F2128" s="142"/>
    </row>
    <row r="2129" spans="1:8" s="113" customFormat="1" x14ac:dyDescent="0.25">
      <c r="A2129" s="141">
        <v>83073</v>
      </c>
      <c r="B2129" s="142" t="s">
        <v>2339</v>
      </c>
      <c r="C2129" s="143" t="s">
        <v>44</v>
      </c>
      <c r="D2129" s="143" t="s">
        <v>242</v>
      </c>
      <c r="E2129" s="142"/>
      <c r="F2129" s="142"/>
      <c r="H2129" s="607"/>
    </row>
    <row r="2130" spans="1:8" s="113" customFormat="1" x14ac:dyDescent="0.25">
      <c r="A2130" s="141">
        <v>83976</v>
      </c>
      <c r="B2130" s="142" t="s">
        <v>2340</v>
      </c>
      <c r="C2130" s="143" t="s">
        <v>63</v>
      </c>
      <c r="D2130" s="143" t="s">
        <v>7</v>
      </c>
      <c r="E2130" s="142"/>
      <c r="F2130" s="142"/>
    </row>
    <row r="2131" spans="1:8" s="113" customFormat="1" x14ac:dyDescent="0.25">
      <c r="A2131" s="190">
        <v>83991</v>
      </c>
      <c r="B2131" s="606" t="s">
        <v>3220</v>
      </c>
      <c r="C2131" s="606" t="s">
        <v>3039</v>
      </c>
      <c r="D2131" s="606" t="s">
        <v>3206</v>
      </c>
      <c r="E2131" s="606"/>
      <c r="F2131" s="606"/>
    </row>
    <row r="2132" spans="1:8" s="113" customFormat="1" x14ac:dyDescent="0.25">
      <c r="A2132" s="141">
        <v>84225</v>
      </c>
      <c r="B2132" s="142" t="s">
        <v>878</v>
      </c>
      <c r="C2132" s="143" t="s">
        <v>63</v>
      </c>
      <c r="D2132" s="143" t="s">
        <v>1164</v>
      </c>
      <c r="E2132" s="142"/>
      <c r="F2132" s="142"/>
    </row>
    <row r="2133" spans="1:8" s="113" customFormat="1" ht="26.25" x14ac:dyDescent="0.25">
      <c r="A2133" s="141">
        <v>84360</v>
      </c>
      <c r="B2133" s="142" t="s">
        <v>1196</v>
      </c>
      <c r="C2133" s="143" t="s">
        <v>9</v>
      </c>
      <c r="D2133" s="143" t="s">
        <v>1591</v>
      </c>
      <c r="E2133" s="142"/>
      <c r="F2133" s="142"/>
    </row>
    <row r="2134" spans="1:8" s="113" customFormat="1" ht="26.25" x14ac:dyDescent="0.25">
      <c r="A2134" s="247">
        <v>84663</v>
      </c>
      <c r="B2134" s="250" t="s">
        <v>1401</v>
      </c>
      <c r="C2134" s="143" t="s">
        <v>5</v>
      </c>
      <c r="D2134" s="143" t="s">
        <v>242</v>
      </c>
      <c r="E2134" s="250"/>
      <c r="F2134" s="250"/>
    </row>
    <row r="2135" spans="1:8" s="113" customFormat="1" ht="26.25" x14ac:dyDescent="0.25">
      <c r="A2135" s="141">
        <v>84827</v>
      </c>
      <c r="B2135" s="142" t="s">
        <v>2341</v>
      </c>
      <c r="C2135" s="143" t="s">
        <v>4</v>
      </c>
      <c r="D2135" s="143" t="s">
        <v>1164</v>
      </c>
      <c r="E2135" s="142"/>
      <c r="F2135" s="142"/>
    </row>
    <row r="2136" spans="1:8" s="113" customFormat="1" ht="26.25" x14ac:dyDescent="0.25">
      <c r="A2136" s="141">
        <v>85176</v>
      </c>
      <c r="B2136" s="142" t="s">
        <v>2342</v>
      </c>
      <c r="C2136" s="143" t="s">
        <v>8</v>
      </c>
      <c r="D2136" s="143" t="s">
        <v>154</v>
      </c>
      <c r="E2136" s="142"/>
      <c r="F2136" s="142"/>
    </row>
    <row r="2137" spans="1:8" s="113" customFormat="1" ht="26.25" x14ac:dyDescent="0.25">
      <c r="A2137" s="141">
        <v>85242</v>
      </c>
      <c r="B2137" s="142" t="s">
        <v>2343</v>
      </c>
      <c r="C2137" s="143" t="s">
        <v>5</v>
      </c>
      <c r="D2137" s="143" t="s">
        <v>11</v>
      </c>
      <c r="E2137" s="142"/>
      <c r="F2137" s="142"/>
    </row>
    <row r="2138" spans="1:8" s="113" customFormat="1" x14ac:dyDescent="0.25">
      <c r="A2138" s="141">
        <v>85324</v>
      </c>
      <c r="B2138" s="142" t="s">
        <v>2344</v>
      </c>
      <c r="C2138" s="143" t="s">
        <v>63</v>
      </c>
      <c r="D2138" s="143" t="s">
        <v>1164</v>
      </c>
      <c r="E2138" s="142"/>
      <c r="F2138" s="142"/>
    </row>
    <row r="2139" spans="1:8" s="113" customFormat="1" x14ac:dyDescent="0.25">
      <c r="A2139" s="141">
        <v>85459</v>
      </c>
      <c r="B2139" s="142" t="s">
        <v>2345</v>
      </c>
      <c r="C2139" s="143" t="s">
        <v>63</v>
      </c>
      <c r="D2139" s="143" t="s">
        <v>154</v>
      </c>
      <c r="E2139" s="142"/>
      <c r="F2139" s="142"/>
    </row>
    <row r="2140" spans="1:8" s="113" customFormat="1" x14ac:dyDescent="0.25">
      <c r="A2140" s="141">
        <v>85915</v>
      </c>
      <c r="B2140" s="142" t="s">
        <v>2346</v>
      </c>
      <c r="C2140" s="143" t="s">
        <v>9</v>
      </c>
      <c r="D2140" s="143" t="s">
        <v>154</v>
      </c>
      <c r="E2140" s="142"/>
      <c r="F2140" s="142"/>
    </row>
    <row r="2141" spans="1:8" s="113" customFormat="1" ht="26.25" x14ac:dyDescent="0.25">
      <c r="A2141" s="153">
        <v>86027</v>
      </c>
      <c r="B2141" s="154" t="s">
        <v>2347</v>
      </c>
      <c r="C2141" s="143" t="s">
        <v>41</v>
      </c>
      <c r="D2141" s="143" t="s">
        <v>1591</v>
      </c>
      <c r="E2141" s="142"/>
      <c r="F2141" s="142"/>
      <c r="G2141" s="607"/>
      <c r="H2141" s="607"/>
    </row>
    <row r="2142" spans="1:8" s="113" customFormat="1" ht="26.25" x14ac:dyDescent="0.25">
      <c r="A2142" s="141">
        <v>86079</v>
      </c>
      <c r="B2142" s="142" t="s">
        <v>879</v>
      </c>
      <c r="C2142" s="143" t="s">
        <v>49</v>
      </c>
      <c r="D2142" s="143" t="s">
        <v>11</v>
      </c>
      <c r="E2142" s="142"/>
      <c r="F2142" s="142"/>
    </row>
    <row r="2143" spans="1:8" s="113" customFormat="1" ht="26.25" x14ac:dyDescent="0.25">
      <c r="A2143" s="247">
        <v>86184</v>
      </c>
      <c r="B2143" s="250" t="s">
        <v>2808</v>
      </c>
      <c r="C2143" s="143" t="s">
        <v>49</v>
      </c>
      <c r="D2143" s="148" t="s">
        <v>242</v>
      </c>
      <c r="E2143" s="250"/>
      <c r="F2143" s="250"/>
    </row>
    <row r="2144" spans="1:8" s="113" customFormat="1" x14ac:dyDescent="0.25">
      <c r="A2144" s="187">
        <v>86259</v>
      </c>
      <c r="B2144" s="187" t="s">
        <v>3649</v>
      </c>
      <c r="C2144" s="187" t="s">
        <v>1478</v>
      </c>
      <c r="D2144" s="187" t="s">
        <v>173</v>
      </c>
      <c r="E2144" s="187"/>
      <c r="F2144" s="187"/>
    </row>
    <row r="2145" spans="1:6" s="113" customFormat="1" ht="26.25" x14ac:dyDescent="0.25">
      <c r="A2145" s="141">
        <v>86469</v>
      </c>
      <c r="B2145" s="142" t="s">
        <v>880</v>
      </c>
      <c r="C2145" s="143" t="s">
        <v>49</v>
      </c>
      <c r="D2145" s="143" t="s">
        <v>150</v>
      </c>
      <c r="E2145" s="142"/>
      <c r="F2145" s="142"/>
    </row>
    <row r="2146" spans="1:6" s="113" customFormat="1" x14ac:dyDescent="0.25">
      <c r="A2146" s="141">
        <v>86653</v>
      </c>
      <c r="B2146" s="142" t="s">
        <v>2348</v>
      </c>
      <c r="C2146" s="143" t="s">
        <v>167</v>
      </c>
      <c r="D2146" s="143" t="s">
        <v>173</v>
      </c>
      <c r="E2146" s="142"/>
      <c r="F2146" s="142"/>
    </row>
    <row r="2147" spans="1:6" s="113" customFormat="1" ht="26.25" x14ac:dyDescent="0.25">
      <c r="A2147" s="141">
        <v>86680</v>
      </c>
      <c r="B2147" s="142" t="s">
        <v>2349</v>
      </c>
      <c r="C2147" s="143" t="s">
        <v>49</v>
      </c>
      <c r="D2147" s="143" t="s">
        <v>116</v>
      </c>
      <c r="E2147" s="142"/>
      <c r="F2147" s="142"/>
    </row>
    <row r="2148" spans="1:6" s="113" customFormat="1" ht="26.25" x14ac:dyDescent="0.25">
      <c r="A2148" s="141">
        <v>86740</v>
      </c>
      <c r="B2148" s="142" t="s">
        <v>2350</v>
      </c>
      <c r="C2148" s="143" t="s">
        <v>1478</v>
      </c>
      <c r="D2148" s="143" t="s">
        <v>21</v>
      </c>
      <c r="E2148" s="142"/>
      <c r="F2148" s="142"/>
    </row>
    <row r="2149" spans="1:6" s="113" customFormat="1" x14ac:dyDescent="0.25">
      <c r="A2149" s="141">
        <v>87006</v>
      </c>
      <c r="B2149" s="142" t="s">
        <v>881</v>
      </c>
      <c r="C2149" s="143" t="s">
        <v>64</v>
      </c>
      <c r="D2149" s="143" t="s">
        <v>237</v>
      </c>
      <c r="E2149" s="142"/>
      <c r="F2149" s="142"/>
    </row>
    <row r="2150" spans="1:6" s="113" customFormat="1" ht="39" x14ac:dyDescent="0.25">
      <c r="A2150" s="247">
        <v>87043</v>
      </c>
      <c r="B2150" s="250" t="s">
        <v>1396</v>
      </c>
      <c r="C2150" s="143" t="s">
        <v>1398</v>
      </c>
      <c r="D2150" s="143" t="s">
        <v>116</v>
      </c>
      <c r="E2150" s="250"/>
      <c r="F2150" s="250"/>
    </row>
    <row r="2151" spans="1:6" s="113" customFormat="1" x14ac:dyDescent="0.25">
      <c r="A2151" s="141">
        <v>87103</v>
      </c>
      <c r="B2151" s="142" t="s">
        <v>2351</v>
      </c>
      <c r="C2151" s="143" t="s">
        <v>9</v>
      </c>
      <c r="D2151" s="143" t="s">
        <v>1105</v>
      </c>
      <c r="E2151" s="142"/>
      <c r="F2151" s="142"/>
    </row>
    <row r="2152" spans="1:6" s="113" customFormat="1" x14ac:dyDescent="0.25">
      <c r="A2152" s="247">
        <v>87134</v>
      </c>
      <c r="B2152" s="250" t="s">
        <v>1287</v>
      </c>
      <c r="C2152" s="143" t="s">
        <v>9</v>
      </c>
      <c r="D2152" s="260" t="s">
        <v>1105</v>
      </c>
      <c r="E2152" s="250"/>
      <c r="F2152" s="250"/>
    </row>
    <row r="2153" spans="1:6" s="113" customFormat="1" x14ac:dyDescent="0.25">
      <c r="A2153" s="141">
        <v>87142</v>
      </c>
      <c r="B2153" s="142" t="s">
        <v>882</v>
      </c>
      <c r="C2153" s="143" t="s">
        <v>167</v>
      </c>
      <c r="D2153" s="143" t="s">
        <v>173</v>
      </c>
      <c r="E2153" s="142"/>
      <c r="F2153" s="142"/>
    </row>
    <row r="2154" spans="1:6" s="113" customFormat="1" x14ac:dyDescent="0.25">
      <c r="A2154" s="141">
        <v>87184</v>
      </c>
      <c r="B2154" s="142" t="s">
        <v>883</v>
      </c>
      <c r="C2154" s="143" t="s">
        <v>41</v>
      </c>
      <c r="D2154" s="143" t="s">
        <v>7</v>
      </c>
      <c r="E2154" s="142"/>
      <c r="F2154" s="142"/>
    </row>
    <row r="2155" spans="1:6" s="113" customFormat="1" ht="26.25" x14ac:dyDescent="0.25">
      <c r="A2155" s="141">
        <v>87435</v>
      </c>
      <c r="B2155" s="142" t="s">
        <v>884</v>
      </c>
      <c r="C2155" s="143" t="s">
        <v>157</v>
      </c>
      <c r="D2155" s="143" t="s">
        <v>242</v>
      </c>
      <c r="E2155" s="142"/>
      <c r="F2155" s="142"/>
    </row>
    <row r="2156" spans="1:6" s="113" customFormat="1" x14ac:dyDescent="0.25">
      <c r="A2156" s="218">
        <v>87540</v>
      </c>
      <c r="B2156" s="606" t="s">
        <v>3082</v>
      </c>
      <c r="C2156" s="606" t="s">
        <v>3083</v>
      </c>
      <c r="D2156" s="606" t="s">
        <v>3084</v>
      </c>
      <c r="E2156" s="606"/>
      <c r="F2156" s="606"/>
    </row>
    <row r="2157" spans="1:6" s="113" customFormat="1" x14ac:dyDescent="0.25">
      <c r="A2157" s="141">
        <v>87613</v>
      </c>
      <c r="B2157" s="142" t="s">
        <v>885</v>
      </c>
      <c r="C2157" s="143" t="s">
        <v>41</v>
      </c>
      <c r="D2157" s="143" t="s">
        <v>7</v>
      </c>
      <c r="E2157" s="142"/>
      <c r="F2157" s="142"/>
    </row>
    <row r="2158" spans="1:6" s="113" customFormat="1" x14ac:dyDescent="0.25">
      <c r="A2158" s="141">
        <v>87650</v>
      </c>
      <c r="B2158" s="142" t="s">
        <v>2352</v>
      </c>
      <c r="C2158" s="143" t="s">
        <v>12</v>
      </c>
      <c r="D2158" s="143" t="s">
        <v>1105</v>
      </c>
      <c r="E2158" s="142"/>
      <c r="F2158" s="142"/>
    </row>
    <row r="2159" spans="1:6" s="113" customFormat="1" x14ac:dyDescent="0.25">
      <c r="A2159" s="156">
        <v>87785</v>
      </c>
      <c r="B2159" s="157" t="s">
        <v>886</v>
      </c>
      <c r="C2159" s="143" t="s">
        <v>41</v>
      </c>
      <c r="D2159" s="158" t="s">
        <v>7</v>
      </c>
      <c r="E2159" s="142"/>
      <c r="F2159" s="142"/>
    </row>
    <row r="2160" spans="1:6" s="113" customFormat="1" x14ac:dyDescent="0.25">
      <c r="A2160" s="245">
        <v>87801</v>
      </c>
      <c r="B2160" s="246" t="s">
        <v>2651</v>
      </c>
      <c r="C2160" s="246" t="s">
        <v>5</v>
      </c>
      <c r="D2160" s="246" t="s">
        <v>242</v>
      </c>
      <c r="E2160" s="246"/>
      <c r="F2160" s="246"/>
    </row>
    <row r="2161" spans="1:7" s="113" customFormat="1" ht="26.25" x14ac:dyDescent="0.25">
      <c r="A2161" s="141">
        <v>88323</v>
      </c>
      <c r="B2161" s="142" t="s">
        <v>887</v>
      </c>
      <c r="C2161" s="143" t="s">
        <v>16</v>
      </c>
      <c r="D2161" s="143" t="s">
        <v>302</v>
      </c>
      <c r="E2161" s="142"/>
      <c r="F2161" s="142"/>
      <c r="G2161" s="607"/>
    </row>
    <row r="2162" spans="1:7" s="113" customFormat="1" ht="26.25" x14ac:dyDescent="0.25">
      <c r="A2162" s="141">
        <v>88675</v>
      </c>
      <c r="B2162" s="142" t="s">
        <v>2353</v>
      </c>
      <c r="C2162" s="143" t="s">
        <v>1478</v>
      </c>
      <c r="D2162" s="143" t="s">
        <v>173</v>
      </c>
      <c r="E2162" s="142"/>
      <c r="F2162" s="142"/>
    </row>
    <row r="2163" spans="1:7" s="113" customFormat="1" x14ac:dyDescent="0.25">
      <c r="A2163" s="190">
        <v>89021</v>
      </c>
      <c r="B2163" s="188" t="s">
        <v>2582</v>
      </c>
      <c r="C2163" s="187" t="s">
        <v>1455</v>
      </c>
      <c r="D2163" s="244" t="s">
        <v>415</v>
      </c>
      <c r="E2163" s="606"/>
      <c r="F2163" s="606"/>
    </row>
    <row r="2164" spans="1:7" s="113" customFormat="1" ht="26.25" x14ac:dyDescent="0.25">
      <c r="A2164" s="141">
        <v>89759</v>
      </c>
      <c r="B2164" s="142" t="s">
        <v>888</v>
      </c>
      <c r="C2164" s="143" t="s">
        <v>417</v>
      </c>
      <c r="D2164" s="143" t="s">
        <v>242</v>
      </c>
      <c r="E2164" s="142"/>
      <c r="F2164" s="142"/>
    </row>
    <row r="2165" spans="1:7" s="113" customFormat="1" x14ac:dyDescent="0.25">
      <c r="A2165" s="141">
        <v>90380</v>
      </c>
      <c r="B2165" s="142" t="s">
        <v>889</v>
      </c>
      <c r="C2165" s="143" t="s">
        <v>122</v>
      </c>
      <c r="D2165" s="143" t="s">
        <v>150</v>
      </c>
      <c r="E2165" s="142"/>
      <c r="F2165" s="142"/>
    </row>
    <row r="2166" spans="1:7" s="113" customFormat="1" x14ac:dyDescent="0.25">
      <c r="A2166" s="190">
        <v>90677</v>
      </c>
      <c r="B2166" s="606" t="s">
        <v>2917</v>
      </c>
      <c r="C2166" s="606" t="s">
        <v>22</v>
      </c>
      <c r="D2166" s="606" t="s">
        <v>268</v>
      </c>
      <c r="E2166" s="606"/>
      <c r="F2166" s="606"/>
    </row>
    <row r="2167" spans="1:7" s="113" customFormat="1" ht="26.25" x14ac:dyDescent="0.25">
      <c r="A2167" s="195">
        <v>90677</v>
      </c>
      <c r="B2167" s="133" t="s">
        <v>2917</v>
      </c>
      <c r="C2167" s="146" t="s">
        <v>22</v>
      </c>
      <c r="D2167" s="146" t="s">
        <v>268</v>
      </c>
      <c r="E2167" s="606"/>
      <c r="F2167" s="187"/>
    </row>
    <row r="2168" spans="1:7" s="113" customFormat="1" x14ac:dyDescent="0.25">
      <c r="A2168" s="187">
        <v>90797</v>
      </c>
      <c r="B2168" s="187" t="s">
        <v>2688</v>
      </c>
      <c r="C2168" s="187" t="s">
        <v>47</v>
      </c>
      <c r="D2168" s="148" t="s">
        <v>179</v>
      </c>
      <c r="E2168" s="606"/>
      <c r="F2168" s="187"/>
    </row>
    <row r="2169" spans="1:7" s="113" customFormat="1" x14ac:dyDescent="0.25">
      <c r="A2169" s="141">
        <v>90800</v>
      </c>
      <c r="B2169" s="142" t="s">
        <v>890</v>
      </c>
      <c r="C2169" s="143" t="s">
        <v>167</v>
      </c>
      <c r="D2169" s="143" t="s">
        <v>11</v>
      </c>
      <c r="E2169" s="142"/>
      <c r="F2169" s="142"/>
    </row>
    <row r="2170" spans="1:7" s="113" customFormat="1" ht="26.25" x14ac:dyDescent="0.25">
      <c r="A2170" s="141">
        <v>90802</v>
      </c>
      <c r="B2170" s="142" t="s">
        <v>891</v>
      </c>
      <c r="C2170" s="143" t="s">
        <v>1478</v>
      </c>
      <c r="D2170" s="143" t="s">
        <v>7</v>
      </c>
      <c r="E2170" s="142"/>
      <c r="F2170" s="142"/>
    </row>
    <row r="2171" spans="1:7" s="113" customFormat="1" x14ac:dyDescent="0.25">
      <c r="A2171" s="141">
        <v>91459</v>
      </c>
      <c r="B2171" s="142" t="s">
        <v>2354</v>
      </c>
      <c r="C2171" s="149" t="s">
        <v>67</v>
      </c>
      <c r="D2171" s="143" t="s">
        <v>1494</v>
      </c>
      <c r="E2171" s="142"/>
      <c r="F2171" s="142"/>
    </row>
    <row r="2172" spans="1:7" s="113" customFormat="1" x14ac:dyDescent="0.25">
      <c r="A2172" s="141">
        <v>92726</v>
      </c>
      <c r="B2172" s="142" t="s">
        <v>892</v>
      </c>
      <c r="C2172" s="143" t="s">
        <v>9</v>
      </c>
      <c r="D2172" s="143" t="s">
        <v>7</v>
      </c>
      <c r="E2172" s="142"/>
      <c r="F2172" s="142"/>
    </row>
    <row r="2173" spans="1:7" s="113" customFormat="1" x14ac:dyDescent="0.25">
      <c r="A2173" s="141">
        <v>92738</v>
      </c>
      <c r="B2173" s="142" t="s">
        <v>1244</v>
      </c>
      <c r="C2173" s="143" t="s">
        <v>12</v>
      </c>
      <c r="D2173" s="143" t="s">
        <v>11</v>
      </c>
      <c r="E2173" s="142"/>
      <c r="F2173" s="142"/>
    </row>
    <row r="2174" spans="1:7" s="113" customFormat="1" x14ac:dyDescent="0.25">
      <c r="A2174" s="141">
        <v>96334</v>
      </c>
      <c r="B2174" s="142" t="s">
        <v>2355</v>
      </c>
      <c r="C2174" s="143" t="s">
        <v>140</v>
      </c>
      <c r="D2174" s="143" t="s">
        <v>7</v>
      </c>
      <c r="E2174" s="142"/>
      <c r="F2174" s="142"/>
    </row>
    <row r="2175" spans="1:7" s="113" customFormat="1" ht="26.25" x14ac:dyDescent="0.25">
      <c r="A2175" s="141">
        <v>96439</v>
      </c>
      <c r="B2175" s="142" t="s">
        <v>2356</v>
      </c>
      <c r="C2175" s="143" t="s">
        <v>20</v>
      </c>
      <c r="D2175" s="143" t="s">
        <v>150</v>
      </c>
      <c r="E2175" s="142"/>
      <c r="F2175" s="142"/>
    </row>
    <row r="2176" spans="1:7" s="113" customFormat="1" ht="26.25" x14ac:dyDescent="0.25">
      <c r="A2176" s="141">
        <v>97265</v>
      </c>
      <c r="B2176" s="142" t="s">
        <v>2357</v>
      </c>
      <c r="C2176" s="143" t="s">
        <v>3039</v>
      </c>
      <c r="D2176" s="143" t="s">
        <v>154</v>
      </c>
      <c r="E2176" s="142"/>
      <c r="F2176" s="142"/>
    </row>
    <row r="2177" spans="1:7" s="113" customFormat="1" ht="39" x14ac:dyDescent="0.25">
      <c r="A2177" s="141">
        <v>97327</v>
      </c>
      <c r="B2177" s="142" t="s">
        <v>893</v>
      </c>
      <c r="C2177" s="143" t="s">
        <v>1590</v>
      </c>
      <c r="D2177" s="143" t="s">
        <v>415</v>
      </c>
      <c r="E2177" s="142"/>
      <c r="F2177" s="142"/>
    </row>
    <row r="2178" spans="1:7" s="113" customFormat="1" x14ac:dyDescent="0.25">
      <c r="A2178" s="141">
        <v>97491</v>
      </c>
      <c r="B2178" s="142" t="s">
        <v>2358</v>
      </c>
      <c r="C2178" s="143" t="s">
        <v>167</v>
      </c>
      <c r="D2178" s="143" t="s">
        <v>173</v>
      </c>
      <c r="E2178" s="142"/>
      <c r="F2178" s="142"/>
    </row>
    <row r="2179" spans="1:7" s="113" customFormat="1" x14ac:dyDescent="0.25">
      <c r="A2179" s="141">
        <v>97552</v>
      </c>
      <c r="B2179" s="142" t="s">
        <v>2359</v>
      </c>
      <c r="C2179" s="143" t="s">
        <v>63</v>
      </c>
      <c r="D2179" s="143" t="s">
        <v>7</v>
      </c>
      <c r="E2179" s="142"/>
      <c r="F2179" s="142"/>
    </row>
    <row r="2180" spans="1:7" s="113" customFormat="1" ht="26.25" x14ac:dyDescent="0.25">
      <c r="A2180" s="141">
        <v>97754</v>
      </c>
      <c r="B2180" s="142" t="s">
        <v>1174</v>
      </c>
      <c r="C2180" s="143" t="s">
        <v>417</v>
      </c>
      <c r="D2180" s="143" t="s">
        <v>7</v>
      </c>
      <c r="E2180" s="142"/>
      <c r="F2180" s="142"/>
    </row>
    <row r="2181" spans="1:7" s="113" customFormat="1" ht="26.25" x14ac:dyDescent="0.25">
      <c r="A2181" s="141">
        <v>97777</v>
      </c>
      <c r="B2181" s="142" t="s">
        <v>894</v>
      </c>
      <c r="C2181" s="143" t="s">
        <v>914</v>
      </c>
      <c r="D2181" s="143" t="s">
        <v>11</v>
      </c>
      <c r="E2181" s="142"/>
      <c r="F2181" s="142"/>
    </row>
    <row r="2182" spans="1:7" s="113" customFormat="1" ht="26.25" x14ac:dyDescent="0.25">
      <c r="A2182" s="141">
        <v>97786</v>
      </c>
      <c r="B2182" s="142" t="s">
        <v>895</v>
      </c>
      <c r="C2182" s="143" t="s">
        <v>22</v>
      </c>
      <c r="D2182" s="143" t="s">
        <v>7</v>
      </c>
      <c r="E2182" s="142"/>
      <c r="F2182" s="142"/>
    </row>
    <row r="2183" spans="1:7" s="113" customFormat="1" ht="26.25" x14ac:dyDescent="0.25">
      <c r="A2183" s="141">
        <v>97794</v>
      </c>
      <c r="B2183" s="142" t="s">
        <v>1256</v>
      </c>
      <c r="C2183" s="143" t="s">
        <v>5</v>
      </c>
      <c r="D2183" s="143" t="s">
        <v>242</v>
      </c>
      <c r="E2183" s="142"/>
      <c r="F2183" s="142"/>
    </row>
    <row r="2184" spans="1:7" s="113" customFormat="1" x14ac:dyDescent="0.25">
      <c r="A2184" s="195">
        <v>98012</v>
      </c>
      <c r="B2184" s="188" t="s">
        <v>2857</v>
      </c>
      <c r="C2184" s="146" t="s">
        <v>167</v>
      </c>
      <c r="D2184" s="146" t="s">
        <v>109</v>
      </c>
      <c r="E2184" s="606"/>
      <c r="F2184" s="606"/>
    </row>
    <row r="2185" spans="1:7" s="113" customFormat="1" x14ac:dyDescent="0.25">
      <c r="A2185" s="141">
        <v>98041</v>
      </c>
      <c r="B2185" s="142" t="s">
        <v>896</v>
      </c>
      <c r="C2185" s="143" t="s">
        <v>167</v>
      </c>
      <c r="D2185" s="143" t="s">
        <v>173</v>
      </c>
      <c r="E2185" s="142"/>
      <c r="F2185" s="142"/>
    </row>
    <row r="2186" spans="1:7" s="113" customFormat="1" x14ac:dyDescent="0.25">
      <c r="A2186" s="247">
        <v>98043</v>
      </c>
      <c r="B2186" s="250" t="s">
        <v>1403</v>
      </c>
      <c r="C2186" s="143" t="s">
        <v>41</v>
      </c>
      <c r="D2186" s="260" t="s">
        <v>150</v>
      </c>
      <c r="E2186" s="250"/>
      <c r="F2186" s="250"/>
      <c r="G2186" s="607"/>
    </row>
    <row r="2187" spans="1:7" s="113" customFormat="1" x14ac:dyDescent="0.25">
      <c r="A2187" s="190">
        <v>98061</v>
      </c>
      <c r="B2187" s="606" t="s">
        <v>2963</v>
      </c>
      <c r="C2187" s="606" t="s">
        <v>914</v>
      </c>
      <c r="D2187" s="606" t="s">
        <v>154</v>
      </c>
      <c r="E2187" s="606"/>
      <c r="F2187" s="606"/>
    </row>
    <row r="2188" spans="1:7" s="113" customFormat="1" ht="26.25" x14ac:dyDescent="0.25">
      <c r="A2188" s="195">
        <v>98061</v>
      </c>
      <c r="B2188" s="188" t="s">
        <v>2963</v>
      </c>
      <c r="C2188" s="146" t="s">
        <v>914</v>
      </c>
      <c r="D2188" s="146" t="s">
        <v>154</v>
      </c>
      <c r="E2188" s="606"/>
      <c r="F2188" s="187"/>
    </row>
    <row r="2189" spans="1:7" s="113" customFormat="1" ht="26.25" x14ac:dyDescent="0.25">
      <c r="A2189" s="141">
        <v>98085</v>
      </c>
      <c r="B2189" s="142" t="s">
        <v>2360</v>
      </c>
      <c r="C2189" s="143" t="s">
        <v>144</v>
      </c>
      <c r="D2189" s="143" t="s">
        <v>173</v>
      </c>
      <c r="E2189" s="142"/>
      <c r="F2189" s="142"/>
    </row>
    <row r="2190" spans="1:7" s="113" customFormat="1" ht="26.25" x14ac:dyDescent="0.25">
      <c r="A2190" s="141">
        <v>98148</v>
      </c>
      <c r="B2190" s="142" t="s">
        <v>1175</v>
      </c>
      <c r="C2190" s="143" t="s">
        <v>120</v>
      </c>
      <c r="D2190" s="143" t="s">
        <v>551</v>
      </c>
      <c r="E2190" s="142"/>
      <c r="F2190" s="142"/>
    </row>
    <row r="2191" spans="1:7" s="113" customFormat="1" x14ac:dyDescent="0.25">
      <c r="A2191" s="141">
        <v>98152</v>
      </c>
      <c r="B2191" s="142" t="s">
        <v>897</v>
      </c>
      <c r="C2191" s="143" t="s">
        <v>1455</v>
      </c>
      <c r="D2191" s="143" t="s">
        <v>150</v>
      </c>
      <c r="E2191" s="142"/>
      <c r="F2191" s="142"/>
    </row>
    <row r="2192" spans="1:7" s="113" customFormat="1" x14ac:dyDescent="0.25">
      <c r="A2192" s="153">
        <v>98166</v>
      </c>
      <c r="B2192" s="154" t="s">
        <v>2361</v>
      </c>
      <c r="C2192" s="143" t="s">
        <v>41</v>
      </c>
      <c r="D2192" s="143" t="s">
        <v>154</v>
      </c>
      <c r="E2192" s="142"/>
      <c r="F2192" s="142"/>
    </row>
    <row r="2193" spans="1:6" s="113" customFormat="1" x14ac:dyDescent="0.25">
      <c r="A2193" s="141">
        <v>98254</v>
      </c>
      <c r="B2193" s="142" t="s">
        <v>898</v>
      </c>
      <c r="C2193" s="143" t="s">
        <v>34</v>
      </c>
      <c r="D2193" s="143" t="s">
        <v>116</v>
      </c>
      <c r="E2193" s="142"/>
      <c r="F2193" s="142"/>
    </row>
    <row r="2194" spans="1:6" s="113" customFormat="1" ht="26.25" x14ac:dyDescent="0.25">
      <c r="A2194" s="141">
        <v>98561</v>
      </c>
      <c r="B2194" s="142" t="s">
        <v>1364</v>
      </c>
      <c r="C2194" s="143" t="s">
        <v>16</v>
      </c>
      <c r="D2194" s="143" t="s">
        <v>154</v>
      </c>
      <c r="E2194" s="142"/>
      <c r="F2194" s="142"/>
    </row>
    <row r="2195" spans="1:6" s="113" customFormat="1" x14ac:dyDescent="0.25">
      <c r="A2195" s="195">
        <v>98768</v>
      </c>
      <c r="B2195" s="187" t="s">
        <v>3507</v>
      </c>
      <c r="C2195" s="187" t="s">
        <v>17</v>
      </c>
      <c r="D2195" s="146" t="s">
        <v>154</v>
      </c>
      <c r="E2195" s="606"/>
      <c r="F2195" s="187"/>
    </row>
    <row r="2196" spans="1:6" s="113" customFormat="1" x14ac:dyDescent="0.25">
      <c r="A2196" s="141">
        <v>98873</v>
      </c>
      <c r="B2196" s="142" t="s">
        <v>899</v>
      </c>
      <c r="C2196" s="143" t="s">
        <v>41</v>
      </c>
      <c r="D2196" s="143" t="s">
        <v>154</v>
      </c>
      <c r="E2196" s="142"/>
      <c r="F2196" s="142"/>
    </row>
    <row r="2197" spans="1:6" s="113" customFormat="1" x14ac:dyDescent="0.25">
      <c r="A2197" s="190">
        <v>99006</v>
      </c>
      <c r="B2197" s="187" t="s">
        <v>2660</v>
      </c>
      <c r="C2197" s="187" t="s">
        <v>140</v>
      </c>
      <c r="D2197" s="606" t="s">
        <v>453</v>
      </c>
      <c r="E2197" s="606"/>
      <c r="F2197" s="606"/>
    </row>
    <row r="2198" spans="1:6" s="113" customFormat="1" x14ac:dyDescent="0.25">
      <c r="A2198" s="195">
        <v>99006</v>
      </c>
      <c r="B2198" s="188" t="s">
        <v>2660</v>
      </c>
      <c r="C2198" s="146" t="s">
        <v>140</v>
      </c>
      <c r="D2198" s="148" t="s">
        <v>453</v>
      </c>
      <c r="E2198" s="606"/>
      <c r="F2198" s="187"/>
    </row>
    <row r="2199" spans="1:6" s="113" customFormat="1" x14ac:dyDescent="0.25">
      <c r="A2199" s="190">
        <v>99036</v>
      </c>
      <c r="B2199" s="187" t="s">
        <v>2682</v>
      </c>
      <c r="C2199" s="606" t="s">
        <v>914</v>
      </c>
      <c r="D2199" s="606" t="s">
        <v>116</v>
      </c>
      <c r="E2199" s="606"/>
      <c r="F2199" s="606"/>
    </row>
    <row r="2200" spans="1:6" s="113" customFormat="1" x14ac:dyDescent="0.25">
      <c r="A2200" s="187">
        <v>99036</v>
      </c>
      <c r="B2200" s="188" t="s">
        <v>2682</v>
      </c>
      <c r="C2200" s="606"/>
      <c r="D2200" s="606"/>
      <c r="E2200" s="606"/>
      <c r="F2200" s="606"/>
    </row>
    <row r="2201" spans="1:6" s="113" customFormat="1" ht="26.25" x14ac:dyDescent="0.25">
      <c r="A2201" s="141">
        <v>99257</v>
      </c>
      <c r="B2201" s="142" t="s">
        <v>2362</v>
      </c>
      <c r="C2201" s="143" t="s">
        <v>16</v>
      </c>
      <c r="D2201" s="143" t="s">
        <v>7</v>
      </c>
      <c r="E2201" s="142"/>
      <c r="F2201" s="142"/>
    </row>
    <row r="2202" spans="1:6" s="113" customFormat="1" ht="26.25" x14ac:dyDescent="0.25">
      <c r="A2202" s="141">
        <v>99537</v>
      </c>
      <c r="B2202" s="142" t="s">
        <v>900</v>
      </c>
      <c r="C2202" s="143" t="s">
        <v>96</v>
      </c>
      <c r="D2202" s="143" t="s">
        <v>109</v>
      </c>
      <c r="E2202" s="142"/>
      <c r="F2202" s="142"/>
    </row>
    <row r="2203" spans="1:6" s="113" customFormat="1" x14ac:dyDescent="0.25">
      <c r="A2203" s="141">
        <v>99540</v>
      </c>
      <c r="B2203" s="142" t="s">
        <v>2363</v>
      </c>
      <c r="C2203" s="143" t="s">
        <v>140</v>
      </c>
      <c r="D2203" s="143" t="s">
        <v>7</v>
      </c>
      <c r="E2203" s="142"/>
      <c r="F2203" s="142"/>
    </row>
    <row r="2204" spans="1:6" s="113" customFormat="1" ht="26.25" x14ac:dyDescent="0.25">
      <c r="A2204" s="141">
        <v>99541</v>
      </c>
      <c r="B2204" s="142" t="s">
        <v>901</v>
      </c>
      <c r="C2204" s="143" t="s">
        <v>140</v>
      </c>
      <c r="D2204" s="143" t="s">
        <v>2364</v>
      </c>
      <c r="E2204" s="142"/>
      <c r="F2204" s="142"/>
    </row>
    <row r="2205" spans="1:6" s="113" customFormat="1" x14ac:dyDescent="0.25">
      <c r="A2205" s="141">
        <v>99555</v>
      </c>
      <c r="B2205" s="142" t="s">
        <v>902</v>
      </c>
      <c r="C2205" s="143" t="s">
        <v>599</v>
      </c>
      <c r="D2205" s="143" t="s">
        <v>242</v>
      </c>
      <c r="E2205" s="142"/>
      <c r="F2205" s="142"/>
    </row>
    <row r="2206" spans="1:6" s="113" customFormat="1" ht="26.25" x14ac:dyDescent="0.25">
      <c r="A2206" s="141">
        <v>99572</v>
      </c>
      <c r="B2206" s="142" t="s">
        <v>2365</v>
      </c>
      <c r="C2206" s="143" t="s">
        <v>96</v>
      </c>
      <c r="D2206" s="143" t="s">
        <v>11</v>
      </c>
      <c r="E2206" s="142"/>
      <c r="F2206" s="142"/>
    </row>
    <row r="2207" spans="1:6" s="113" customFormat="1" ht="26.25" x14ac:dyDescent="0.25">
      <c r="A2207" s="141">
        <v>99573</v>
      </c>
      <c r="B2207" s="142" t="s">
        <v>2366</v>
      </c>
      <c r="C2207" s="143" t="s">
        <v>1478</v>
      </c>
      <c r="D2207" s="143" t="s">
        <v>173</v>
      </c>
      <c r="E2207" s="142"/>
      <c r="F2207" s="142"/>
    </row>
    <row r="2208" spans="1:6" s="113" customFormat="1" ht="26.25" x14ac:dyDescent="0.25">
      <c r="A2208" s="247">
        <v>99595</v>
      </c>
      <c r="B2208" s="250" t="s">
        <v>1288</v>
      </c>
      <c r="C2208" s="143" t="s">
        <v>1478</v>
      </c>
      <c r="D2208" s="260" t="s">
        <v>173</v>
      </c>
      <c r="E2208" s="250"/>
      <c r="F2208" s="250"/>
    </row>
    <row r="2209" spans="1:8" s="113" customFormat="1" ht="26.25" x14ac:dyDescent="0.25">
      <c r="A2209" s="141">
        <v>99631</v>
      </c>
      <c r="B2209" s="142" t="s">
        <v>903</v>
      </c>
      <c r="C2209" s="143" t="s">
        <v>27</v>
      </c>
      <c r="D2209" s="143" t="s">
        <v>242</v>
      </c>
      <c r="E2209" s="142"/>
      <c r="F2209" s="142"/>
    </row>
    <row r="2210" spans="1:8" s="113" customFormat="1" ht="26.25" x14ac:dyDescent="0.25">
      <c r="A2210" s="141">
        <v>99641</v>
      </c>
      <c r="B2210" s="142" t="s">
        <v>1474</v>
      </c>
      <c r="C2210" s="143" t="s">
        <v>16</v>
      </c>
      <c r="D2210" s="143" t="s">
        <v>302</v>
      </c>
      <c r="E2210" s="250"/>
      <c r="F2210" s="250"/>
    </row>
    <row r="2211" spans="1:8" s="113" customFormat="1" x14ac:dyDescent="0.25">
      <c r="A2211" s="247">
        <v>99667</v>
      </c>
      <c r="B2211" s="250" t="s">
        <v>1377</v>
      </c>
      <c r="C2211" s="143" t="s">
        <v>47</v>
      </c>
      <c r="D2211" s="143" t="s">
        <v>56</v>
      </c>
      <c r="E2211" s="250"/>
      <c r="F2211" s="250"/>
    </row>
    <row r="2212" spans="1:8" s="113" customFormat="1" x14ac:dyDescent="0.25">
      <c r="A2212" s="141">
        <v>99669</v>
      </c>
      <c r="B2212" s="142" t="s">
        <v>904</v>
      </c>
      <c r="C2212" s="143" t="s">
        <v>41</v>
      </c>
      <c r="D2212" s="143" t="s">
        <v>154</v>
      </c>
      <c r="E2212" s="142"/>
      <c r="F2212" s="142"/>
    </row>
    <row r="2213" spans="1:8" s="113" customFormat="1" x14ac:dyDescent="0.25">
      <c r="A2213" s="141">
        <v>99709</v>
      </c>
      <c r="B2213" s="142" t="s">
        <v>1236</v>
      </c>
      <c r="C2213" s="143" t="s">
        <v>73</v>
      </c>
      <c r="D2213" s="143" t="s">
        <v>302</v>
      </c>
      <c r="E2213" s="142"/>
      <c r="F2213" s="142"/>
    </row>
    <row r="2214" spans="1:8" s="113" customFormat="1" ht="26.25" x14ac:dyDescent="0.25">
      <c r="A2214" s="247">
        <v>99991</v>
      </c>
      <c r="B2214" s="250" t="s">
        <v>1527</v>
      </c>
      <c r="C2214" s="143" t="s">
        <v>22</v>
      </c>
      <c r="D2214" s="260" t="s">
        <v>268</v>
      </c>
      <c r="E2214" s="250"/>
      <c r="F2214" s="250"/>
    </row>
    <row r="2215" spans="1:8" s="113" customFormat="1" ht="39" x14ac:dyDescent="0.25">
      <c r="A2215" s="141">
        <v>101300</v>
      </c>
      <c r="B2215" s="144" t="s">
        <v>905</v>
      </c>
      <c r="C2215" s="143" t="s">
        <v>27</v>
      </c>
      <c r="D2215" s="148" t="s">
        <v>2367</v>
      </c>
      <c r="E2215" s="144"/>
      <c r="F2215" s="142"/>
    </row>
    <row r="2216" spans="1:8" s="113" customFormat="1" x14ac:dyDescent="0.25">
      <c r="A2216" s="141">
        <v>101310</v>
      </c>
      <c r="B2216" s="142" t="s">
        <v>906</v>
      </c>
      <c r="C2216" s="143" t="s">
        <v>44</v>
      </c>
      <c r="D2216" s="143" t="s">
        <v>11</v>
      </c>
      <c r="E2216" s="142"/>
      <c r="F2216" s="142"/>
      <c r="H2216" s="607"/>
    </row>
    <row r="2217" spans="1:8" s="113" customFormat="1" ht="26.25" x14ac:dyDescent="0.25">
      <c r="A2217" s="247">
        <v>101311</v>
      </c>
      <c r="B2217" s="250" t="s">
        <v>1289</v>
      </c>
      <c r="C2217" s="143" t="s">
        <v>4</v>
      </c>
      <c r="D2217" s="260" t="s">
        <v>1290</v>
      </c>
      <c r="E2217" s="250"/>
      <c r="F2217" s="250"/>
    </row>
    <row r="2218" spans="1:8" s="113" customFormat="1" ht="26.25" x14ac:dyDescent="0.25">
      <c r="A2218" s="141">
        <v>101455</v>
      </c>
      <c r="B2218" s="142" t="s">
        <v>907</v>
      </c>
      <c r="C2218" s="143" t="s">
        <v>27</v>
      </c>
      <c r="D2218" s="143" t="s">
        <v>11</v>
      </c>
      <c r="E2218" s="142"/>
      <c r="F2218" s="142"/>
    </row>
    <row r="2219" spans="1:8" s="113" customFormat="1" x14ac:dyDescent="0.25">
      <c r="A2219" s="187">
        <v>101587</v>
      </c>
      <c r="B2219" s="187" t="s">
        <v>3617</v>
      </c>
      <c r="C2219" s="187" t="s">
        <v>914</v>
      </c>
      <c r="D2219" s="187" t="s">
        <v>3329</v>
      </c>
      <c r="E2219" s="187"/>
      <c r="F2219" s="187"/>
    </row>
    <row r="2220" spans="1:8" s="113" customFormat="1" x14ac:dyDescent="0.25">
      <c r="A2220" s="187">
        <v>101635</v>
      </c>
      <c r="B2220" s="188" t="s">
        <v>2942</v>
      </c>
      <c r="C2220" s="146" t="s">
        <v>73</v>
      </c>
      <c r="D2220" s="148" t="s">
        <v>11</v>
      </c>
      <c r="E2220" s="606"/>
      <c r="F2220" s="606"/>
    </row>
    <row r="2221" spans="1:8" s="113" customFormat="1" x14ac:dyDescent="0.25">
      <c r="A2221" s="195">
        <v>101635</v>
      </c>
      <c r="B2221" s="188" t="s">
        <v>2942</v>
      </c>
      <c r="C2221" s="146" t="s">
        <v>73</v>
      </c>
      <c r="D2221" s="146" t="s">
        <v>11</v>
      </c>
      <c r="E2221" s="606"/>
      <c r="F2221" s="187"/>
    </row>
    <row r="2222" spans="1:8" s="113" customFormat="1" ht="26.25" x14ac:dyDescent="0.25">
      <c r="A2222" s="195">
        <v>104032</v>
      </c>
      <c r="B2222" s="188" t="s">
        <v>2833</v>
      </c>
      <c r="C2222" s="146" t="s">
        <v>16</v>
      </c>
      <c r="D2222" s="146" t="s">
        <v>302</v>
      </c>
      <c r="E2222" s="606"/>
      <c r="F2222" s="606"/>
      <c r="G2222" s="607"/>
      <c r="H2222" s="607"/>
    </row>
    <row r="2223" spans="1:8" s="113" customFormat="1" ht="39" x14ac:dyDescent="0.25">
      <c r="A2223" s="141">
        <v>104213</v>
      </c>
      <c r="B2223" s="142" t="s">
        <v>1222</v>
      </c>
      <c r="C2223" s="143" t="s">
        <v>914</v>
      </c>
      <c r="D2223" s="143" t="s">
        <v>1365</v>
      </c>
      <c r="E2223" s="142"/>
      <c r="F2223" s="142"/>
    </row>
    <row r="2224" spans="1:8" s="113" customFormat="1" x14ac:dyDescent="0.25">
      <c r="A2224" s="190">
        <v>104301</v>
      </c>
      <c r="B2224" s="187" t="s">
        <v>2692</v>
      </c>
      <c r="C2224" s="187" t="s">
        <v>914</v>
      </c>
      <c r="D2224" s="187" t="s">
        <v>2693</v>
      </c>
      <c r="E2224" s="606"/>
      <c r="F2224" s="606"/>
    </row>
    <row r="2225" spans="1:6" s="113" customFormat="1" x14ac:dyDescent="0.25">
      <c r="A2225" s="141">
        <v>104517</v>
      </c>
      <c r="B2225" s="142" t="s">
        <v>908</v>
      </c>
      <c r="C2225" s="143" t="s">
        <v>44</v>
      </c>
      <c r="D2225" s="143" t="s">
        <v>7</v>
      </c>
      <c r="E2225" s="142"/>
      <c r="F2225" s="142"/>
    </row>
    <row r="2226" spans="1:6" s="113" customFormat="1" x14ac:dyDescent="0.25">
      <c r="A2226" s="247">
        <v>104719</v>
      </c>
      <c r="B2226" s="248" t="s">
        <v>1485</v>
      </c>
      <c r="C2226" s="143" t="s">
        <v>140</v>
      </c>
      <c r="D2226" s="244" t="s">
        <v>109</v>
      </c>
      <c r="E2226" s="248"/>
      <c r="F2226" s="248"/>
    </row>
    <row r="2227" spans="1:6" s="113" customFormat="1" x14ac:dyDescent="0.25">
      <c r="A2227" s="141">
        <v>104807</v>
      </c>
      <c r="B2227" s="142" t="s">
        <v>909</v>
      </c>
      <c r="C2227" s="143" t="s">
        <v>41</v>
      </c>
      <c r="D2227" s="143" t="s">
        <v>242</v>
      </c>
      <c r="E2227" s="142"/>
      <c r="F2227" s="142"/>
    </row>
    <row r="2228" spans="1:6" s="113" customFormat="1" x14ac:dyDescent="0.25">
      <c r="A2228" s="141">
        <v>105174</v>
      </c>
      <c r="B2228" s="142" t="s">
        <v>910</v>
      </c>
      <c r="C2228" s="143" t="s">
        <v>9</v>
      </c>
      <c r="D2228" s="143" t="s">
        <v>7</v>
      </c>
      <c r="E2228" s="142"/>
      <c r="F2228" s="142"/>
    </row>
    <row r="2229" spans="1:6" s="113" customFormat="1" ht="26.25" x14ac:dyDescent="0.25">
      <c r="A2229" s="141">
        <v>105186</v>
      </c>
      <c r="B2229" s="144" t="s">
        <v>911</v>
      </c>
      <c r="C2229" s="143" t="s">
        <v>49</v>
      </c>
      <c r="D2229" s="146" t="s">
        <v>154</v>
      </c>
      <c r="E2229" s="142"/>
      <c r="F2229" s="142"/>
    </row>
    <row r="2230" spans="1:6" s="113" customFormat="1" ht="26.25" x14ac:dyDescent="0.25">
      <c r="A2230" s="141">
        <v>105221</v>
      </c>
      <c r="B2230" s="142" t="s">
        <v>2368</v>
      </c>
      <c r="C2230" s="143" t="s">
        <v>1478</v>
      </c>
      <c r="D2230" s="143" t="s">
        <v>173</v>
      </c>
      <c r="E2230" s="142"/>
      <c r="F2230" s="142"/>
    </row>
    <row r="2231" spans="1:6" s="113" customFormat="1" ht="26.25" x14ac:dyDescent="0.25">
      <c r="A2231" s="141">
        <v>105289</v>
      </c>
      <c r="B2231" s="142" t="s">
        <v>912</v>
      </c>
      <c r="C2231" s="143" t="s">
        <v>914</v>
      </c>
      <c r="D2231" s="143" t="s">
        <v>154</v>
      </c>
      <c r="E2231" s="142"/>
      <c r="F2231" s="142"/>
    </row>
    <row r="2232" spans="1:6" s="113" customFormat="1" ht="26.25" x14ac:dyDescent="0.25">
      <c r="A2232" s="141">
        <v>106444</v>
      </c>
      <c r="B2232" s="144" t="s">
        <v>913</v>
      </c>
      <c r="C2232" s="143" t="s">
        <v>914</v>
      </c>
      <c r="D2232" s="146" t="s">
        <v>242</v>
      </c>
      <c r="E2232" s="142"/>
      <c r="F2232" s="142"/>
    </row>
    <row r="2233" spans="1:6" s="113" customFormat="1" ht="26.25" x14ac:dyDescent="0.25">
      <c r="A2233" s="141">
        <v>106594</v>
      </c>
      <c r="B2233" s="142" t="s">
        <v>915</v>
      </c>
      <c r="C2233" s="143" t="s">
        <v>914</v>
      </c>
      <c r="D2233" s="143" t="s">
        <v>21</v>
      </c>
      <c r="E2233" s="142"/>
      <c r="F2233" s="142"/>
    </row>
    <row r="2234" spans="1:6" s="113" customFormat="1" x14ac:dyDescent="0.25">
      <c r="A2234" s="247">
        <v>106940</v>
      </c>
      <c r="B2234" s="250" t="s">
        <v>1386</v>
      </c>
      <c r="C2234" s="143" t="s">
        <v>41</v>
      </c>
      <c r="D2234" s="260" t="s">
        <v>242</v>
      </c>
      <c r="E2234" s="250"/>
      <c r="F2234" s="250"/>
    </row>
    <row r="2235" spans="1:6" s="113" customFormat="1" x14ac:dyDescent="0.25">
      <c r="A2235" s="195">
        <v>106980</v>
      </c>
      <c r="B2235" s="187" t="s">
        <v>3252</v>
      </c>
      <c r="C2235" s="187" t="s">
        <v>167</v>
      </c>
      <c r="D2235" s="148" t="s">
        <v>173</v>
      </c>
      <c r="E2235" s="606"/>
      <c r="F2235" s="187"/>
    </row>
    <row r="2236" spans="1:6" s="113" customFormat="1" ht="26.25" x14ac:dyDescent="0.25">
      <c r="A2236" s="141">
        <v>107052</v>
      </c>
      <c r="B2236" s="142" t="s">
        <v>916</v>
      </c>
      <c r="C2236" s="143" t="s">
        <v>8</v>
      </c>
      <c r="D2236" s="143" t="s">
        <v>7</v>
      </c>
      <c r="E2236" s="142"/>
      <c r="F2236" s="142"/>
    </row>
    <row r="2237" spans="1:6" s="113" customFormat="1" x14ac:dyDescent="0.25">
      <c r="A2237" s="187">
        <v>107106</v>
      </c>
      <c r="B2237" s="188" t="s">
        <v>2734</v>
      </c>
      <c r="C2237" s="146" t="s">
        <v>167</v>
      </c>
      <c r="D2237" s="146" t="s">
        <v>173</v>
      </c>
      <c r="E2237" s="606"/>
      <c r="F2237" s="606"/>
    </row>
    <row r="2238" spans="1:6" s="113" customFormat="1" x14ac:dyDescent="0.25">
      <c r="A2238" s="190">
        <v>107106</v>
      </c>
      <c r="B2238" s="606" t="s">
        <v>2734</v>
      </c>
      <c r="C2238" s="606" t="s">
        <v>167</v>
      </c>
      <c r="D2238" s="606" t="s">
        <v>173</v>
      </c>
      <c r="E2238" s="606"/>
      <c r="F2238" s="606"/>
    </row>
    <row r="2239" spans="1:6" s="113" customFormat="1" x14ac:dyDescent="0.25">
      <c r="A2239" s="141">
        <v>107348</v>
      </c>
      <c r="B2239" s="142" t="s">
        <v>2369</v>
      </c>
      <c r="C2239" s="143" t="s">
        <v>167</v>
      </c>
      <c r="D2239" s="143" t="s">
        <v>173</v>
      </c>
      <c r="E2239" s="142"/>
      <c r="F2239" s="142"/>
    </row>
    <row r="2240" spans="1:6" s="113" customFormat="1" x14ac:dyDescent="0.25">
      <c r="A2240" s="141">
        <v>107445</v>
      </c>
      <c r="B2240" s="142" t="s">
        <v>1216</v>
      </c>
      <c r="C2240" s="143" t="s">
        <v>47</v>
      </c>
      <c r="D2240" s="148" t="s">
        <v>159</v>
      </c>
      <c r="E2240" s="142"/>
      <c r="F2240" s="142"/>
    </row>
    <row r="2241" spans="1:7" s="113" customFormat="1" x14ac:dyDescent="0.25">
      <c r="A2241" s="141">
        <v>107612</v>
      </c>
      <c r="B2241" s="142" t="s">
        <v>2371</v>
      </c>
      <c r="C2241" s="143" t="s">
        <v>17</v>
      </c>
      <c r="D2241" s="143" t="s">
        <v>11</v>
      </c>
      <c r="E2241" s="142"/>
      <c r="F2241" s="142"/>
    </row>
    <row r="2242" spans="1:7" s="113" customFormat="1" x14ac:dyDescent="0.25">
      <c r="A2242" s="141">
        <v>107663</v>
      </c>
      <c r="B2242" s="142" t="s">
        <v>2372</v>
      </c>
      <c r="C2242" s="143" t="s">
        <v>167</v>
      </c>
      <c r="D2242" s="143" t="s">
        <v>109</v>
      </c>
      <c r="E2242" s="142"/>
      <c r="F2242" s="142"/>
    </row>
    <row r="2243" spans="1:7" s="113" customFormat="1" x14ac:dyDescent="0.25">
      <c r="A2243" s="141">
        <v>107684</v>
      </c>
      <c r="B2243" s="142" t="s">
        <v>2373</v>
      </c>
      <c r="C2243" s="143" t="s">
        <v>44</v>
      </c>
      <c r="D2243" s="143" t="s">
        <v>154</v>
      </c>
      <c r="E2243" s="142"/>
      <c r="F2243" s="142"/>
    </row>
    <row r="2244" spans="1:7" s="113" customFormat="1" ht="26.25" x14ac:dyDescent="0.25">
      <c r="A2244" s="141">
        <v>107703</v>
      </c>
      <c r="B2244" s="142" t="s">
        <v>2374</v>
      </c>
      <c r="C2244" s="143" t="s">
        <v>16</v>
      </c>
      <c r="D2244" s="143" t="s">
        <v>154</v>
      </c>
      <c r="E2244" s="142"/>
      <c r="F2244" s="142"/>
    </row>
    <row r="2245" spans="1:7" s="113" customFormat="1" x14ac:dyDescent="0.25">
      <c r="A2245" s="141">
        <v>107733</v>
      </c>
      <c r="B2245" s="142" t="s">
        <v>917</v>
      </c>
      <c r="C2245" s="143" t="s">
        <v>24</v>
      </c>
      <c r="D2245" s="143" t="s">
        <v>1835</v>
      </c>
      <c r="E2245" s="142"/>
      <c r="F2245" s="142"/>
    </row>
    <row r="2246" spans="1:7" s="113" customFormat="1" ht="26.25" x14ac:dyDescent="0.25">
      <c r="A2246" s="247">
        <v>107744</v>
      </c>
      <c r="B2246" s="250" t="s">
        <v>1513</v>
      </c>
      <c r="C2246" s="143" t="s">
        <v>27</v>
      </c>
      <c r="D2246" s="148" t="s">
        <v>242</v>
      </c>
      <c r="E2246" s="250"/>
      <c r="F2246" s="250"/>
    </row>
    <row r="2247" spans="1:7" s="113" customFormat="1" ht="26.25" x14ac:dyDescent="0.25">
      <c r="A2247" s="141">
        <v>107747</v>
      </c>
      <c r="B2247" s="142" t="s">
        <v>918</v>
      </c>
      <c r="C2247" s="143" t="s">
        <v>144</v>
      </c>
      <c r="D2247" s="143" t="s">
        <v>173</v>
      </c>
      <c r="E2247" s="142"/>
      <c r="F2247" s="142"/>
    </row>
    <row r="2248" spans="1:7" s="113" customFormat="1" ht="26.25" x14ac:dyDescent="0.25">
      <c r="A2248" s="141">
        <v>107922</v>
      </c>
      <c r="B2248" s="142" t="s">
        <v>919</v>
      </c>
      <c r="C2248" s="143" t="s">
        <v>144</v>
      </c>
      <c r="D2248" s="143" t="s">
        <v>7</v>
      </c>
      <c r="E2248" s="142"/>
      <c r="F2248" s="142"/>
      <c r="G2248" s="607"/>
    </row>
    <row r="2249" spans="1:7" s="113" customFormat="1" x14ac:dyDescent="0.25">
      <c r="A2249" s="141">
        <v>107927</v>
      </c>
      <c r="B2249" s="142" t="s">
        <v>1436</v>
      </c>
      <c r="C2249" s="143" t="s">
        <v>167</v>
      </c>
      <c r="D2249" s="143" t="s">
        <v>173</v>
      </c>
      <c r="E2249" s="142"/>
      <c r="F2249" s="142"/>
    </row>
    <row r="2250" spans="1:7" s="113" customFormat="1" x14ac:dyDescent="0.25">
      <c r="A2250" s="190">
        <v>108217</v>
      </c>
      <c r="B2250" s="188" t="s">
        <v>2548</v>
      </c>
      <c r="C2250" s="187" t="s">
        <v>120</v>
      </c>
      <c r="D2250" s="244" t="s">
        <v>242</v>
      </c>
      <c r="E2250" s="187"/>
      <c r="F2250" s="187"/>
    </row>
    <row r="2251" spans="1:7" s="113" customFormat="1" ht="26.25" x14ac:dyDescent="0.25">
      <c r="A2251" s="141">
        <v>108907</v>
      </c>
      <c r="B2251" s="142" t="s">
        <v>920</v>
      </c>
      <c r="C2251" s="143" t="s">
        <v>16</v>
      </c>
      <c r="D2251" s="143" t="s">
        <v>7</v>
      </c>
      <c r="E2251" s="142"/>
      <c r="F2251" s="142"/>
    </row>
    <row r="2252" spans="1:7" s="113" customFormat="1" x14ac:dyDescent="0.25">
      <c r="A2252" s="141">
        <v>109119</v>
      </c>
      <c r="B2252" s="142" t="s">
        <v>921</v>
      </c>
      <c r="C2252" s="143" t="s">
        <v>64</v>
      </c>
      <c r="D2252" s="143" t="s">
        <v>415</v>
      </c>
      <c r="E2252" s="142"/>
      <c r="F2252" s="142"/>
    </row>
    <row r="2253" spans="1:7" s="113" customFormat="1" ht="26.25" x14ac:dyDescent="0.25">
      <c r="A2253" s="141">
        <v>109150</v>
      </c>
      <c r="B2253" s="142" t="s">
        <v>922</v>
      </c>
      <c r="C2253" s="143" t="s">
        <v>144</v>
      </c>
      <c r="D2253" s="143" t="s">
        <v>173</v>
      </c>
      <c r="E2253" s="142"/>
      <c r="F2253" s="142"/>
    </row>
    <row r="2254" spans="1:7" s="113" customFormat="1" ht="26.25" x14ac:dyDescent="0.25">
      <c r="A2254" s="187">
        <v>109152</v>
      </c>
      <c r="B2254" s="188" t="s">
        <v>2773</v>
      </c>
      <c r="C2254" s="146" t="s">
        <v>914</v>
      </c>
      <c r="D2254" s="148" t="s">
        <v>116</v>
      </c>
      <c r="E2254" s="606"/>
      <c r="F2254" s="606"/>
    </row>
    <row r="2255" spans="1:7" s="113" customFormat="1" ht="26.25" x14ac:dyDescent="0.25">
      <c r="A2255" s="187">
        <v>109152</v>
      </c>
      <c r="B2255" s="188" t="s">
        <v>2773</v>
      </c>
      <c r="C2255" s="146" t="s">
        <v>914</v>
      </c>
      <c r="D2255" s="148" t="s">
        <v>116</v>
      </c>
      <c r="E2255" s="606"/>
      <c r="F2255" s="606"/>
    </row>
    <row r="2256" spans="1:7" s="113" customFormat="1" x14ac:dyDescent="0.25">
      <c r="A2256" s="141">
        <v>109197</v>
      </c>
      <c r="B2256" s="142" t="s">
        <v>923</v>
      </c>
      <c r="C2256" s="143" t="s">
        <v>167</v>
      </c>
      <c r="D2256" s="143" t="s">
        <v>173</v>
      </c>
      <c r="E2256" s="142"/>
      <c r="F2256" s="142"/>
    </row>
    <row r="2257" spans="1:6" s="113" customFormat="1" x14ac:dyDescent="0.25">
      <c r="A2257" s="141">
        <v>109201</v>
      </c>
      <c r="B2257" s="142" t="s">
        <v>2375</v>
      </c>
      <c r="C2257" s="143" t="s">
        <v>47</v>
      </c>
      <c r="D2257" s="143" t="s">
        <v>179</v>
      </c>
      <c r="E2257" s="142"/>
      <c r="F2257" s="142"/>
    </row>
    <row r="2258" spans="1:6" s="113" customFormat="1" ht="26.25" x14ac:dyDescent="0.25">
      <c r="A2258" s="141">
        <v>109220</v>
      </c>
      <c r="B2258" s="256" t="s">
        <v>2376</v>
      </c>
      <c r="C2258" s="143" t="s">
        <v>20</v>
      </c>
      <c r="D2258" s="257" t="s">
        <v>150</v>
      </c>
      <c r="E2258" s="248"/>
      <c r="F2258" s="248"/>
    </row>
    <row r="2259" spans="1:6" s="113" customFormat="1" x14ac:dyDescent="0.25">
      <c r="A2259" s="195">
        <v>109407</v>
      </c>
      <c r="B2259" s="188" t="s">
        <v>2834</v>
      </c>
      <c r="C2259" s="146" t="s">
        <v>9</v>
      </c>
      <c r="D2259" s="146" t="s">
        <v>811</v>
      </c>
      <c r="E2259" s="606"/>
      <c r="F2259" s="606"/>
    </row>
    <row r="2260" spans="1:6" s="113" customFormat="1" ht="26.25" x14ac:dyDescent="0.25">
      <c r="A2260" s="247">
        <v>109463</v>
      </c>
      <c r="B2260" s="250" t="s">
        <v>1375</v>
      </c>
      <c r="C2260" s="143" t="s">
        <v>914</v>
      </c>
      <c r="D2260" s="143" t="s">
        <v>242</v>
      </c>
      <c r="E2260" s="250"/>
      <c r="F2260" s="250"/>
    </row>
    <row r="2261" spans="1:6" s="113" customFormat="1" x14ac:dyDescent="0.25">
      <c r="A2261" s="187">
        <v>109469</v>
      </c>
      <c r="B2261" s="187" t="s">
        <v>3633</v>
      </c>
      <c r="C2261" s="187" t="s">
        <v>22</v>
      </c>
      <c r="D2261" s="187" t="s">
        <v>242</v>
      </c>
      <c r="E2261" s="187"/>
      <c r="F2261" s="187"/>
    </row>
    <row r="2262" spans="1:6" s="113" customFormat="1" x14ac:dyDescent="0.25">
      <c r="A2262" s="190">
        <v>109536</v>
      </c>
      <c r="B2262" s="606" t="s">
        <v>3169</v>
      </c>
      <c r="C2262" s="606" t="s">
        <v>6</v>
      </c>
      <c r="D2262" s="606" t="s">
        <v>116</v>
      </c>
      <c r="E2262" s="606"/>
      <c r="F2262" s="606"/>
    </row>
    <row r="2263" spans="1:6" s="113" customFormat="1" x14ac:dyDescent="0.25">
      <c r="A2263" s="301">
        <v>109536</v>
      </c>
      <c r="B2263" s="608" t="s">
        <v>3169</v>
      </c>
      <c r="C2263" s="608" t="s">
        <v>3345</v>
      </c>
      <c r="D2263" s="608" t="s">
        <v>116</v>
      </c>
      <c r="E2263" s="608"/>
      <c r="F2263" s="608"/>
    </row>
    <row r="2264" spans="1:6" s="113" customFormat="1" ht="26.25" x14ac:dyDescent="0.25">
      <c r="A2264" s="141">
        <v>112963</v>
      </c>
      <c r="B2264" s="142" t="s">
        <v>2377</v>
      </c>
      <c r="C2264" s="143" t="s">
        <v>1478</v>
      </c>
      <c r="D2264" s="143" t="s">
        <v>173</v>
      </c>
      <c r="E2264" s="142"/>
      <c r="F2264" s="142"/>
    </row>
    <row r="2265" spans="1:6" s="113" customFormat="1" ht="26.25" x14ac:dyDescent="0.25">
      <c r="A2265" s="141">
        <v>112982</v>
      </c>
      <c r="B2265" s="142" t="s">
        <v>2378</v>
      </c>
      <c r="C2265" s="143" t="s">
        <v>1478</v>
      </c>
      <c r="D2265" s="143" t="s">
        <v>45</v>
      </c>
      <c r="E2265" s="142"/>
      <c r="F2265" s="142"/>
    </row>
    <row r="2266" spans="1:6" s="113" customFormat="1" ht="39" x14ac:dyDescent="0.25">
      <c r="A2266" s="141">
        <v>113815</v>
      </c>
      <c r="B2266" s="142" t="s">
        <v>1221</v>
      </c>
      <c r="C2266" s="143" t="s">
        <v>914</v>
      </c>
      <c r="D2266" s="143" t="s">
        <v>2379</v>
      </c>
      <c r="E2266" s="142"/>
      <c r="F2266" s="142"/>
    </row>
    <row r="2267" spans="1:6" s="113" customFormat="1" x14ac:dyDescent="0.25">
      <c r="A2267" s="245">
        <v>113837</v>
      </c>
      <c r="B2267" s="246" t="s">
        <v>2587</v>
      </c>
      <c r="C2267" s="246" t="s">
        <v>1455</v>
      </c>
      <c r="D2267" s="246" t="s">
        <v>415</v>
      </c>
      <c r="E2267" s="246"/>
      <c r="F2267" s="246"/>
    </row>
    <row r="2268" spans="1:6" s="113" customFormat="1" ht="26.25" x14ac:dyDescent="0.25">
      <c r="A2268" s="141">
        <v>114059</v>
      </c>
      <c r="B2268" s="142" t="s">
        <v>1176</v>
      </c>
      <c r="C2268" s="143" t="s">
        <v>3</v>
      </c>
      <c r="D2268" s="143" t="s">
        <v>116</v>
      </c>
      <c r="E2268" s="142"/>
      <c r="F2268" s="142"/>
    </row>
    <row r="2269" spans="1:6" s="113" customFormat="1" x14ac:dyDescent="0.25">
      <c r="A2269" s="187">
        <v>114301</v>
      </c>
      <c r="B2269" s="187" t="s">
        <v>3313</v>
      </c>
      <c r="C2269" s="187" t="s">
        <v>65</v>
      </c>
      <c r="D2269" s="187" t="s">
        <v>154</v>
      </c>
      <c r="E2269" s="187"/>
      <c r="F2269" s="187"/>
    </row>
    <row r="2270" spans="1:6" s="113" customFormat="1" ht="26.25" x14ac:dyDescent="0.25">
      <c r="A2270" s="195">
        <v>114318</v>
      </c>
      <c r="B2270" s="188" t="s">
        <v>2933</v>
      </c>
      <c r="C2270" s="143" t="s">
        <v>3039</v>
      </c>
      <c r="D2270" s="146" t="s">
        <v>154</v>
      </c>
      <c r="E2270" s="606"/>
      <c r="F2270" s="187"/>
    </row>
    <row r="2271" spans="1:6" s="113" customFormat="1" x14ac:dyDescent="0.25">
      <c r="A2271" s="141">
        <v>114435</v>
      </c>
      <c r="B2271" s="142" t="s">
        <v>924</v>
      </c>
      <c r="C2271" s="143" t="s">
        <v>167</v>
      </c>
      <c r="D2271" s="143" t="s">
        <v>173</v>
      </c>
      <c r="E2271" s="142"/>
      <c r="F2271" s="142"/>
    </row>
    <row r="2272" spans="1:6" s="113" customFormat="1" x14ac:dyDescent="0.25">
      <c r="A2272" s="141">
        <v>115004</v>
      </c>
      <c r="B2272" s="142" t="s">
        <v>1255</v>
      </c>
      <c r="C2272" s="143" t="s">
        <v>9</v>
      </c>
      <c r="D2272" s="143" t="s">
        <v>540</v>
      </c>
      <c r="E2272" s="142"/>
      <c r="F2272" s="142"/>
    </row>
    <row r="2273" spans="1:8" s="113" customFormat="1" ht="26.25" x14ac:dyDescent="0.25">
      <c r="A2273" s="141">
        <v>115289</v>
      </c>
      <c r="B2273" s="142" t="s">
        <v>925</v>
      </c>
      <c r="C2273" s="143" t="s">
        <v>16</v>
      </c>
      <c r="D2273" s="143" t="s">
        <v>154</v>
      </c>
      <c r="E2273" s="142"/>
      <c r="F2273" s="142"/>
    </row>
    <row r="2274" spans="1:8" s="113" customFormat="1" x14ac:dyDescent="0.25">
      <c r="A2274" s="141">
        <v>115909</v>
      </c>
      <c r="B2274" s="142" t="s">
        <v>926</v>
      </c>
      <c r="C2274" s="143" t="s">
        <v>47</v>
      </c>
      <c r="D2274" s="143" t="s">
        <v>179</v>
      </c>
      <c r="E2274" s="142"/>
      <c r="F2274" s="142"/>
    </row>
    <row r="2275" spans="1:8" s="113" customFormat="1" x14ac:dyDescent="0.25">
      <c r="A2275" s="195">
        <v>116449</v>
      </c>
      <c r="B2275" s="187" t="s">
        <v>3255</v>
      </c>
      <c r="C2275" s="187" t="s">
        <v>8</v>
      </c>
      <c r="D2275" s="148" t="s">
        <v>154</v>
      </c>
      <c r="E2275" s="606"/>
      <c r="F2275" s="187"/>
    </row>
    <row r="2276" spans="1:8" s="113" customFormat="1" ht="26.25" x14ac:dyDescent="0.25">
      <c r="A2276" s="141">
        <v>116702</v>
      </c>
      <c r="B2276" s="142" t="s">
        <v>927</v>
      </c>
      <c r="C2276" s="143" t="s">
        <v>6</v>
      </c>
      <c r="D2276" s="143" t="s">
        <v>154</v>
      </c>
      <c r="E2276" s="142"/>
      <c r="F2276" s="142"/>
    </row>
    <row r="2277" spans="1:8" s="113" customFormat="1" x14ac:dyDescent="0.25">
      <c r="A2277" s="141">
        <v>116864</v>
      </c>
      <c r="B2277" s="142" t="s">
        <v>928</v>
      </c>
      <c r="C2277" s="143" t="s">
        <v>140</v>
      </c>
      <c r="D2277" s="143" t="s">
        <v>148</v>
      </c>
      <c r="E2277" s="142"/>
      <c r="F2277" s="142"/>
      <c r="G2277" s="607"/>
      <c r="H2277" s="607"/>
    </row>
    <row r="2278" spans="1:8" s="113" customFormat="1" x14ac:dyDescent="0.25">
      <c r="A2278" s="195">
        <v>117020</v>
      </c>
      <c r="B2278" s="187" t="s">
        <v>3501</v>
      </c>
      <c r="C2278" s="187" t="s">
        <v>3259</v>
      </c>
      <c r="D2278" s="146" t="s">
        <v>154</v>
      </c>
      <c r="E2278" s="606"/>
      <c r="F2278" s="187"/>
    </row>
    <row r="2279" spans="1:8" s="113" customFormat="1" x14ac:dyDescent="0.25">
      <c r="A2279" s="195">
        <v>117020</v>
      </c>
      <c r="B2279" s="187" t="s">
        <v>3501</v>
      </c>
      <c r="C2279" s="187" t="s">
        <v>3259</v>
      </c>
      <c r="D2279" s="146" t="s">
        <v>154</v>
      </c>
      <c r="E2279" s="606"/>
      <c r="F2279" s="187"/>
    </row>
    <row r="2280" spans="1:8" s="113" customFormat="1" x14ac:dyDescent="0.25">
      <c r="A2280" s="141">
        <v>118062</v>
      </c>
      <c r="B2280" s="142" t="s">
        <v>929</v>
      </c>
      <c r="C2280" s="143" t="s">
        <v>10</v>
      </c>
      <c r="D2280" s="143" t="s">
        <v>242</v>
      </c>
      <c r="E2280" s="142"/>
      <c r="F2280" s="142"/>
    </row>
    <row r="2281" spans="1:8" s="113" customFormat="1" x14ac:dyDescent="0.25">
      <c r="A2281" s="141">
        <v>118078</v>
      </c>
      <c r="B2281" s="142" t="s">
        <v>930</v>
      </c>
      <c r="C2281" s="143" t="s">
        <v>10</v>
      </c>
      <c r="D2281" s="143" t="s">
        <v>125</v>
      </c>
      <c r="E2281" s="142"/>
      <c r="F2281" s="142"/>
    </row>
    <row r="2282" spans="1:8" s="113" customFormat="1" ht="26.25" x14ac:dyDescent="0.25">
      <c r="A2282" s="141">
        <v>118080</v>
      </c>
      <c r="B2282" s="142" t="s">
        <v>931</v>
      </c>
      <c r="C2282" s="143" t="s">
        <v>2583</v>
      </c>
      <c r="D2282" s="143" t="s">
        <v>14</v>
      </c>
      <c r="E2282" s="142"/>
      <c r="F2282" s="142"/>
    </row>
    <row r="2283" spans="1:8" s="113" customFormat="1" x14ac:dyDescent="0.25">
      <c r="A2283" s="129">
        <v>118238</v>
      </c>
      <c r="B2283" s="606" t="s">
        <v>3096</v>
      </c>
      <c r="C2283" s="606" t="s">
        <v>22</v>
      </c>
      <c r="D2283" s="606" t="s">
        <v>242</v>
      </c>
      <c r="E2283" s="606"/>
      <c r="F2283" s="606"/>
    </row>
    <row r="2284" spans="1:8" s="113" customFormat="1" x14ac:dyDescent="0.25">
      <c r="A2284" s="247">
        <v>118440</v>
      </c>
      <c r="B2284" s="250" t="s">
        <v>1291</v>
      </c>
      <c r="C2284" s="143" t="s">
        <v>24</v>
      </c>
      <c r="D2284" s="260" t="s">
        <v>80</v>
      </c>
      <c r="E2284" s="250"/>
      <c r="F2284" s="250"/>
    </row>
    <row r="2285" spans="1:8" s="113" customFormat="1" x14ac:dyDescent="0.25">
      <c r="A2285" s="141">
        <v>118490</v>
      </c>
      <c r="B2285" s="142" t="s">
        <v>2380</v>
      </c>
      <c r="C2285" s="143" t="s">
        <v>140</v>
      </c>
      <c r="D2285" s="143" t="s">
        <v>109</v>
      </c>
      <c r="E2285" s="142"/>
      <c r="F2285" s="142"/>
    </row>
    <row r="2286" spans="1:8" s="113" customFormat="1" ht="26.25" x14ac:dyDescent="0.25">
      <c r="A2286" s="141">
        <v>118504</v>
      </c>
      <c r="B2286" s="142" t="s">
        <v>932</v>
      </c>
      <c r="C2286" s="143" t="s">
        <v>22</v>
      </c>
      <c r="D2286" s="143" t="s">
        <v>242</v>
      </c>
      <c r="E2286" s="142"/>
      <c r="F2286" s="142"/>
    </row>
    <row r="2287" spans="1:8" s="113" customFormat="1" x14ac:dyDescent="0.25">
      <c r="A2287" s="190">
        <v>118507</v>
      </c>
      <c r="B2287" s="606" t="s">
        <v>3088</v>
      </c>
      <c r="C2287" s="606" t="s">
        <v>8</v>
      </c>
      <c r="D2287" s="606" t="s">
        <v>242</v>
      </c>
      <c r="E2287" s="606"/>
      <c r="F2287" s="606"/>
    </row>
    <row r="2288" spans="1:8" s="113" customFormat="1" x14ac:dyDescent="0.25">
      <c r="A2288" s="301">
        <v>118507</v>
      </c>
      <c r="B2288" s="608" t="s">
        <v>3088</v>
      </c>
      <c r="C2288" s="608" t="s">
        <v>8</v>
      </c>
      <c r="D2288" s="608" t="s">
        <v>242</v>
      </c>
      <c r="E2288" s="608"/>
      <c r="F2288" s="608"/>
    </row>
    <row r="2289" spans="1:6" s="113" customFormat="1" ht="26.25" x14ac:dyDescent="0.25">
      <c r="A2289" s="141">
        <v>118542</v>
      </c>
      <c r="B2289" s="142" t="s">
        <v>1199</v>
      </c>
      <c r="C2289" s="143" t="s">
        <v>914</v>
      </c>
      <c r="D2289" s="143" t="s">
        <v>7</v>
      </c>
      <c r="E2289" s="142"/>
      <c r="F2289" s="142"/>
    </row>
    <row r="2290" spans="1:6" s="113" customFormat="1" ht="26.25" x14ac:dyDescent="0.25">
      <c r="A2290" s="187">
        <v>118621</v>
      </c>
      <c r="B2290" s="188" t="s">
        <v>3104</v>
      </c>
      <c r="C2290" s="146" t="s">
        <v>3039</v>
      </c>
      <c r="D2290" s="148" t="s">
        <v>242</v>
      </c>
      <c r="E2290" s="606"/>
      <c r="F2290" s="606"/>
    </row>
    <row r="2291" spans="1:6" s="113" customFormat="1" ht="26.25" x14ac:dyDescent="0.25">
      <c r="A2291" s="153">
        <v>118667</v>
      </c>
      <c r="B2291" s="154" t="s">
        <v>2381</v>
      </c>
      <c r="C2291" s="143" t="s">
        <v>5</v>
      </c>
      <c r="D2291" s="143" t="s">
        <v>11</v>
      </c>
      <c r="E2291" s="142"/>
      <c r="F2291" s="142"/>
    </row>
    <row r="2292" spans="1:6" s="113" customFormat="1" ht="26.25" x14ac:dyDescent="0.25">
      <c r="A2292" s="141">
        <v>118693</v>
      </c>
      <c r="B2292" s="142" t="s">
        <v>933</v>
      </c>
      <c r="C2292" s="143" t="s">
        <v>16</v>
      </c>
      <c r="D2292" s="143" t="s">
        <v>302</v>
      </c>
      <c r="E2292" s="142"/>
      <c r="F2292" s="142"/>
    </row>
    <row r="2293" spans="1:6" s="113" customFormat="1" x14ac:dyDescent="0.25">
      <c r="A2293" s="141">
        <v>118728</v>
      </c>
      <c r="B2293" s="142" t="s">
        <v>1263</v>
      </c>
      <c r="C2293" s="143" t="s">
        <v>9</v>
      </c>
      <c r="D2293" s="143" t="s">
        <v>811</v>
      </c>
      <c r="E2293" s="142"/>
      <c r="F2293" s="142"/>
    </row>
    <row r="2294" spans="1:6" s="113" customFormat="1" ht="26.25" x14ac:dyDescent="0.25">
      <c r="A2294" s="247">
        <v>118758</v>
      </c>
      <c r="B2294" s="250" t="s">
        <v>1292</v>
      </c>
      <c r="C2294" s="143" t="s">
        <v>22</v>
      </c>
      <c r="D2294" s="143" t="s">
        <v>501</v>
      </c>
      <c r="E2294" s="250"/>
      <c r="F2294" s="250"/>
    </row>
    <row r="2295" spans="1:6" s="113" customFormat="1" x14ac:dyDescent="0.25">
      <c r="A2295" s="141">
        <v>118837</v>
      </c>
      <c r="B2295" s="142" t="s">
        <v>934</v>
      </c>
      <c r="C2295" s="143" t="s">
        <v>63</v>
      </c>
      <c r="D2295" s="143" t="s">
        <v>143</v>
      </c>
      <c r="E2295" s="142"/>
      <c r="F2295" s="142"/>
    </row>
    <row r="2296" spans="1:6" s="113" customFormat="1" x14ac:dyDescent="0.25">
      <c r="A2296" s="247">
        <v>118907</v>
      </c>
      <c r="B2296" s="250" t="s">
        <v>1293</v>
      </c>
      <c r="C2296" s="143" t="s">
        <v>10</v>
      </c>
      <c r="D2296" s="260" t="s">
        <v>154</v>
      </c>
      <c r="E2296" s="250"/>
      <c r="F2296" s="250"/>
    </row>
    <row r="2297" spans="1:6" s="113" customFormat="1" x14ac:dyDescent="0.25">
      <c r="A2297" s="187">
        <v>118914</v>
      </c>
      <c r="B2297" s="187" t="s">
        <v>3579</v>
      </c>
      <c r="C2297" s="187" t="s">
        <v>32</v>
      </c>
      <c r="D2297" s="187" t="s">
        <v>3329</v>
      </c>
      <c r="E2297" s="187"/>
      <c r="F2297" s="187"/>
    </row>
    <row r="2298" spans="1:6" s="113" customFormat="1" ht="26.25" x14ac:dyDescent="0.25">
      <c r="A2298" s="141">
        <v>119085</v>
      </c>
      <c r="B2298" s="142" t="s">
        <v>935</v>
      </c>
      <c r="C2298" s="143" t="s">
        <v>6</v>
      </c>
      <c r="D2298" s="143" t="s">
        <v>154</v>
      </c>
      <c r="E2298" s="142"/>
      <c r="F2298" s="142"/>
    </row>
    <row r="2299" spans="1:6" s="113" customFormat="1" ht="26.25" x14ac:dyDescent="0.25">
      <c r="A2299" s="247">
        <v>119090</v>
      </c>
      <c r="B2299" s="250" t="s">
        <v>1379</v>
      </c>
      <c r="C2299" s="143" t="s">
        <v>5</v>
      </c>
      <c r="D2299" s="260" t="s">
        <v>242</v>
      </c>
      <c r="E2299" s="250"/>
      <c r="F2299" s="250"/>
    </row>
    <row r="2300" spans="1:6" s="113" customFormat="1" x14ac:dyDescent="0.25">
      <c r="A2300" s="247">
        <v>119112</v>
      </c>
      <c r="B2300" s="250" t="s">
        <v>1507</v>
      </c>
      <c r="C2300" s="143" t="s">
        <v>63</v>
      </c>
      <c r="D2300" s="148" t="s">
        <v>242</v>
      </c>
      <c r="E2300" s="250"/>
      <c r="F2300" s="250"/>
    </row>
    <row r="2301" spans="1:6" s="113" customFormat="1" x14ac:dyDescent="0.25">
      <c r="A2301" s="190">
        <v>119141</v>
      </c>
      <c r="B2301" s="606" t="s">
        <v>3157</v>
      </c>
      <c r="C2301" s="606" t="s">
        <v>41</v>
      </c>
      <c r="D2301" s="606" t="s">
        <v>154</v>
      </c>
      <c r="E2301" s="606"/>
      <c r="F2301" s="606"/>
    </row>
    <row r="2302" spans="1:6" s="113" customFormat="1" x14ac:dyDescent="0.25">
      <c r="A2302" s="187">
        <v>119141</v>
      </c>
      <c r="B2302" s="187" t="s">
        <v>3157</v>
      </c>
      <c r="C2302" s="187" t="s">
        <v>41</v>
      </c>
      <c r="D2302" s="187" t="s">
        <v>3329</v>
      </c>
      <c r="E2302" s="187"/>
      <c r="F2302" s="187"/>
    </row>
    <row r="2303" spans="1:6" s="113" customFormat="1" x14ac:dyDescent="0.25">
      <c r="A2303" s="195">
        <v>119161</v>
      </c>
      <c r="B2303" s="187" t="s">
        <v>3247</v>
      </c>
      <c r="C2303" s="187" t="s">
        <v>20</v>
      </c>
      <c r="D2303" s="146" t="s">
        <v>116</v>
      </c>
      <c r="E2303" s="606"/>
      <c r="F2303" s="187"/>
    </row>
    <row r="2304" spans="1:6" s="113" customFormat="1" x14ac:dyDescent="0.25">
      <c r="A2304" s="190">
        <v>119199</v>
      </c>
      <c r="B2304" s="606" t="s">
        <v>3150</v>
      </c>
      <c r="C2304" s="606" t="s">
        <v>32</v>
      </c>
      <c r="D2304" s="606" t="s">
        <v>551</v>
      </c>
      <c r="E2304" s="606"/>
      <c r="F2304" s="606"/>
    </row>
    <row r="2305" spans="1:6" s="113" customFormat="1" x14ac:dyDescent="0.25">
      <c r="A2305" s="187">
        <v>119199</v>
      </c>
      <c r="B2305" s="187" t="s">
        <v>3567</v>
      </c>
      <c r="C2305" s="187" t="s">
        <v>32</v>
      </c>
      <c r="D2305" s="187" t="s">
        <v>551</v>
      </c>
      <c r="E2305" s="187"/>
      <c r="F2305" s="187"/>
    </row>
    <row r="2306" spans="1:6" s="113" customFormat="1" ht="26.25" x14ac:dyDescent="0.25">
      <c r="A2306" s="187">
        <v>119220</v>
      </c>
      <c r="B2306" s="188" t="s">
        <v>2774</v>
      </c>
      <c r="C2306" s="146" t="s">
        <v>914</v>
      </c>
      <c r="D2306" s="148" t="s">
        <v>116</v>
      </c>
      <c r="E2306" s="606"/>
      <c r="F2306" s="606"/>
    </row>
    <row r="2307" spans="1:6" s="113" customFormat="1" ht="26.25" x14ac:dyDescent="0.25">
      <c r="A2307" s="187">
        <v>119220</v>
      </c>
      <c r="B2307" s="188" t="s">
        <v>2774</v>
      </c>
      <c r="C2307" s="146" t="s">
        <v>914</v>
      </c>
      <c r="D2307" s="148" t="s">
        <v>116</v>
      </c>
      <c r="E2307" s="606"/>
      <c r="F2307" s="606"/>
    </row>
    <row r="2308" spans="1:6" s="113" customFormat="1" ht="26.25" x14ac:dyDescent="0.25">
      <c r="A2308" s="141">
        <v>119268</v>
      </c>
      <c r="B2308" s="142" t="s">
        <v>1366</v>
      </c>
      <c r="C2308" s="143" t="s">
        <v>16</v>
      </c>
      <c r="D2308" s="143" t="s">
        <v>11</v>
      </c>
      <c r="E2308" s="142"/>
      <c r="F2308" s="142"/>
    </row>
    <row r="2309" spans="1:6" s="113" customFormat="1" x14ac:dyDescent="0.25">
      <c r="A2309" s="190">
        <v>119290</v>
      </c>
      <c r="B2309" s="606" t="s">
        <v>3203</v>
      </c>
      <c r="C2309" s="606" t="s">
        <v>9</v>
      </c>
      <c r="D2309" s="606" t="s">
        <v>154</v>
      </c>
      <c r="E2309" s="606"/>
      <c r="F2309" s="606"/>
    </row>
    <row r="2310" spans="1:6" s="113" customFormat="1" x14ac:dyDescent="0.25">
      <c r="A2310" s="301">
        <v>119320</v>
      </c>
      <c r="B2310" s="608" t="s">
        <v>3330</v>
      </c>
      <c r="C2310" s="608" t="s">
        <v>5</v>
      </c>
      <c r="D2310" s="608" t="s">
        <v>3329</v>
      </c>
      <c r="E2310" s="608"/>
      <c r="F2310" s="608"/>
    </row>
    <row r="2311" spans="1:6" s="113" customFormat="1" x14ac:dyDescent="0.25">
      <c r="A2311" s="187">
        <v>119320</v>
      </c>
      <c r="B2311" s="187" t="s">
        <v>3330</v>
      </c>
      <c r="C2311" s="187" t="s">
        <v>5</v>
      </c>
      <c r="D2311" s="146" t="s">
        <v>242</v>
      </c>
      <c r="E2311" s="606"/>
      <c r="F2311" s="187"/>
    </row>
    <row r="2312" spans="1:6" s="113" customFormat="1" ht="26.25" x14ac:dyDescent="0.25">
      <c r="A2312" s="141">
        <v>119353</v>
      </c>
      <c r="B2312" s="142" t="s">
        <v>2382</v>
      </c>
      <c r="C2312" s="143" t="s">
        <v>10</v>
      </c>
      <c r="D2312" s="143" t="s">
        <v>2383</v>
      </c>
      <c r="E2312" s="142"/>
      <c r="F2312" s="142"/>
    </row>
    <row r="2313" spans="1:6" s="113" customFormat="1" x14ac:dyDescent="0.25">
      <c r="A2313" s="141">
        <v>119463</v>
      </c>
      <c r="B2313" s="142" t="s">
        <v>936</v>
      </c>
      <c r="C2313" s="143" t="s">
        <v>140</v>
      </c>
      <c r="D2313" s="143" t="s">
        <v>453</v>
      </c>
      <c r="E2313" s="142"/>
      <c r="F2313" s="142"/>
    </row>
    <row r="2314" spans="1:6" s="113" customFormat="1" x14ac:dyDescent="0.25">
      <c r="A2314" s="301">
        <v>119463</v>
      </c>
      <c r="B2314" s="608" t="s">
        <v>936</v>
      </c>
      <c r="C2314" s="608" t="s">
        <v>140</v>
      </c>
      <c r="D2314" s="608" t="s">
        <v>148</v>
      </c>
      <c r="E2314" s="608"/>
      <c r="F2314" s="608"/>
    </row>
    <row r="2315" spans="1:6" s="113" customFormat="1" x14ac:dyDescent="0.25">
      <c r="A2315" s="247">
        <v>119473</v>
      </c>
      <c r="B2315" s="248" t="s">
        <v>1498</v>
      </c>
      <c r="C2315" s="143" t="s">
        <v>167</v>
      </c>
      <c r="D2315" s="244" t="s">
        <v>109</v>
      </c>
      <c r="E2315" s="248"/>
      <c r="F2315" s="248"/>
    </row>
    <row r="2316" spans="1:6" s="113" customFormat="1" x14ac:dyDescent="0.25">
      <c r="A2316" s="141">
        <v>119657</v>
      </c>
      <c r="B2316" s="142" t="s">
        <v>937</v>
      </c>
      <c r="C2316" s="143" t="s">
        <v>12</v>
      </c>
      <c r="D2316" s="143" t="s">
        <v>7</v>
      </c>
      <c r="E2316" s="142"/>
      <c r="F2316" s="142"/>
    </row>
    <row r="2317" spans="1:6" s="113" customFormat="1" x14ac:dyDescent="0.25">
      <c r="A2317" s="141">
        <v>119661</v>
      </c>
      <c r="B2317" s="142" t="s">
        <v>2384</v>
      </c>
      <c r="C2317" s="143" t="s">
        <v>32</v>
      </c>
      <c r="D2317" s="143" t="s">
        <v>154</v>
      </c>
      <c r="E2317" s="142"/>
      <c r="F2317" s="142"/>
    </row>
    <row r="2318" spans="1:6" s="113" customFormat="1" ht="26.25" x14ac:dyDescent="0.25">
      <c r="A2318" s="141">
        <v>119729</v>
      </c>
      <c r="B2318" s="142" t="s">
        <v>1177</v>
      </c>
      <c r="C2318" s="143" t="s">
        <v>5</v>
      </c>
      <c r="D2318" s="143" t="s">
        <v>7</v>
      </c>
      <c r="E2318" s="142"/>
      <c r="F2318" s="142"/>
    </row>
    <row r="2319" spans="1:6" s="113" customFormat="1" x14ac:dyDescent="0.25">
      <c r="A2319" s="141">
        <v>119763</v>
      </c>
      <c r="B2319" s="142" t="s">
        <v>2385</v>
      </c>
      <c r="C2319" s="143" t="s">
        <v>36</v>
      </c>
      <c r="D2319" s="143" t="s">
        <v>154</v>
      </c>
      <c r="E2319" s="142"/>
      <c r="F2319" s="142"/>
    </row>
    <row r="2320" spans="1:6" s="113" customFormat="1" x14ac:dyDescent="0.25">
      <c r="A2320" s="141">
        <v>119874</v>
      </c>
      <c r="B2320" s="142" t="s">
        <v>938</v>
      </c>
      <c r="C2320" s="143" t="s">
        <v>30</v>
      </c>
      <c r="D2320" s="143" t="s">
        <v>154</v>
      </c>
      <c r="E2320" s="142"/>
      <c r="F2320" s="142"/>
    </row>
    <row r="2321" spans="1:7" s="113" customFormat="1" x14ac:dyDescent="0.25">
      <c r="A2321" s="245">
        <v>119918</v>
      </c>
      <c r="B2321" s="246" t="s">
        <v>2624</v>
      </c>
      <c r="C2321" s="246" t="s">
        <v>9</v>
      </c>
      <c r="D2321" s="246" t="s">
        <v>11</v>
      </c>
      <c r="E2321" s="246"/>
      <c r="F2321" s="246"/>
    </row>
    <row r="2322" spans="1:7" s="113" customFormat="1" x14ac:dyDescent="0.25">
      <c r="A2322" s="247">
        <v>120040</v>
      </c>
      <c r="B2322" s="250" t="s">
        <v>1421</v>
      </c>
      <c r="C2322" s="143" t="s">
        <v>17</v>
      </c>
      <c r="D2322" s="143" t="s">
        <v>242</v>
      </c>
      <c r="E2322" s="250"/>
      <c r="F2322" s="250"/>
    </row>
    <row r="2323" spans="1:7" s="113" customFormat="1" x14ac:dyDescent="0.25">
      <c r="A2323" s="141">
        <v>120106</v>
      </c>
      <c r="B2323" s="142" t="s">
        <v>1191</v>
      </c>
      <c r="C2323" s="143" t="s">
        <v>10</v>
      </c>
      <c r="D2323" s="143" t="s">
        <v>154</v>
      </c>
      <c r="E2323" s="142"/>
      <c r="F2323" s="142"/>
    </row>
    <row r="2324" spans="1:7" s="113" customFormat="1" ht="26.25" x14ac:dyDescent="0.25">
      <c r="A2324" s="141">
        <v>120180</v>
      </c>
      <c r="B2324" s="142" t="s">
        <v>2386</v>
      </c>
      <c r="C2324" s="143" t="s">
        <v>1173</v>
      </c>
      <c r="D2324" s="143" t="s">
        <v>154</v>
      </c>
      <c r="E2324" s="142"/>
      <c r="F2324" s="142"/>
    </row>
    <row r="2325" spans="1:7" s="113" customFormat="1" x14ac:dyDescent="0.25">
      <c r="A2325" s="141">
        <v>120248</v>
      </c>
      <c r="B2325" s="142" t="s">
        <v>939</v>
      </c>
      <c r="C2325" s="143" t="s">
        <v>63</v>
      </c>
      <c r="D2325" s="143" t="s">
        <v>116</v>
      </c>
      <c r="E2325" s="142"/>
      <c r="F2325" s="142"/>
    </row>
    <row r="2326" spans="1:7" s="113" customFormat="1" x14ac:dyDescent="0.25">
      <c r="A2326" s="141">
        <v>120286</v>
      </c>
      <c r="B2326" s="144" t="s">
        <v>940</v>
      </c>
      <c r="C2326" s="143" t="s">
        <v>44</v>
      </c>
      <c r="D2326" s="146" t="s">
        <v>148</v>
      </c>
      <c r="E2326" s="142"/>
      <c r="F2326" s="142"/>
    </row>
    <row r="2327" spans="1:7" s="113" customFormat="1" x14ac:dyDescent="0.25">
      <c r="A2327" s="141">
        <v>120287</v>
      </c>
      <c r="B2327" s="142" t="s">
        <v>2387</v>
      </c>
      <c r="C2327" s="143" t="s">
        <v>216</v>
      </c>
      <c r="D2327" s="143" t="s">
        <v>1512</v>
      </c>
      <c r="E2327" s="142"/>
      <c r="F2327" s="142"/>
    </row>
    <row r="2328" spans="1:7" s="113" customFormat="1" ht="26.25" x14ac:dyDescent="0.25">
      <c r="A2328" s="141">
        <v>120318</v>
      </c>
      <c r="B2328" s="144" t="s">
        <v>941</v>
      </c>
      <c r="C2328" s="143" t="s">
        <v>5</v>
      </c>
      <c r="D2328" s="146" t="s">
        <v>7</v>
      </c>
      <c r="E2328" s="142"/>
      <c r="F2328" s="142"/>
    </row>
    <row r="2329" spans="1:7" s="113" customFormat="1" x14ac:dyDescent="0.25">
      <c r="A2329" s="141">
        <v>120401</v>
      </c>
      <c r="B2329" s="142" t="s">
        <v>2388</v>
      </c>
      <c r="C2329" s="149" t="s">
        <v>67</v>
      </c>
      <c r="D2329" s="143" t="s">
        <v>161</v>
      </c>
      <c r="E2329" s="142"/>
      <c r="F2329" s="142"/>
      <c r="G2329" s="607"/>
    </row>
    <row r="2330" spans="1:7" s="113" customFormat="1" x14ac:dyDescent="0.25">
      <c r="A2330" s="141">
        <v>120513</v>
      </c>
      <c r="B2330" s="142" t="s">
        <v>942</v>
      </c>
      <c r="C2330" s="143" t="s">
        <v>41</v>
      </c>
      <c r="D2330" s="143" t="s">
        <v>242</v>
      </c>
      <c r="E2330" s="142"/>
      <c r="F2330" s="142"/>
    </row>
    <row r="2331" spans="1:7" s="113" customFormat="1" x14ac:dyDescent="0.25">
      <c r="A2331" s="195">
        <v>120532</v>
      </c>
      <c r="B2331" s="187" t="s">
        <v>3526</v>
      </c>
      <c r="C2331" s="187" t="s">
        <v>1478</v>
      </c>
      <c r="D2331" s="146" t="s">
        <v>173</v>
      </c>
      <c r="E2331" s="606"/>
      <c r="F2331" s="187"/>
    </row>
    <row r="2332" spans="1:7" s="113" customFormat="1" x14ac:dyDescent="0.25">
      <c r="A2332" s="141">
        <v>120583</v>
      </c>
      <c r="B2332" s="142" t="s">
        <v>2389</v>
      </c>
      <c r="C2332" s="143" t="s">
        <v>38</v>
      </c>
      <c r="D2332" s="244" t="s">
        <v>109</v>
      </c>
      <c r="E2332" s="142"/>
      <c r="F2332" s="142"/>
    </row>
    <row r="2333" spans="1:7" s="113" customFormat="1" x14ac:dyDescent="0.25">
      <c r="A2333" s="141">
        <v>120668</v>
      </c>
      <c r="B2333" s="142" t="s">
        <v>943</v>
      </c>
      <c r="C2333" s="143" t="s">
        <v>36</v>
      </c>
      <c r="D2333" s="143" t="s">
        <v>967</v>
      </c>
      <c r="E2333" s="142"/>
      <c r="F2333" s="142"/>
    </row>
    <row r="2334" spans="1:7" s="113" customFormat="1" ht="26.25" x14ac:dyDescent="0.25">
      <c r="A2334" s="153">
        <v>120691</v>
      </c>
      <c r="B2334" s="154" t="s">
        <v>2390</v>
      </c>
      <c r="C2334" s="143" t="s">
        <v>5</v>
      </c>
      <c r="D2334" s="143" t="s">
        <v>11</v>
      </c>
      <c r="E2334" s="142"/>
      <c r="F2334" s="142"/>
    </row>
    <row r="2335" spans="1:7" s="113" customFormat="1" ht="26.25" x14ac:dyDescent="0.25">
      <c r="A2335" s="141">
        <v>120778</v>
      </c>
      <c r="B2335" s="142" t="s">
        <v>2391</v>
      </c>
      <c r="C2335" s="143" t="s">
        <v>49</v>
      </c>
      <c r="D2335" s="143" t="s">
        <v>242</v>
      </c>
      <c r="E2335" s="142"/>
      <c r="F2335" s="142"/>
    </row>
    <row r="2336" spans="1:7" s="113" customFormat="1" ht="39" x14ac:dyDescent="0.25">
      <c r="A2336" s="141">
        <v>120785</v>
      </c>
      <c r="B2336" s="142" t="s">
        <v>944</v>
      </c>
      <c r="C2336" s="143" t="s">
        <v>1398</v>
      </c>
      <c r="D2336" s="143" t="s">
        <v>453</v>
      </c>
      <c r="E2336" s="142"/>
      <c r="F2336" s="142"/>
    </row>
    <row r="2337" spans="1:8" s="113" customFormat="1" x14ac:dyDescent="0.25">
      <c r="A2337" s="141">
        <v>120952</v>
      </c>
      <c r="B2337" s="142" t="s">
        <v>945</v>
      </c>
      <c r="C2337" s="143" t="s">
        <v>64</v>
      </c>
      <c r="D2337" s="143" t="s">
        <v>11</v>
      </c>
      <c r="E2337" s="142"/>
      <c r="F2337" s="142"/>
    </row>
    <row r="2338" spans="1:8" s="113" customFormat="1" x14ac:dyDescent="0.25">
      <c r="A2338" s="141">
        <v>121038</v>
      </c>
      <c r="B2338" s="142" t="s">
        <v>1268</v>
      </c>
      <c r="C2338" s="143" t="s">
        <v>17</v>
      </c>
      <c r="D2338" s="143" t="s">
        <v>154</v>
      </c>
      <c r="E2338" s="142"/>
      <c r="F2338" s="142"/>
    </row>
    <row r="2339" spans="1:8" s="113" customFormat="1" ht="26.25" x14ac:dyDescent="0.25">
      <c r="A2339" s="141">
        <v>121044</v>
      </c>
      <c r="B2339" s="142" t="s">
        <v>946</v>
      </c>
      <c r="C2339" s="143" t="s">
        <v>8</v>
      </c>
      <c r="D2339" s="143" t="s">
        <v>242</v>
      </c>
      <c r="E2339" s="142"/>
      <c r="F2339" s="142"/>
    </row>
    <row r="2340" spans="1:8" s="113" customFormat="1" x14ac:dyDescent="0.25">
      <c r="A2340" s="141">
        <v>121548</v>
      </c>
      <c r="B2340" s="142" t="s">
        <v>947</v>
      </c>
      <c r="C2340" s="143" t="s">
        <v>73</v>
      </c>
      <c r="D2340" s="143" t="s">
        <v>116</v>
      </c>
      <c r="E2340" s="142"/>
      <c r="F2340" s="142"/>
    </row>
    <row r="2341" spans="1:8" s="113" customFormat="1" x14ac:dyDescent="0.25">
      <c r="A2341" s="141">
        <v>121923</v>
      </c>
      <c r="B2341" s="142" t="s">
        <v>948</v>
      </c>
      <c r="C2341" s="143" t="s">
        <v>47</v>
      </c>
      <c r="D2341" s="143" t="s">
        <v>159</v>
      </c>
      <c r="E2341" s="142"/>
      <c r="F2341" s="142"/>
    </row>
    <row r="2342" spans="1:8" s="113" customFormat="1" x14ac:dyDescent="0.25">
      <c r="A2342" s="190">
        <v>121925</v>
      </c>
      <c r="B2342" s="606" t="s">
        <v>3176</v>
      </c>
      <c r="C2342" s="606" t="s">
        <v>2812</v>
      </c>
      <c r="D2342" s="606" t="s">
        <v>109</v>
      </c>
      <c r="E2342" s="606"/>
      <c r="F2342" s="606"/>
    </row>
    <row r="2343" spans="1:8" s="113" customFormat="1" ht="26.25" x14ac:dyDescent="0.25">
      <c r="A2343" s="141">
        <v>121995</v>
      </c>
      <c r="B2343" s="142" t="s">
        <v>949</v>
      </c>
      <c r="C2343" s="143" t="s">
        <v>144</v>
      </c>
      <c r="D2343" s="143" t="s">
        <v>171</v>
      </c>
      <c r="E2343" s="142"/>
      <c r="F2343" s="142"/>
    </row>
    <row r="2344" spans="1:8" s="113" customFormat="1" x14ac:dyDescent="0.25">
      <c r="A2344" s="141">
        <v>122243</v>
      </c>
      <c r="B2344" s="142" t="s">
        <v>2392</v>
      </c>
      <c r="C2344" s="143" t="s">
        <v>140</v>
      </c>
      <c r="D2344" s="143" t="s">
        <v>7</v>
      </c>
      <c r="E2344" s="142"/>
      <c r="F2344" s="142"/>
    </row>
    <row r="2345" spans="1:8" s="113" customFormat="1" x14ac:dyDescent="0.25">
      <c r="A2345" s="129">
        <v>122355</v>
      </c>
      <c r="B2345" s="606" t="s">
        <v>3146</v>
      </c>
      <c r="C2345" s="606" t="s">
        <v>3147</v>
      </c>
      <c r="D2345" s="606" t="s">
        <v>415</v>
      </c>
      <c r="E2345" s="606"/>
      <c r="F2345" s="606"/>
    </row>
    <row r="2346" spans="1:8" s="113" customFormat="1" x14ac:dyDescent="0.25">
      <c r="A2346" s="195">
        <v>122355</v>
      </c>
      <c r="B2346" s="187" t="s">
        <v>3146</v>
      </c>
      <c r="C2346" s="187" t="s">
        <v>120</v>
      </c>
      <c r="D2346" s="146" t="s">
        <v>415</v>
      </c>
      <c r="E2346" s="606"/>
      <c r="F2346" s="187"/>
    </row>
    <row r="2347" spans="1:8" s="113" customFormat="1" x14ac:dyDescent="0.25">
      <c r="A2347" s="190">
        <v>122370</v>
      </c>
      <c r="B2347" s="606" t="s">
        <v>3167</v>
      </c>
      <c r="C2347" s="606" t="s">
        <v>41</v>
      </c>
      <c r="D2347" s="606" t="s">
        <v>21</v>
      </c>
      <c r="E2347" s="606"/>
      <c r="F2347" s="606"/>
    </row>
    <row r="2348" spans="1:8" s="113" customFormat="1" x14ac:dyDescent="0.25">
      <c r="A2348" s="187">
        <v>122414</v>
      </c>
      <c r="B2348" s="188" t="s">
        <v>2956</v>
      </c>
      <c r="C2348" s="146" t="s">
        <v>64</v>
      </c>
      <c r="D2348" s="148" t="s">
        <v>228</v>
      </c>
      <c r="E2348" s="606"/>
      <c r="F2348" s="606"/>
      <c r="G2348" s="194"/>
    </row>
    <row r="2349" spans="1:8" s="113" customFormat="1" x14ac:dyDescent="0.25">
      <c r="A2349" s="141">
        <v>122619</v>
      </c>
      <c r="B2349" s="142" t="s">
        <v>2393</v>
      </c>
      <c r="C2349" s="143" t="s">
        <v>41</v>
      </c>
      <c r="D2349" s="143" t="s">
        <v>154</v>
      </c>
      <c r="E2349" s="142"/>
      <c r="F2349" s="142"/>
    </row>
    <row r="2350" spans="1:8" s="113" customFormat="1" x14ac:dyDescent="0.25">
      <c r="A2350" s="190">
        <v>122692</v>
      </c>
      <c r="B2350" s="188" t="s">
        <v>2802</v>
      </c>
      <c r="C2350" s="606" t="s">
        <v>914</v>
      </c>
      <c r="D2350" s="606" t="s">
        <v>242</v>
      </c>
      <c r="E2350" s="606"/>
      <c r="F2350" s="606"/>
    </row>
    <row r="2351" spans="1:8" s="113" customFormat="1" ht="26.25" x14ac:dyDescent="0.25">
      <c r="A2351" s="195">
        <v>122692</v>
      </c>
      <c r="B2351" s="188" t="s">
        <v>2854</v>
      </c>
      <c r="C2351" s="146" t="s">
        <v>914</v>
      </c>
      <c r="D2351" s="146" t="s">
        <v>242</v>
      </c>
      <c r="E2351" s="606"/>
      <c r="F2351" s="606"/>
    </row>
    <row r="2352" spans="1:8" s="113" customFormat="1" x14ac:dyDescent="0.25">
      <c r="A2352" s="190">
        <v>122970</v>
      </c>
      <c r="B2352" s="606" t="s">
        <v>3225</v>
      </c>
      <c r="C2352" s="606" t="s">
        <v>24</v>
      </c>
      <c r="D2352" s="606" t="s">
        <v>3226</v>
      </c>
      <c r="E2352" s="606"/>
      <c r="F2352" s="606"/>
      <c r="H2352" s="607"/>
    </row>
    <row r="2353" spans="1:8" s="113" customFormat="1" x14ac:dyDescent="0.25">
      <c r="A2353" s="195">
        <v>122970</v>
      </c>
      <c r="B2353" s="606" t="s">
        <v>3225</v>
      </c>
      <c r="C2353" s="606" t="s">
        <v>24</v>
      </c>
      <c r="D2353" s="606" t="s">
        <v>415</v>
      </c>
      <c r="E2353" s="606"/>
      <c r="F2353" s="187"/>
      <c r="G2353" s="335"/>
      <c r="H2353" s="606"/>
    </row>
    <row r="2354" spans="1:8" s="113" customFormat="1" x14ac:dyDescent="0.25">
      <c r="A2354" s="141">
        <v>123017</v>
      </c>
      <c r="B2354" s="142" t="s">
        <v>2394</v>
      </c>
      <c r="C2354" s="143" t="s">
        <v>38</v>
      </c>
      <c r="D2354" s="143" t="s">
        <v>143</v>
      </c>
      <c r="E2354" s="142"/>
      <c r="F2354" s="142"/>
      <c r="G2354" s="194"/>
      <c r="H2354" s="194"/>
    </row>
    <row r="2355" spans="1:8" s="113" customFormat="1" x14ac:dyDescent="0.25">
      <c r="A2355" s="141">
        <v>123139</v>
      </c>
      <c r="B2355" s="190" t="s">
        <v>3024</v>
      </c>
      <c r="C2355" s="190" t="s">
        <v>20</v>
      </c>
      <c r="D2355" s="148" t="s">
        <v>302</v>
      </c>
      <c r="E2355" s="190"/>
      <c r="F2355" s="190"/>
    </row>
    <row r="2356" spans="1:8" s="113" customFormat="1" ht="26.25" x14ac:dyDescent="0.25">
      <c r="A2356" s="141">
        <v>123149</v>
      </c>
      <c r="B2356" s="142" t="s">
        <v>2395</v>
      </c>
      <c r="C2356" s="143" t="s">
        <v>120</v>
      </c>
      <c r="D2356" s="143" t="s">
        <v>45</v>
      </c>
      <c r="E2356" s="142"/>
      <c r="F2356" s="142"/>
      <c r="G2356" s="226"/>
      <c r="H2356" s="226"/>
    </row>
    <row r="2357" spans="1:8" s="113" customFormat="1" x14ac:dyDescent="0.25">
      <c r="A2357" s="190">
        <v>123249</v>
      </c>
      <c r="B2357" s="606" t="s">
        <v>2906</v>
      </c>
      <c r="C2357" s="606" t="s">
        <v>2921</v>
      </c>
      <c r="D2357" s="606" t="s">
        <v>116</v>
      </c>
      <c r="E2357" s="606"/>
      <c r="F2357" s="606"/>
    </row>
    <row r="2358" spans="1:8" s="113" customFormat="1" x14ac:dyDescent="0.25">
      <c r="A2358" s="190">
        <v>123249</v>
      </c>
      <c r="B2358" s="606" t="s">
        <v>2906</v>
      </c>
      <c r="C2358" s="606" t="s">
        <v>914</v>
      </c>
      <c r="D2358" s="606" t="s">
        <v>116</v>
      </c>
      <c r="E2358" s="606"/>
      <c r="F2358" s="606"/>
    </row>
    <row r="2359" spans="1:8" s="113" customFormat="1" ht="26.25" x14ac:dyDescent="0.25">
      <c r="A2359" s="195">
        <v>123249</v>
      </c>
      <c r="B2359" s="188" t="s">
        <v>2906</v>
      </c>
      <c r="C2359" s="146" t="s">
        <v>914</v>
      </c>
      <c r="D2359" s="148" t="s">
        <v>116</v>
      </c>
      <c r="E2359" s="606"/>
      <c r="F2359" s="187"/>
    </row>
    <row r="2360" spans="1:8" s="113" customFormat="1" ht="26.25" x14ac:dyDescent="0.25">
      <c r="A2360" s="156">
        <v>123372</v>
      </c>
      <c r="B2360" s="157" t="s">
        <v>950</v>
      </c>
      <c r="C2360" s="143" t="s">
        <v>120</v>
      </c>
      <c r="D2360" s="158" t="s">
        <v>242</v>
      </c>
      <c r="E2360" s="142"/>
      <c r="F2360" s="142"/>
    </row>
    <row r="2361" spans="1:8" s="113" customFormat="1" x14ac:dyDescent="0.25">
      <c r="A2361" s="187">
        <v>123447</v>
      </c>
      <c r="B2361" s="188" t="s">
        <v>2775</v>
      </c>
      <c r="C2361" s="146" t="s">
        <v>41</v>
      </c>
      <c r="D2361" s="146" t="s">
        <v>11</v>
      </c>
      <c r="E2361" s="606"/>
      <c r="F2361" s="606"/>
    </row>
    <row r="2362" spans="1:8" s="113" customFormat="1" x14ac:dyDescent="0.25">
      <c r="A2362" s="187">
        <v>123447</v>
      </c>
      <c r="B2362" s="188" t="s">
        <v>2775</v>
      </c>
      <c r="C2362" s="146" t="s">
        <v>41</v>
      </c>
      <c r="D2362" s="148" t="s">
        <v>11</v>
      </c>
      <c r="E2362" s="606"/>
      <c r="F2362" s="606"/>
    </row>
    <row r="2363" spans="1:8" s="113" customFormat="1" x14ac:dyDescent="0.25">
      <c r="A2363" s="141">
        <v>123471</v>
      </c>
      <c r="B2363" s="142" t="s">
        <v>951</v>
      </c>
      <c r="C2363" s="143" t="s">
        <v>63</v>
      </c>
      <c r="D2363" s="143" t="s">
        <v>154</v>
      </c>
      <c r="E2363" s="142"/>
      <c r="F2363" s="142"/>
    </row>
    <row r="2364" spans="1:8" s="113" customFormat="1" x14ac:dyDescent="0.25">
      <c r="A2364" s="247">
        <v>123486</v>
      </c>
      <c r="B2364" s="250" t="s">
        <v>1586</v>
      </c>
      <c r="C2364" s="143" t="s">
        <v>41</v>
      </c>
      <c r="D2364" s="260" t="s">
        <v>7</v>
      </c>
      <c r="E2364" s="250"/>
      <c r="F2364" s="250"/>
    </row>
    <row r="2365" spans="1:8" s="113" customFormat="1" x14ac:dyDescent="0.25">
      <c r="A2365" s="141">
        <v>123558</v>
      </c>
      <c r="B2365" s="142" t="s">
        <v>952</v>
      </c>
      <c r="C2365" s="143" t="s">
        <v>64</v>
      </c>
      <c r="D2365" s="143" t="s">
        <v>302</v>
      </c>
      <c r="E2365" s="142"/>
      <c r="F2365" s="142"/>
    </row>
    <row r="2366" spans="1:8" s="113" customFormat="1" x14ac:dyDescent="0.25">
      <c r="A2366" s="141">
        <v>123689</v>
      </c>
      <c r="B2366" s="142" t="s">
        <v>2396</v>
      </c>
      <c r="C2366" s="143" t="s">
        <v>64</v>
      </c>
      <c r="D2366" s="143" t="s">
        <v>504</v>
      </c>
      <c r="E2366" s="142"/>
      <c r="F2366" s="142"/>
    </row>
    <row r="2367" spans="1:8" s="113" customFormat="1" x14ac:dyDescent="0.25">
      <c r="A2367" s="141">
        <v>123927</v>
      </c>
      <c r="B2367" s="142" t="s">
        <v>953</v>
      </c>
      <c r="C2367" s="143" t="s">
        <v>17</v>
      </c>
      <c r="D2367" s="143" t="s">
        <v>154</v>
      </c>
      <c r="E2367" s="142"/>
      <c r="F2367" s="142"/>
      <c r="G2367" s="226"/>
      <c r="H2367" s="226"/>
    </row>
    <row r="2368" spans="1:8" s="113" customFormat="1" ht="26.25" x14ac:dyDescent="0.25">
      <c r="A2368" s="141">
        <v>124004</v>
      </c>
      <c r="B2368" s="142" t="s">
        <v>954</v>
      </c>
      <c r="C2368" s="143" t="s">
        <v>16</v>
      </c>
      <c r="D2368" s="143" t="s">
        <v>242</v>
      </c>
      <c r="E2368" s="142"/>
      <c r="F2368" s="142"/>
    </row>
    <row r="2369" spans="1:8" s="113" customFormat="1" x14ac:dyDescent="0.25">
      <c r="A2369" s="141">
        <v>124047</v>
      </c>
      <c r="B2369" s="142" t="s">
        <v>2397</v>
      </c>
      <c r="C2369" s="143" t="s">
        <v>63</v>
      </c>
      <c r="D2369" s="143" t="s">
        <v>116</v>
      </c>
      <c r="E2369" s="142"/>
      <c r="F2369" s="142"/>
    </row>
    <row r="2370" spans="1:8" s="113" customFormat="1" x14ac:dyDescent="0.25">
      <c r="A2370" s="141">
        <v>124110</v>
      </c>
      <c r="B2370" s="142" t="s">
        <v>955</v>
      </c>
      <c r="C2370" s="143" t="s">
        <v>167</v>
      </c>
      <c r="D2370" s="143" t="s">
        <v>173</v>
      </c>
      <c r="E2370" s="142"/>
      <c r="F2370" s="142"/>
      <c r="H2370" s="607"/>
    </row>
    <row r="2371" spans="1:8" s="113" customFormat="1" x14ac:dyDescent="0.25">
      <c r="A2371" s="141">
        <v>124112</v>
      </c>
      <c r="B2371" s="142" t="s">
        <v>2398</v>
      </c>
      <c r="C2371" s="143" t="s">
        <v>1455</v>
      </c>
      <c r="D2371" s="143" t="s">
        <v>415</v>
      </c>
      <c r="E2371" s="142"/>
      <c r="F2371" s="142"/>
    </row>
    <row r="2372" spans="1:8" s="113" customFormat="1" ht="26.25" x14ac:dyDescent="0.25">
      <c r="A2372" s="141">
        <v>124128</v>
      </c>
      <c r="B2372" s="142" t="s">
        <v>956</v>
      </c>
      <c r="C2372" s="143" t="s">
        <v>49</v>
      </c>
      <c r="D2372" s="143" t="s">
        <v>150</v>
      </c>
      <c r="E2372" s="142"/>
      <c r="F2372" s="142"/>
    </row>
    <row r="2373" spans="1:8" s="113" customFormat="1" ht="26.25" x14ac:dyDescent="0.25">
      <c r="A2373" s="141">
        <v>124226</v>
      </c>
      <c r="B2373" s="142" t="s">
        <v>957</v>
      </c>
      <c r="C2373" s="143" t="s">
        <v>1478</v>
      </c>
      <c r="D2373" s="143" t="s">
        <v>173</v>
      </c>
      <c r="E2373" s="142"/>
      <c r="F2373" s="142"/>
      <c r="G2373" s="226"/>
      <c r="H2373" s="226"/>
    </row>
    <row r="2374" spans="1:8" s="113" customFormat="1" x14ac:dyDescent="0.25">
      <c r="A2374" s="141">
        <v>124380</v>
      </c>
      <c r="B2374" s="142" t="s">
        <v>958</v>
      </c>
      <c r="C2374" s="143" t="s">
        <v>167</v>
      </c>
      <c r="D2374" s="143" t="s">
        <v>173</v>
      </c>
      <c r="E2374" s="142"/>
      <c r="F2374" s="142"/>
    </row>
    <row r="2375" spans="1:8" s="113" customFormat="1" x14ac:dyDescent="0.25">
      <c r="A2375" s="141">
        <v>124390</v>
      </c>
      <c r="B2375" s="142" t="s">
        <v>959</v>
      </c>
      <c r="C2375" s="143" t="s">
        <v>36</v>
      </c>
      <c r="D2375" s="143" t="s">
        <v>154</v>
      </c>
      <c r="E2375" s="142"/>
      <c r="F2375" s="142"/>
    </row>
    <row r="2376" spans="1:8" s="113" customFormat="1" ht="39" x14ac:dyDescent="0.25">
      <c r="A2376" s="141">
        <v>124406</v>
      </c>
      <c r="B2376" s="142" t="s">
        <v>2399</v>
      </c>
      <c r="C2376" s="143" t="s">
        <v>1398</v>
      </c>
      <c r="D2376" s="143" t="s">
        <v>148</v>
      </c>
      <c r="E2376" s="142"/>
      <c r="F2376" s="142"/>
    </row>
    <row r="2377" spans="1:8" s="113" customFormat="1" x14ac:dyDescent="0.25">
      <c r="A2377" s="141">
        <v>124532</v>
      </c>
      <c r="B2377" s="142" t="s">
        <v>960</v>
      </c>
      <c r="C2377" s="143" t="s">
        <v>17</v>
      </c>
      <c r="D2377" s="143" t="s">
        <v>14</v>
      </c>
      <c r="E2377" s="142"/>
      <c r="F2377" s="142"/>
    </row>
    <row r="2378" spans="1:8" s="113" customFormat="1" x14ac:dyDescent="0.25">
      <c r="A2378" s="141">
        <v>124621</v>
      </c>
      <c r="B2378" s="142" t="s">
        <v>961</v>
      </c>
      <c r="C2378" s="143" t="s">
        <v>140</v>
      </c>
      <c r="D2378" s="143" t="s">
        <v>21</v>
      </c>
      <c r="E2378" s="142"/>
      <c r="F2378" s="142"/>
    </row>
    <row r="2379" spans="1:8" s="113" customFormat="1" ht="26.25" x14ac:dyDescent="0.25">
      <c r="A2379" s="141">
        <v>124738</v>
      </c>
      <c r="B2379" s="142" t="s">
        <v>2400</v>
      </c>
      <c r="C2379" s="143" t="s">
        <v>3</v>
      </c>
      <c r="D2379" s="143" t="s">
        <v>302</v>
      </c>
      <c r="E2379" s="142"/>
      <c r="F2379" s="142"/>
    </row>
    <row r="2380" spans="1:8" s="113" customFormat="1" x14ac:dyDescent="0.25">
      <c r="A2380" s="190">
        <v>124832</v>
      </c>
      <c r="B2380" s="606" t="s">
        <v>2899</v>
      </c>
      <c r="C2380" s="606" t="s">
        <v>3</v>
      </c>
      <c r="D2380" s="606" t="s">
        <v>242</v>
      </c>
      <c r="E2380" s="606"/>
      <c r="F2380" s="606"/>
    </row>
    <row r="2381" spans="1:8" s="113" customFormat="1" ht="26.25" x14ac:dyDescent="0.25">
      <c r="A2381" s="141">
        <v>124862</v>
      </c>
      <c r="B2381" s="142" t="s">
        <v>2401</v>
      </c>
      <c r="C2381" s="143" t="s">
        <v>16</v>
      </c>
      <c r="D2381" s="143" t="s">
        <v>302</v>
      </c>
      <c r="E2381" s="142"/>
      <c r="F2381" s="142"/>
    </row>
    <row r="2382" spans="1:8" s="113" customFormat="1" x14ac:dyDescent="0.25">
      <c r="A2382" s="141">
        <v>124871</v>
      </c>
      <c r="B2382" s="142" t="s">
        <v>962</v>
      </c>
      <c r="C2382" s="143" t="s">
        <v>17</v>
      </c>
      <c r="D2382" s="143" t="s">
        <v>242</v>
      </c>
      <c r="E2382" s="142"/>
      <c r="F2382" s="142"/>
    </row>
    <row r="2383" spans="1:8" s="113" customFormat="1" ht="26.25" x14ac:dyDescent="0.25">
      <c r="A2383" s="141">
        <v>125066</v>
      </c>
      <c r="B2383" s="142" t="s">
        <v>963</v>
      </c>
      <c r="C2383" s="143" t="s">
        <v>20</v>
      </c>
      <c r="D2383" s="244" t="s">
        <v>116</v>
      </c>
      <c r="E2383" s="142"/>
      <c r="F2383" s="142"/>
    </row>
    <row r="2384" spans="1:8" s="113" customFormat="1" x14ac:dyDescent="0.25">
      <c r="A2384" s="190">
        <v>125380</v>
      </c>
      <c r="B2384" s="188" t="s">
        <v>2524</v>
      </c>
      <c r="C2384" s="146" t="s">
        <v>32</v>
      </c>
      <c r="D2384" s="606" t="s">
        <v>116</v>
      </c>
      <c r="E2384" s="606"/>
      <c r="F2384" s="606"/>
    </row>
    <row r="2385" spans="1:8" s="113" customFormat="1" ht="26.25" x14ac:dyDescent="0.25">
      <c r="A2385" s="141">
        <v>125411</v>
      </c>
      <c r="B2385" s="142" t="s">
        <v>2402</v>
      </c>
      <c r="C2385" s="143" t="s">
        <v>144</v>
      </c>
      <c r="D2385" s="143" t="s">
        <v>173</v>
      </c>
      <c r="E2385" s="142"/>
      <c r="F2385" s="142"/>
    </row>
    <row r="2386" spans="1:8" s="113" customFormat="1" x14ac:dyDescent="0.25">
      <c r="A2386" s="301">
        <v>125462</v>
      </c>
      <c r="B2386" s="608" t="s">
        <v>3351</v>
      </c>
      <c r="C2386" s="608" t="s">
        <v>140</v>
      </c>
      <c r="D2386" s="608" t="s">
        <v>453</v>
      </c>
      <c r="E2386" s="608"/>
      <c r="F2386" s="608"/>
      <c r="G2386" s="607"/>
    </row>
    <row r="2387" spans="1:8" s="113" customFormat="1" ht="26.25" x14ac:dyDescent="0.25">
      <c r="A2387" s="195">
        <v>125464</v>
      </c>
      <c r="B2387" s="188" t="s">
        <v>3536</v>
      </c>
      <c r="C2387" s="146" t="s">
        <v>6</v>
      </c>
      <c r="D2387" s="146" t="s">
        <v>154</v>
      </c>
      <c r="E2387" s="606"/>
      <c r="F2387" s="187"/>
    </row>
    <row r="2388" spans="1:8" s="113" customFormat="1" ht="26.25" x14ac:dyDescent="0.25">
      <c r="A2388" s="141">
        <v>125500</v>
      </c>
      <c r="B2388" s="142" t="s">
        <v>2403</v>
      </c>
      <c r="C2388" s="143" t="s">
        <v>6</v>
      </c>
      <c r="D2388" s="143" t="s">
        <v>242</v>
      </c>
      <c r="E2388" s="142"/>
      <c r="F2388" s="142"/>
    </row>
    <row r="2389" spans="1:8" s="113" customFormat="1" x14ac:dyDescent="0.25">
      <c r="A2389" s="247">
        <v>125657</v>
      </c>
      <c r="B2389" s="248" t="s">
        <v>1294</v>
      </c>
      <c r="C2389" s="143" t="s">
        <v>41</v>
      </c>
      <c r="D2389" s="244" t="s">
        <v>242</v>
      </c>
      <c r="E2389" s="248"/>
      <c r="F2389" s="248"/>
      <c r="G2389" s="606"/>
      <c r="H2389" s="226"/>
    </row>
    <row r="2390" spans="1:8" s="113" customFormat="1" x14ac:dyDescent="0.25">
      <c r="A2390" s="153">
        <v>126163</v>
      </c>
      <c r="B2390" s="154" t="s">
        <v>2404</v>
      </c>
      <c r="C2390" s="143" t="s">
        <v>167</v>
      </c>
      <c r="D2390" s="143" t="s">
        <v>173</v>
      </c>
      <c r="E2390" s="142"/>
      <c r="F2390" s="142"/>
    </row>
    <row r="2391" spans="1:8" s="113" customFormat="1" ht="26.25" x14ac:dyDescent="0.25">
      <c r="A2391" s="141">
        <v>126189</v>
      </c>
      <c r="B2391" s="142" t="s">
        <v>964</v>
      </c>
      <c r="C2391" s="143" t="s">
        <v>144</v>
      </c>
      <c r="D2391" s="143" t="s">
        <v>173</v>
      </c>
      <c r="E2391" s="142"/>
      <c r="F2391" s="142"/>
    </row>
    <row r="2392" spans="1:8" s="113" customFormat="1" ht="26.25" x14ac:dyDescent="0.25">
      <c r="A2392" s="141">
        <v>126199</v>
      </c>
      <c r="B2392" s="142" t="s">
        <v>2405</v>
      </c>
      <c r="C2392" s="143" t="s">
        <v>144</v>
      </c>
      <c r="D2392" s="143" t="s">
        <v>173</v>
      </c>
      <c r="E2392" s="142"/>
      <c r="F2392" s="142"/>
      <c r="G2392" s="226"/>
    </row>
    <row r="2393" spans="1:8" s="113" customFormat="1" ht="26.25" x14ac:dyDescent="0.25">
      <c r="A2393" s="141">
        <v>126458</v>
      </c>
      <c r="B2393" s="142" t="s">
        <v>965</v>
      </c>
      <c r="C2393" s="143" t="s">
        <v>144</v>
      </c>
      <c r="D2393" s="143" t="s">
        <v>173</v>
      </c>
      <c r="E2393" s="142"/>
      <c r="F2393" s="142"/>
    </row>
    <row r="2394" spans="1:8" s="113" customFormat="1" x14ac:dyDescent="0.25">
      <c r="A2394" s="195">
        <v>126563</v>
      </c>
      <c r="B2394" s="187" t="s">
        <v>3116</v>
      </c>
      <c r="C2394" s="187" t="s">
        <v>1398</v>
      </c>
      <c r="D2394" s="146" t="s">
        <v>2841</v>
      </c>
      <c r="E2394" s="606"/>
      <c r="F2394" s="187"/>
    </row>
    <row r="2395" spans="1:8" s="113" customFormat="1" x14ac:dyDescent="0.25">
      <c r="A2395" s="141">
        <v>126649</v>
      </c>
      <c r="B2395" s="142" t="s">
        <v>1253</v>
      </c>
      <c r="C2395" s="143" t="s">
        <v>10</v>
      </c>
      <c r="D2395" s="143" t="s">
        <v>154</v>
      </c>
      <c r="E2395" s="142"/>
      <c r="F2395" s="142"/>
    </row>
    <row r="2396" spans="1:8" s="113" customFormat="1" x14ac:dyDescent="0.25">
      <c r="A2396" s="187">
        <v>126716</v>
      </c>
      <c r="B2396" s="188" t="s">
        <v>2730</v>
      </c>
      <c r="C2396" s="146" t="s">
        <v>63</v>
      </c>
      <c r="D2396" s="146" t="s">
        <v>116</v>
      </c>
      <c r="E2396" s="606"/>
      <c r="F2396" s="606"/>
    </row>
    <row r="2397" spans="1:8" s="113" customFormat="1" ht="26.25" x14ac:dyDescent="0.25">
      <c r="A2397" s="141">
        <v>126836</v>
      </c>
      <c r="B2397" s="144" t="s">
        <v>966</v>
      </c>
      <c r="C2397" s="143" t="s">
        <v>120</v>
      </c>
      <c r="D2397" s="146" t="s">
        <v>415</v>
      </c>
      <c r="E2397" s="142"/>
      <c r="F2397" s="142"/>
    </row>
    <row r="2398" spans="1:8" s="113" customFormat="1" x14ac:dyDescent="0.25">
      <c r="A2398" s="247">
        <v>126882</v>
      </c>
      <c r="B2398" s="250" t="s">
        <v>2406</v>
      </c>
      <c r="C2398" s="143" t="s">
        <v>30</v>
      </c>
      <c r="D2398" s="260" t="s">
        <v>154</v>
      </c>
      <c r="E2398" s="250"/>
      <c r="F2398" s="250"/>
    </row>
    <row r="2399" spans="1:8" s="113" customFormat="1" x14ac:dyDescent="0.25">
      <c r="A2399" s="141">
        <v>126948</v>
      </c>
      <c r="B2399" s="142" t="s">
        <v>1141</v>
      </c>
      <c r="C2399" s="143" t="s">
        <v>167</v>
      </c>
      <c r="D2399" s="143" t="s">
        <v>109</v>
      </c>
      <c r="E2399" s="142"/>
      <c r="F2399" s="142"/>
    </row>
    <row r="2400" spans="1:8" s="113" customFormat="1" ht="26.25" x14ac:dyDescent="0.25">
      <c r="A2400" s="255">
        <v>126949</v>
      </c>
      <c r="B2400" s="259" t="s">
        <v>1322</v>
      </c>
      <c r="C2400" s="143" t="s">
        <v>914</v>
      </c>
      <c r="D2400" s="244" t="s">
        <v>116</v>
      </c>
      <c r="E2400" s="250"/>
      <c r="F2400" s="250"/>
    </row>
    <row r="2401" spans="1:8" s="113" customFormat="1" x14ac:dyDescent="0.25">
      <c r="A2401" s="255">
        <v>126961</v>
      </c>
      <c r="B2401" s="259" t="s">
        <v>2407</v>
      </c>
      <c r="C2401" s="143" t="s">
        <v>9</v>
      </c>
      <c r="D2401" s="251" t="s">
        <v>150</v>
      </c>
      <c r="E2401" s="250"/>
      <c r="F2401" s="250"/>
    </row>
    <row r="2402" spans="1:8" s="113" customFormat="1" x14ac:dyDescent="0.25">
      <c r="A2402" s="141">
        <v>127068</v>
      </c>
      <c r="B2402" s="142" t="s">
        <v>1178</v>
      </c>
      <c r="C2402" s="149" t="s">
        <v>67</v>
      </c>
      <c r="D2402" s="143" t="s">
        <v>551</v>
      </c>
      <c r="E2402" s="142"/>
      <c r="F2402" s="142"/>
    </row>
    <row r="2403" spans="1:8" s="113" customFormat="1" ht="26.25" x14ac:dyDescent="0.25">
      <c r="A2403" s="141">
        <v>127069</v>
      </c>
      <c r="B2403" s="142" t="s">
        <v>2408</v>
      </c>
      <c r="C2403" s="143" t="s">
        <v>144</v>
      </c>
      <c r="D2403" s="143" t="s">
        <v>11</v>
      </c>
      <c r="E2403" s="142"/>
      <c r="F2403" s="142"/>
      <c r="G2403" s="123"/>
      <c r="H2403" s="607"/>
    </row>
    <row r="2404" spans="1:8" s="113" customFormat="1" ht="26.25" x14ac:dyDescent="0.25">
      <c r="A2404" s="247">
        <v>127087</v>
      </c>
      <c r="B2404" s="250" t="s">
        <v>1400</v>
      </c>
      <c r="C2404" s="143" t="s">
        <v>914</v>
      </c>
      <c r="D2404" s="260" t="s">
        <v>242</v>
      </c>
      <c r="E2404" s="250"/>
      <c r="F2404" s="250"/>
    </row>
    <row r="2405" spans="1:8" s="113" customFormat="1" x14ac:dyDescent="0.25">
      <c r="A2405" s="141">
        <v>127097</v>
      </c>
      <c r="B2405" s="142" t="s">
        <v>2409</v>
      </c>
      <c r="C2405" s="143" t="s">
        <v>63</v>
      </c>
      <c r="D2405" s="143" t="s">
        <v>154</v>
      </c>
      <c r="E2405" s="142"/>
      <c r="F2405" s="142"/>
      <c r="G2405" s="123"/>
      <c r="H2405" s="226"/>
    </row>
    <row r="2406" spans="1:8" s="113" customFormat="1" x14ac:dyDescent="0.25">
      <c r="A2406" s="187">
        <v>127178</v>
      </c>
      <c r="B2406" s="606" t="s">
        <v>2650</v>
      </c>
      <c r="C2406" s="606" t="s">
        <v>9</v>
      </c>
      <c r="D2406" s="606" t="s">
        <v>154</v>
      </c>
      <c r="E2406" s="606"/>
      <c r="F2406" s="187"/>
    </row>
    <row r="2407" spans="1:8" s="113" customFormat="1" ht="26.25" x14ac:dyDescent="0.25">
      <c r="A2407" s="141">
        <v>127196</v>
      </c>
      <c r="B2407" s="142" t="s">
        <v>2410</v>
      </c>
      <c r="C2407" s="143" t="s">
        <v>27</v>
      </c>
      <c r="D2407" s="143" t="s">
        <v>967</v>
      </c>
      <c r="E2407" s="142"/>
      <c r="F2407" s="142"/>
    </row>
    <row r="2408" spans="1:8" s="113" customFormat="1" x14ac:dyDescent="0.25">
      <c r="A2408" s="195">
        <v>127206</v>
      </c>
      <c r="B2408" s="188" t="s">
        <v>2970</v>
      </c>
      <c r="C2408" s="146" t="s">
        <v>53</v>
      </c>
      <c r="D2408" s="146" t="s">
        <v>154</v>
      </c>
      <c r="E2408" s="606"/>
      <c r="F2408" s="606"/>
    </row>
    <row r="2409" spans="1:8" s="113" customFormat="1" x14ac:dyDescent="0.25">
      <c r="A2409" s="141">
        <v>127256</v>
      </c>
      <c r="B2409" s="144" t="s">
        <v>968</v>
      </c>
      <c r="C2409" s="143" t="s">
        <v>10</v>
      </c>
      <c r="D2409" s="146" t="s">
        <v>154</v>
      </c>
      <c r="E2409" s="142"/>
      <c r="F2409" s="142"/>
      <c r="G2409" s="226"/>
    </row>
    <row r="2410" spans="1:8" s="113" customFormat="1" ht="39" x14ac:dyDescent="0.25">
      <c r="A2410" s="141">
        <v>127265</v>
      </c>
      <c r="B2410" s="142" t="s">
        <v>969</v>
      </c>
      <c r="C2410" s="143" t="s">
        <v>1398</v>
      </c>
      <c r="D2410" s="143" t="s">
        <v>11</v>
      </c>
      <c r="E2410" s="142"/>
      <c r="F2410" s="142"/>
    </row>
    <row r="2411" spans="1:8" s="113" customFormat="1" x14ac:dyDescent="0.25">
      <c r="A2411" s="195">
        <v>127408</v>
      </c>
      <c r="B2411" s="188" t="s">
        <v>2835</v>
      </c>
      <c r="C2411" s="146" t="s">
        <v>32</v>
      </c>
      <c r="D2411" s="146" t="s">
        <v>154</v>
      </c>
      <c r="E2411" s="189"/>
      <c r="F2411" s="189"/>
    </row>
    <row r="2412" spans="1:8" s="113" customFormat="1" x14ac:dyDescent="0.25">
      <c r="A2412" s="187">
        <v>127416</v>
      </c>
      <c r="B2412" s="187" t="s">
        <v>3609</v>
      </c>
      <c r="C2412" s="187" t="s">
        <v>63</v>
      </c>
      <c r="D2412" s="187" t="s">
        <v>794</v>
      </c>
      <c r="E2412" s="187"/>
      <c r="F2412" s="187"/>
    </row>
    <row r="2413" spans="1:8" s="113" customFormat="1" x14ac:dyDescent="0.25">
      <c r="A2413" s="190">
        <v>127416</v>
      </c>
      <c r="B2413" s="606" t="s">
        <v>3609</v>
      </c>
      <c r="C2413" s="606" t="s">
        <v>63</v>
      </c>
      <c r="D2413" s="606" t="s">
        <v>794</v>
      </c>
      <c r="E2413" s="606"/>
      <c r="F2413" s="606"/>
    </row>
    <row r="2414" spans="1:8" s="113" customFormat="1" x14ac:dyDescent="0.25">
      <c r="A2414" s="187">
        <v>127420</v>
      </c>
      <c r="B2414" s="187" t="s">
        <v>3607</v>
      </c>
      <c r="C2414" s="187" t="s">
        <v>1173</v>
      </c>
      <c r="D2414" s="187" t="s">
        <v>154</v>
      </c>
      <c r="E2414" s="187"/>
      <c r="F2414" s="187"/>
    </row>
    <row r="2415" spans="1:8" s="113" customFormat="1" ht="26.25" x14ac:dyDescent="0.25">
      <c r="A2415" s="141">
        <v>127436</v>
      </c>
      <c r="B2415" s="144" t="s">
        <v>970</v>
      </c>
      <c r="C2415" s="143" t="s">
        <v>49</v>
      </c>
      <c r="D2415" s="146" t="s">
        <v>150</v>
      </c>
      <c r="E2415" s="142"/>
      <c r="F2415" s="142"/>
    </row>
    <row r="2416" spans="1:8" s="113" customFormat="1" x14ac:dyDescent="0.25">
      <c r="A2416" s="190">
        <v>127454</v>
      </c>
      <c r="B2416" s="606" t="s">
        <v>2955</v>
      </c>
      <c r="C2416" s="606" t="s">
        <v>1478</v>
      </c>
      <c r="D2416" s="606" t="s">
        <v>173</v>
      </c>
      <c r="E2416" s="606"/>
      <c r="F2416" s="606"/>
      <c r="G2416" s="607"/>
      <c r="H2416" s="607"/>
    </row>
    <row r="2417" spans="1:8" s="113" customFormat="1" x14ac:dyDescent="0.25">
      <c r="A2417" s="190">
        <v>127454</v>
      </c>
      <c r="B2417" s="606" t="s">
        <v>2955</v>
      </c>
      <c r="C2417" s="606" t="s">
        <v>1478</v>
      </c>
      <c r="D2417" s="606" t="s">
        <v>173</v>
      </c>
      <c r="E2417" s="606"/>
      <c r="F2417" s="606"/>
      <c r="G2417" s="226"/>
    </row>
    <row r="2418" spans="1:8" s="113" customFormat="1" x14ac:dyDescent="0.25">
      <c r="A2418" s="141">
        <v>127565</v>
      </c>
      <c r="B2418" s="142" t="s">
        <v>2411</v>
      </c>
      <c r="C2418" s="143" t="s">
        <v>41</v>
      </c>
      <c r="D2418" s="143" t="s">
        <v>302</v>
      </c>
      <c r="E2418" s="142"/>
      <c r="F2418" s="142"/>
    </row>
    <row r="2419" spans="1:8" s="113" customFormat="1" x14ac:dyDescent="0.25">
      <c r="A2419" s="141">
        <v>127569</v>
      </c>
      <c r="B2419" s="142" t="s">
        <v>2412</v>
      </c>
      <c r="C2419" s="143" t="s">
        <v>17</v>
      </c>
      <c r="D2419" s="143" t="s">
        <v>11</v>
      </c>
      <c r="E2419" s="142"/>
      <c r="F2419" s="142"/>
    </row>
    <row r="2420" spans="1:8" s="113" customFormat="1" x14ac:dyDescent="0.25">
      <c r="A2420" s="190">
        <v>127588</v>
      </c>
      <c r="B2420" s="606" t="s">
        <v>2813</v>
      </c>
      <c r="C2420" s="606" t="s">
        <v>1173</v>
      </c>
      <c r="D2420" s="606" t="s">
        <v>116</v>
      </c>
      <c r="E2420" s="606"/>
      <c r="F2420" s="606"/>
    </row>
    <row r="2421" spans="1:8" s="113" customFormat="1" ht="26.25" x14ac:dyDescent="0.25">
      <c r="A2421" s="195">
        <v>127588</v>
      </c>
      <c r="B2421" s="188" t="s">
        <v>2813</v>
      </c>
      <c r="C2421" s="146" t="s">
        <v>1173</v>
      </c>
      <c r="D2421" s="148" t="s">
        <v>116</v>
      </c>
      <c r="E2421" s="606"/>
      <c r="F2421" s="606"/>
    </row>
    <row r="2422" spans="1:8" s="113" customFormat="1" ht="26.25" x14ac:dyDescent="0.25">
      <c r="A2422" s="141">
        <v>127603</v>
      </c>
      <c r="B2422" s="142" t="s">
        <v>971</v>
      </c>
      <c r="C2422" s="143" t="s">
        <v>27</v>
      </c>
      <c r="D2422" s="143" t="s">
        <v>116</v>
      </c>
      <c r="E2422" s="142"/>
      <c r="F2422" s="142"/>
    </row>
    <row r="2423" spans="1:8" s="113" customFormat="1" x14ac:dyDescent="0.25">
      <c r="A2423" s="187">
        <v>127608</v>
      </c>
      <c r="B2423" s="187" t="s">
        <v>3311</v>
      </c>
      <c r="C2423" s="187" t="s">
        <v>16</v>
      </c>
      <c r="D2423" s="187" t="s">
        <v>302</v>
      </c>
      <c r="E2423" s="187"/>
      <c r="F2423" s="187"/>
    </row>
    <row r="2424" spans="1:8" s="113" customFormat="1" ht="21" customHeight="1" x14ac:dyDescent="0.25">
      <c r="A2424" s="190">
        <v>127723</v>
      </c>
      <c r="B2424" s="606" t="s">
        <v>3383</v>
      </c>
      <c r="C2424" s="606" t="s">
        <v>32</v>
      </c>
      <c r="D2424" s="606" t="s">
        <v>154</v>
      </c>
      <c r="E2424" s="606"/>
      <c r="F2424" s="606"/>
    </row>
    <row r="2425" spans="1:8" s="113" customFormat="1" x14ac:dyDescent="0.25">
      <c r="A2425" s="190">
        <v>127723</v>
      </c>
      <c r="B2425" s="606" t="s">
        <v>3383</v>
      </c>
      <c r="C2425" s="606" t="s">
        <v>32</v>
      </c>
      <c r="D2425" s="606" t="s">
        <v>154</v>
      </c>
      <c r="E2425" s="189"/>
      <c r="F2425" s="606"/>
      <c r="G2425" s="226"/>
      <c r="H2425" s="226"/>
    </row>
    <row r="2426" spans="1:8" s="113" customFormat="1" ht="26.25" x14ac:dyDescent="0.25">
      <c r="A2426" s="247">
        <v>127747</v>
      </c>
      <c r="B2426" s="250" t="s">
        <v>1420</v>
      </c>
      <c r="C2426" s="143" t="s">
        <v>1173</v>
      </c>
      <c r="D2426" s="244" t="s">
        <v>116</v>
      </c>
      <c r="E2426" s="250"/>
      <c r="F2426" s="250"/>
      <c r="H2426" s="174"/>
    </row>
    <row r="2427" spans="1:8" s="113" customFormat="1" ht="26.25" x14ac:dyDescent="0.25">
      <c r="A2427" s="195">
        <v>127761</v>
      </c>
      <c r="B2427" s="188" t="s">
        <v>2864</v>
      </c>
      <c r="C2427" s="146" t="s">
        <v>27</v>
      </c>
      <c r="D2427" s="148" t="s">
        <v>116</v>
      </c>
      <c r="E2427" s="606"/>
      <c r="F2427" s="187"/>
      <c r="G2427" s="607"/>
    </row>
    <row r="2428" spans="1:8" s="113" customFormat="1" x14ac:dyDescent="0.25">
      <c r="A2428" s="190">
        <v>127761</v>
      </c>
      <c r="B2428" s="202" t="s">
        <v>2864</v>
      </c>
      <c r="C2428" s="606" t="s">
        <v>2865</v>
      </c>
      <c r="D2428" s="606" t="s">
        <v>116</v>
      </c>
      <c r="E2428" s="606"/>
      <c r="F2428" s="606"/>
    </row>
    <row r="2429" spans="1:8" s="113" customFormat="1" x14ac:dyDescent="0.25">
      <c r="A2429" s="187">
        <v>127772</v>
      </c>
      <c r="B2429" s="188" t="s">
        <v>2873</v>
      </c>
      <c r="C2429" s="146" t="s">
        <v>10</v>
      </c>
      <c r="D2429" s="148" t="s">
        <v>154</v>
      </c>
      <c r="E2429" s="606"/>
      <c r="F2429" s="606"/>
      <c r="G2429" s="226"/>
    </row>
    <row r="2430" spans="1:8" s="113" customFormat="1" x14ac:dyDescent="0.25">
      <c r="A2430" s="195">
        <v>127772</v>
      </c>
      <c r="B2430" s="188" t="s">
        <v>2873</v>
      </c>
      <c r="C2430" s="146" t="s">
        <v>10</v>
      </c>
      <c r="D2430" s="146" t="s">
        <v>154</v>
      </c>
      <c r="E2430" s="606"/>
      <c r="F2430" s="187"/>
    </row>
    <row r="2431" spans="1:8" s="113" customFormat="1" ht="39" x14ac:dyDescent="0.25">
      <c r="A2431" s="247">
        <v>127817</v>
      </c>
      <c r="B2431" s="250" t="s">
        <v>2413</v>
      </c>
      <c r="C2431" s="143" t="s">
        <v>2110</v>
      </c>
      <c r="D2431" s="260" t="s">
        <v>811</v>
      </c>
      <c r="E2431" s="250"/>
      <c r="F2431" s="250"/>
      <c r="H2431" s="229"/>
    </row>
    <row r="2432" spans="1:8" s="113" customFormat="1" x14ac:dyDescent="0.25">
      <c r="A2432" s="190">
        <v>127828</v>
      </c>
      <c r="B2432" s="190" t="s">
        <v>2821</v>
      </c>
      <c r="C2432" s="190" t="s">
        <v>5</v>
      </c>
      <c r="D2432" s="190" t="s">
        <v>11</v>
      </c>
      <c r="E2432" s="190"/>
      <c r="F2432" s="190"/>
    </row>
    <row r="2433" spans="1:8" s="113" customFormat="1" ht="26.25" x14ac:dyDescent="0.25">
      <c r="A2433" s="195">
        <v>127828</v>
      </c>
      <c r="B2433" s="188" t="s">
        <v>2821</v>
      </c>
      <c r="C2433" s="146" t="s">
        <v>5</v>
      </c>
      <c r="D2433" s="146" t="s">
        <v>11</v>
      </c>
      <c r="E2433" s="606"/>
      <c r="F2433" s="187"/>
    </row>
    <row r="2434" spans="1:8" s="113" customFormat="1" x14ac:dyDescent="0.25">
      <c r="A2434" s="247">
        <v>127842</v>
      </c>
      <c r="B2434" s="250" t="s">
        <v>1539</v>
      </c>
      <c r="C2434" s="143" t="s">
        <v>140</v>
      </c>
      <c r="D2434" s="260" t="s">
        <v>148</v>
      </c>
      <c r="E2434" s="250"/>
      <c r="F2434" s="250"/>
      <c r="G2434" s="607"/>
      <c r="H2434" s="607"/>
    </row>
    <row r="2435" spans="1:8" s="113" customFormat="1" x14ac:dyDescent="0.25">
      <c r="A2435" s="141">
        <v>127923</v>
      </c>
      <c r="B2435" s="190" t="s">
        <v>3029</v>
      </c>
      <c r="C2435" s="190" t="s">
        <v>24</v>
      </c>
      <c r="D2435" s="148" t="s">
        <v>501</v>
      </c>
      <c r="E2435" s="190"/>
      <c r="F2435" s="190"/>
    </row>
    <row r="2436" spans="1:8" s="113" customFormat="1" ht="26.25" x14ac:dyDescent="0.25">
      <c r="A2436" s="247">
        <v>127924</v>
      </c>
      <c r="B2436" s="250" t="s">
        <v>1214</v>
      </c>
      <c r="C2436" s="143" t="s">
        <v>417</v>
      </c>
      <c r="D2436" s="143" t="s">
        <v>7</v>
      </c>
      <c r="E2436" s="250"/>
      <c r="F2436" s="250"/>
    </row>
    <row r="2437" spans="1:8" s="113" customFormat="1" x14ac:dyDescent="0.25">
      <c r="A2437" s="190">
        <v>127964</v>
      </c>
      <c r="B2437" s="263" t="s">
        <v>2643</v>
      </c>
      <c r="C2437" s="263" t="s">
        <v>10</v>
      </c>
      <c r="D2437" s="263" t="s">
        <v>154</v>
      </c>
      <c r="E2437" s="606"/>
      <c r="F2437" s="606"/>
    </row>
    <row r="2438" spans="1:8" s="113" customFormat="1" x14ac:dyDescent="0.25">
      <c r="A2438" s="195">
        <v>127964</v>
      </c>
      <c r="B2438" s="188" t="s">
        <v>2643</v>
      </c>
      <c r="C2438" s="146" t="s">
        <v>10</v>
      </c>
      <c r="D2438" s="146" t="s">
        <v>154</v>
      </c>
      <c r="E2438" s="606"/>
      <c r="F2438" s="606"/>
    </row>
    <row r="2439" spans="1:8" s="113" customFormat="1" x14ac:dyDescent="0.25">
      <c r="A2439" s="190">
        <v>128001</v>
      </c>
      <c r="B2439" s="606" t="s">
        <v>3364</v>
      </c>
      <c r="C2439" s="606" t="s">
        <v>8</v>
      </c>
      <c r="D2439" s="606" t="s">
        <v>11</v>
      </c>
      <c r="E2439" s="606"/>
      <c r="F2439" s="606"/>
    </row>
    <row r="2440" spans="1:8" s="113" customFormat="1" x14ac:dyDescent="0.25">
      <c r="A2440" s="195">
        <v>128074</v>
      </c>
      <c r="B2440" s="188" t="s">
        <v>2840</v>
      </c>
      <c r="C2440" s="606" t="s">
        <v>3011</v>
      </c>
      <c r="D2440" s="606" t="s">
        <v>7</v>
      </c>
      <c r="E2440" s="606"/>
      <c r="F2440" s="187"/>
    </row>
    <row r="2441" spans="1:8" s="113" customFormat="1" x14ac:dyDescent="0.25">
      <c r="A2441" s="190">
        <v>128074</v>
      </c>
      <c r="B2441" s="133" t="s">
        <v>2840</v>
      </c>
      <c r="C2441" s="187" t="s">
        <v>5</v>
      </c>
      <c r="D2441" s="187" t="s">
        <v>2841</v>
      </c>
      <c r="E2441" s="606"/>
      <c r="F2441" s="606"/>
    </row>
    <row r="2442" spans="1:8" s="113" customFormat="1" x14ac:dyDescent="0.25">
      <c r="A2442" s="190">
        <v>128074</v>
      </c>
      <c r="B2442" s="606" t="s">
        <v>2840</v>
      </c>
      <c r="C2442" s="606" t="s">
        <v>5</v>
      </c>
      <c r="D2442" s="606" t="s">
        <v>7</v>
      </c>
      <c r="E2442" s="606"/>
      <c r="F2442" s="606"/>
    </row>
    <row r="2443" spans="1:8" s="113" customFormat="1" x14ac:dyDescent="0.25">
      <c r="A2443" s="141">
        <v>128148</v>
      </c>
      <c r="B2443" s="142" t="s">
        <v>1194</v>
      </c>
      <c r="C2443" s="143" t="s">
        <v>32</v>
      </c>
      <c r="D2443" s="143" t="s">
        <v>154</v>
      </c>
      <c r="E2443" s="142"/>
      <c r="F2443" s="142"/>
      <c r="G2443" s="226"/>
    </row>
    <row r="2444" spans="1:8" s="113" customFormat="1" x14ac:dyDescent="0.25">
      <c r="A2444" s="141">
        <v>128157</v>
      </c>
      <c r="B2444" s="142" t="s">
        <v>972</v>
      </c>
      <c r="C2444" s="143" t="s">
        <v>36</v>
      </c>
      <c r="D2444" s="143" t="s">
        <v>967</v>
      </c>
      <c r="E2444" s="142"/>
      <c r="F2444" s="142"/>
    </row>
    <row r="2445" spans="1:8" s="113" customFormat="1" x14ac:dyDescent="0.25">
      <c r="A2445" s="141">
        <v>128317</v>
      </c>
      <c r="B2445" s="142" t="s">
        <v>2414</v>
      </c>
      <c r="C2445" s="143" t="s">
        <v>10</v>
      </c>
      <c r="D2445" s="143" t="s">
        <v>242</v>
      </c>
      <c r="E2445" s="142"/>
      <c r="F2445" s="142"/>
      <c r="G2445" s="607"/>
      <c r="H2445" s="607"/>
    </row>
    <row r="2446" spans="1:8" s="113" customFormat="1" x14ac:dyDescent="0.25">
      <c r="A2446" s="190">
        <v>128363</v>
      </c>
      <c r="B2446" s="188" t="s">
        <v>2560</v>
      </c>
      <c r="C2446" s="187" t="s">
        <v>914</v>
      </c>
      <c r="D2446" s="244" t="s">
        <v>116</v>
      </c>
      <c r="E2446" s="187"/>
      <c r="F2446" s="187"/>
    </row>
    <row r="2447" spans="1:8" s="113" customFormat="1" ht="26.25" x14ac:dyDescent="0.25">
      <c r="A2447" s="141">
        <v>128389</v>
      </c>
      <c r="B2447" s="142" t="s">
        <v>2415</v>
      </c>
      <c r="C2447" s="143" t="s">
        <v>22</v>
      </c>
      <c r="D2447" s="143" t="s">
        <v>154</v>
      </c>
      <c r="E2447" s="142"/>
      <c r="F2447" s="142"/>
    </row>
    <row r="2448" spans="1:8" s="113" customFormat="1" x14ac:dyDescent="0.25">
      <c r="A2448" s="141">
        <v>128398</v>
      </c>
      <c r="B2448" s="142" t="s">
        <v>973</v>
      </c>
      <c r="C2448" s="143" t="s">
        <v>64</v>
      </c>
      <c r="D2448" s="143" t="s">
        <v>228</v>
      </c>
      <c r="E2448" s="142"/>
      <c r="F2448" s="142"/>
    </row>
    <row r="2449" spans="1:7" s="113" customFormat="1" ht="26.25" x14ac:dyDescent="0.25">
      <c r="A2449" s="141">
        <v>128480</v>
      </c>
      <c r="B2449" s="142" t="s">
        <v>2416</v>
      </c>
      <c r="C2449" s="143" t="s">
        <v>22</v>
      </c>
      <c r="D2449" s="143" t="s">
        <v>268</v>
      </c>
      <c r="E2449" s="142"/>
      <c r="F2449" s="142"/>
    </row>
    <row r="2450" spans="1:7" s="113" customFormat="1" x14ac:dyDescent="0.25">
      <c r="A2450" s="187">
        <v>128630</v>
      </c>
      <c r="B2450" s="188" t="s">
        <v>2747</v>
      </c>
      <c r="C2450" s="146" t="s">
        <v>1455</v>
      </c>
      <c r="D2450" s="146" t="s">
        <v>150</v>
      </c>
      <c r="E2450" s="606"/>
      <c r="F2450" s="606"/>
    </row>
    <row r="2451" spans="1:7" s="113" customFormat="1" x14ac:dyDescent="0.25">
      <c r="A2451" s="195">
        <v>128630</v>
      </c>
      <c r="B2451" s="188" t="s">
        <v>2747</v>
      </c>
      <c r="C2451" s="146" t="s">
        <v>1455</v>
      </c>
      <c r="D2451" s="146" t="s">
        <v>150</v>
      </c>
      <c r="E2451" s="606"/>
      <c r="F2451" s="606"/>
    </row>
    <row r="2452" spans="1:7" s="113" customFormat="1" ht="26.25" x14ac:dyDescent="0.25">
      <c r="A2452" s="141">
        <v>128666</v>
      </c>
      <c r="B2452" s="142" t="s">
        <v>974</v>
      </c>
      <c r="C2452" s="143" t="s">
        <v>96</v>
      </c>
      <c r="D2452" s="143" t="s">
        <v>109</v>
      </c>
      <c r="E2452" s="142"/>
      <c r="F2452" s="142"/>
    </row>
    <row r="2453" spans="1:7" s="113" customFormat="1" ht="26.25" x14ac:dyDescent="0.25">
      <c r="A2453" s="141">
        <v>128682</v>
      </c>
      <c r="B2453" s="142" t="s">
        <v>2417</v>
      </c>
      <c r="C2453" s="143" t="s">
        <v>144</v>
      </c>
      <c r="D2453" s="143" t="s">
        <v>173</v>
      </c>
      <c r="E2453" s="142"/>
      <c r="F2453" s="142"/>
    </row>
    <row r="2454" spans="1:7" s="113" customFormat="1" ht="26.25" x14ac:dyDescent="0.25">
      <c r="A2454" s="247">
        <v>128699</v>
      </c>
      <c r="B2454" s="250" t="s">
        <v>1295</v>
      </c>
      <c r="C2454" s="143" t="s">
        <v>49</v>
      </c>
      <c r="D2454" s="143" t="s">
        <v>116</v>
      </c>
      <c r="E2454" s="250"/>
      <c r="F2454" s="250"/>
    </row>
    <row r="2455" spans="1:7" s="113" customFormat="1" x14ac:dyDescent="0.25">
      <c r="A2455" s="141">
        <v>128737</v>
      </c>
      <c r="B2455" s="142" t="s">
        <v>975</v>
      </c>
      <c r="C2455" s="143" t="s">
        <v>12</v>
      </c>
      <c r="D2455" s="143" t="s">
        <v>109</v>
      </c>
      <c r="E2455" s="142"/>
      <c r="F2455" s="142"/>
    </row>
    <row r="2456" spans="1:7" s="113" customFormat="1" x14ac:dyDescent="0.25">
      <c r="A2456" s="141">
        <v>128768</v>
      </c>
      <c r="B2456" s="142" t="s">
        <v>976</v>
      </c>
      <c r="C2456" s="143" t="s">
        <v>9</v>
      </c>
      <c r="D2456" s="143" t="s">
        <v>7</v>
      </c>
      <c r="E2456" s="142"/>
      <c r="F2456" s="142"/>
      <c r="G2456" s="226"/>
    </row>
    <row r="2457" spans="1:7" s="113" customFormat="1" x14ac:dyDescent="0.25">
      <c r="A2457" s="606">
        <v>128875</v>
      </c>
      <c r="B2457" s="606" t="s">
        <v>2726</v>
      </c>
      <c r="C2457" s="606" t="s">
        <v>27</v>
      </c>
      <c r="D2457" s="606" t="s">
        <v>7</v>
      </c>
      <c r="E2457" s="606"/>
      <c r="F2457" s="606"/>
    </row>
    <row r="2458" spans="1:7" s="113" customFormat="1" ht="26.25" x14ac:dyDescent="0.25">
      <c r="A2458" s="187">
        <v>128875</v>
      </c>
      <c r="B2458" s="188" t="s">
        <v>2726</v>
      </c>
      <c r="C2458" s="146" t="s">
        <v>27</v>
      </c>
      <c r="D2458" s="146" t="s">
        <v>7</v>
      </c>
      <c r="E2458" s="606"/>
      <c r="F2458" s="606"/>
    </row>
    <row r="2459" spans="1:7" s="113" customFormat="1" x14ac:dyDescent="0.25">
      <c r="A2459" s="190">
        <v>128875</v>
      </c>
      <c r="B2459" s="606" t="s">
        <v>2726</v>
      </c>
      <c r="C2459" s="606" t="s">
        <v>27</v>
      </c>
      <c r="D2459" s="606" t="s">
        <v>7</v>
      </c>
      <c r="E2459" s="606"/>
      <c r="F2459" s="606"/>
    </row>
    <row r="2460" spans="1:7" s="113" customFormat="1" ht="26.25" x14ac:dyDescent="0.25">
      <c r="A2460" s="141">
        <v>128901</v>
      </c>
      <c r="B2460" s="142" t="s">
        <v>977</v>
      </c>
      <c r="C2460" s="143" t="s">
        <v>20</v>
      </c>
      <c r="D2460" s="143" t="s">
        <v>302</v>
      </c>
      <c r="E2460" s="142"/>
      <c r="F2460" s="142"/>
    </row>
    <row r="2461" spans="1:7" s="113" customFormat="1" ht="26.25" x14ac:dyDescent="0.25">
      <c r="A2461" s="247">
        <v>128903</v>
      </c>
      <c r="B2461" s="250" t="s">
        <v>1406</v>
      </c>
      <c r="C2461" s="143" t="s">
        <v>6</v>
      </c>
      <c r="D2461" s="143" t="s">
        <v>11</v>
      </c>
      <c r="E2461" s="250"/>
      <c r="F2461" s="250"/>
    </row>
    <row r="2462" spans="1:7" s="113" customFormat="1" x14ac:dyDescent="0.25">
      <c r="A2462" s="301">
        <v>128905</v>
      </c>
      <c r="B2462" s="608" t="s">
        <v>3355</v>
      </c>
      <c r="C2462" s="608" t="s">
        <v>3356</v>
      </c>
      <c r="D2462" s="608" t="s">
        <v>3329</v>
      </c>
      <c r="E2462" s="608"/>
      <c r="F2462" s="608"/>
    </row>
    <row r="2463" spans="1:7" s="113" customFormat="1" x14ac:dyDescent="0.25">
      <c r="A2463" s="141">
        <v>128906</v>
      </c>
      <c r="B2463" s="142" t="s">
        <v>2418</v>
      </c>
      <c r="C2463" s="143" t="s">
        <v>9</v>
      </c>
      <c r="D2463" s="143" t="s">
        <v>150</v>
      </c>
      <c r="E2463" s="142"/>
      <c r="F2463" s="142"/>
    </row>
    <row r="2464" spans="1:7" s="113" customFormat="1" x14ac:dyDescent="0.25">
      <c r="A2464" s="141">
        <v>128910</v>
      </c>
      <c r="B2464" s="142" t="s">
        <v>2419</v>
      </c>
      <c r="C2464" s="143" t="s">
        <v>63</v>
      </c>
      <c r="D2464" s="143" t="s">
        <v>1164</v>
      </c>
      <c r="E2464" s="142"/>
      <c r="F2464" s="142"/>
    </row>
    <row r="2465" spans="1:8" s="113" customFormat="1" ht="26.25" x14ac:dyDescent="0.25">
      <c r="A2465" s="141">
        <v>128934</v>
      </c>
      <c r="B2465" s="142" t="s">
        <v>1179</v>
      </c>
      <c r="C2465" s="143" t="s">
        <v>5</v>
      </c>
      <c r="D2465" s="143" t="s">
        <v>154</v>
      </c>
      <c r="E2465" s="142"/>
      <c r="F2465" s="142"/>
    </row>
    <row r="2466" spans="1:8" s="113" customFormat="1" x14ac:dyDescent="0.25">
      <c r="A2466" s="141">
        <v>128944</v>
      </c>
      <c r="B2466" s="142" t="s">
        <v>2420</v>
      </c>
      <c r="C2466" s="143" t="s">
        <v>12</v>
      </c>
      <c r="D2466" s="143" t="s">
        <v>1105</v>
      </c>
      <c r="E2466" s="142"/>
      <c r="F2466" s="142"/>
      <c r="G2466" s="226"/>
    </row>
    <row r="2467" spans="1:8" s="113" customFormat="1" x14ac:dyDescent="0.25">
      <c r="A2467" s="247">
        <v>129077</v>
      </c>
      <c r="B2467" s="250" t="s">
        <v>2421</v>
      </c>
      <c r="C2467" s="143" t="s">
        <v>53</v>
      </c>
      <c r="D2467" s="260" t="s">
        <v>14</v>
      </c>
      <c r="E2467" s="250"/>
      <c r="F2467" s="250"/>
      <c r="G2467" s="172"/>
    </row>
    <row r="2468" spans="1:8" s="113" customFormat="1" ht="26.25" x14ac:dyDescent="0.25">
      <c r="A2468" s="141">
        <v>129113</v>
      </c>
      <c r="B2468" s="142" t="s">
        <v>978</v>
      </c>
      <c r="C2468" s="143" t="s">
        <v>16</v>
      </c>
      <c r="D2468" s="143" t="s">
        <v>154</v>
      </c>
      <c r="E2468" s="142"/>
      <c r="F2468" s="142"/>
    </row>
    <row r="2469" spans="1:8" s="113" customFormat="1" x14ac:dyDescent="0.25">
      <c r="A2469" s="141">
        <v>129132</v>
      </c>
      <c r="B2469" s="142" t="s">
        <v>1425</v>
      </c>
      <c r="C2469" s="143" t="s">
        <v>44</v>
      </c>
      <c r="D2469" s="143" t="s">
        <v>453</v>
      </c>
      <c r="E2469" s="142"/>
      <c r="F2469" s="142"/>
      <c r="G2469" s="607"/>
      <c r="H2469" s="607"/>
    </row>
    <row r="2470" spans="1:8" s="113" customFormat="1" ht="26.25" x14ac:dyDescent="0.25">
      <c r="A2470" s="141">
        <v>129211</v>
      </c>
      <c r="B2470" s="142" t="s">
        <v>979</v>
      </c>
      <c r="C2470" s="143" t="s">
        <v>16</v>
      </c>
      <c r="D2470" s="143" t="s">
        <v>7</v>
      </c>
      <c r="E2470" s="142"/>
      <c r="F2470" s="142"/>
    </row>
    <row r="2471" spans="1:8" s="113" customFormat="1" ht="26.25" x14ac:dyDescent="0.25">
      <c r="A2471" s="141">
        <v>129212</v>
      </c>
      <c r="B2471" s="142" t="s">
        <v>980</v>
      </c>
      <c r="C2471" s="143" t="s">
        <v>16</v>
      </c>
      <c r="D2471" s="143" t="s">
        <v>302</v>
      </c>
      <c r="E2471" s="142"/>
      <c r="F2471" s="142"/>
    </row>
    <row r="2472" spans="1:8" s="113" customFormat="1" ht="26.25" x14ac:dyDescent="0.25">
      <c r="A2472" s="141">
        <v>129264</v>
      </c>
      <c r="B2472" s="142" t="s">
        <v>981</v>
      </c>
      <c r="C2472" s="143" t="s">
        <v>144</v>
      </c>
      <c r="D2472" s="143" t="s">
        <v>11</v>
      </c>
      <c r="E2472" s="142"/>
      <c r="F2472" s="142"/>
      <c r="G2472" s="226"/>
    </row>
    <row r="2473" spans="1:8" s="113" customFormat="1" x14ac:dyDescent="0.25">
      <c r="A2473" s="190">
        <v>129303</v>
      </c>
      <c r="B2473" s="606" t="s">
        <v>3400</v>
      </c>
      <c r="C2473" s="606" t="s">
        <v>32</v>
      </c>
      <c r="D2473" s="606" t="s">
        <v>551</v>
      </c>
      <c r="E2473" s="606"/>
      <c r="F2473" s="606"/>
      <c r="G2473" s="607"/>
    </row>
    <row r="2474" spans="1:8" s="113" customFormat="1" ht="26.25" x14ac:dyDescent="0.25">
      <c r="A2474" s="141">
        <v>129337</v>
      </c>
      <c r="B2474" s="142" t="s">
        <v>982</v>
      </c>
      <c r="C2474" s="143" t="s">
        <v>3039</v>
      </c>
      <c r="D2474" s="143" t="s">
        <v>154</v>
      </c>
      <c r="E2474" s="142"/>
      <c r="F2474" s="142"/>
    </row>
    <row r="2475" spans="1:8" s="113" customFormat="1" x14ac:dyDescent="0.25">
      <c r="A2475" s="141">
        <v>129526</v>
      </c>
      <c r="B2475" s="142" t="s">
        <v>983</v>
      </c>
      <c r="C2475" s="143" t="s">
        <v>195</v>
      </c>
      <c r="D2475" s="143" t="s">
        <v>143</v>
      </c>
      <c r="E2475" s="142"/>
      <c r="F2475" s="142"/>
    </row>
    <row r="2476" spans="1:8" s="113" customFormat="1" ht="26.25" x14ac:dyDescent="0.25">
      <c r="A2476" s="141">
        <v>129745</v>
      </c>
      <c r="B2476" s="142" t="s">
        <v>2422</v>
      </c>
      <c r="C2476" s="143" t="s">
        <v>3</v>
      </c>
      <c r="D2476" s="143" t="s">
        <v>242</v>
      </c>
      <c r="E2476" s="142"/>
      <c r="F2476" s="142"/>
    </row>
    <row r="2477" spans="1:8" s="113" customFormat="1" x14ac:dyDescent="0.25">
      <c r="A2477" s="190">
        <v>129747</v>
      </c>
      <c r="B2477" s="606" t="s">
        <v>2902</v>
      </c>
      <c r="C2477" s="606" t="s">
        <v>1455</v>
      </c>
      <c r="D2477" s="606" t="s">
        <v>415</v>
      </c>
      <c r="E2477" s="606"/>
      <c r="F2477" s="606"/>
    </row>
    <row r="2478" spans="1:8" s="113" customFormat="1" x14ac:dyDescent="0.25">
      <c r="A2478" s="247">
        <v>129754</v>
      </c>
      <c r="B2478" s="250" t="s">
        <v>1465</v>
      </c>
      <c r="C2478" s="143" t="s">
        <v>140</v>
      </c>
      <c r="D2478" s="251" t="s">
        <v>7</v>
      </c>
      <c r="E2478" s="250"/>
      <c r="F2478" s="250"/>
      <c r="G2478" s="194"/>
      <c r="H2478" s="194"/>
    </row>
    <row r="2479" spans="1:8" s="113" customFormat="1" x14ac:dyDescent="0.25">
      <c r="A2479" s="141">
        <v>129766</v>
      </c>
      <c r="B2479" s="142" t="s">
        <v>984</v>
      </c>
      <c r="C2479" s="143" t="s">
        <v>10</v>
      </c>
      <c r="D2479" s="143" t="s">
        <v>7</v>
      </c>
      <c r="E2479" s="142"/>
      <c r="F2479" s="142"/>
    </row>
    <row r="2480" spans="1:8" s="113" customFormat="1" ht="26.25" x14ac:dyDescent="0.25">
      <c r="A2480" s="141">
        <v>129809</v>
      </c>
      <c r="B2480" s="142" t="s">
        <v>1112</v>
      </c>
      <c r="C2480" s="143" t="s">
        <v>120</v>
      </c>
      <c r="D2480" s="143" t="s">
        <v>11</v>
      </c>
      <c r="E2480" s="142"/>
      <c r="F2480" s="142"/>
    </row>
    <row r="2481" spans="1:8" s="113" customFormat="1" ht="26.25" x14ac:dyDescent="0.25">
      <c r="A2481" s="141">
        <v>129905</v>
      </c>
      <c r="B2481" s="142" t="s">
        <v>985</v>
      </c>
      <c r="C2481" s="143" t="s">
        <v>49</v>
      </c>
      <c r="D2481" s="143" t="s">
        <v>150</v>
      </c>
      <c r="E2481" s="142"/>
      <c r="F2481" s="142"/>
    </row>
    <row r="2482" spans="1:8" s="113" customFormat="1" x14ac:dyDescent="0.25">
      <c r="A2482" s="187">
        <v>129921</v>
      </c>
      <c r="B2482" s="606" t="s">
        <v>2648</v>
      </c>
      <c r="C2482" s="606" t="s">
        <v>63</v>
      </c>
      <c r="D2482" s="148" t="s">
        <v>242</v>
      </c>
      <c r="E2482" s="606"/>
      <c r="F2482" s="187"/>
    </row>
    <row r="2483" spans="1:8" s="113" customFormat="1" x14ac:dyDescent="0.25">
      <c r="A2483" s="141">
        <v>129975</v>
      </c>
      <c r="B2483" s="142" t="s">
        <v>986</v>
      </c>
      <c r="C2483" s="143" t="s">
        <v>12</v>
      </c>
      <c r="D2483" s="143" t="s">
        <v>811</v>
      </c>
      <c r="E2483" s="142"/>
      <c r="F2483" s="142"/>
    </row>
    <row r="2484" spans="1:8" s="113" customFormat="1" x14ac:dyDescent="0.25">
      <c r="A2484" s="187">
        <v>130076</v>
      </c>
      <c r="B2484" s="187" t="s">
        <v>3584</v>
      </c>
      <c r="C2484" s="187" t="s">
        <v>8</v>
      </c>
      <c r="D2484" s="187" t="s">
        <v>3329</v>
      </c>
      <c r="E2484" s="187"/>
      <c r="F2484" s="187"/>
    </row>
    <row r="2485" spans="1:8" s="113" customFormat="1" x14ac:dyDescent="0.25">
      <c r="A2485" s="190">
        <v>130314</v>
      </c>
      <c r="B2485" s="606" t="s">
        <v>3300</v>
      </c>
      <c r="C2485" s="606" t="s">
        <v>17</v>
      </c>
      <c r="D2485" s="606" t="s">
        <v>7</v>
      </c>
      <c r="E2485" s="606"/>
      <c r="F2485" s="606"/>
      <c r="G2485" s="226"/>
    </row>
    <row r="2486" spans="1:8" s="113" customFormat="1" x14ac:dyDescent="0.25">
      <c r="A2486" s="301">
        <v>130314</v>
      </c>
      <c r="B2486" s="608" t="s">
        <v>3300</v>
      </c>
      <c r="C2486" s="608" t="s">
        <v>3346</v>
      </c>
      <c r="D2486" s="608" t="s">
        <v>7</v>
      </c>
      <c r="E2486" s="608"/>
      <c r="F2486" s="608"/>
    </row>
    <row r="2487" spans="1:8" s="113" customFormat="1" x14ac:dyDescent="0.25">
      <c r="A2487" s="190">
        <v>130327</v>
      </c>
      <c r="B2487" s="606" t="s">
        <v>3401</v>
      </c>
      <c r="C2487" s="606" t="s">
        <v>3039</v>
      </c>
      <c r="D2487" s="606" t="s">
        <v>154</v>
      </c>
      <c r="E2487" s="606"/>
      <c r="F2487" s="606"/>
    </row>
    <row r="2488" spans="1:8" s="113" customFormat="1" ht="26.25" x14ac:dyDescent="0.25">
      <c r="A2488" s="141">
        <v>130447</v>
      </c>
      <c r="B2488" s="142" t="s">
        <v>3325</v>
      </c>
      <c r="C2488" s="143" t="s">
        <v>914</v>
      </c>
      <c r="D2488" s="143" t="s">
        <v>143</v>
      </c>
      <c r="E2488" s="142"/>
      <c r="F2488" s="142"/>
    </row>
    <row r="2489" spans="1:8" s="113" customFormat="1" x14ac:dyDescent="0.25">
      <c r="A2489" s="190">
        <v>130639</v>
      </c>
      <c r="B2489" s="606" t="s">
        <v>3156</v>
      </c>
      <c r="C2489" s="606" t="s">
        <v>140</v>
      </c>
      <c r="D2489" s="606" t="s">
        <v>7</v>
      </c>
      <c r="E2489" s="606"/>
      <c r="F2489" s="606"/>
    </row>
    <row r="2490" spans="1:8" s="113" customFormat="1" x14ac:dyDescent="0.25">
      <c r="A2490" s="190">
        <v>130639</v>
      </c>
      <c r="B2490" s="606" t="s">
        <v>3156</v>
      </c>
      <c r="C2490" s="606" t="s">
        <v>140</v>
      </c>
      <c r="D2490" s="606" t="s">
        <v>7</v>
      </c>
      <c r="E2490" s="606"/>
      <c r="F2490" s="606"/>
    </row>
    <row r="2491" spans="1:8" s="113" customFormat="1" x14ac:dyDescent="0.25">
      <c r="A2491" s="190">
        <v>130816</v>
      </c>
      <c r="B2491" s="606" t="s">
        <v>3177</v>
      </c>
      <c r="C2491" s="606" t="s">
        <v>36</v>
      </c>
      <c r="D2491" s="606" t="s">
        <v>242</v>
      </c>
      <c r="E2491" s="606"/>
      <c r="F2491" s="606"/>
    </row>
    <row r="2492" spans="1:8" s="113" customFormat="1" x14ac:dyDescent="0.25">
      <c r="A2492" s="153">
        <v>131043</v>
      </c>
      <c r="B2492" s="154" t="s">
        <v>2423</v>
      </c>
      <c r="C2492" s="143" t="s">
        <v>36</v>
      </c>
      <c r="D2492" s="143" t="s">
        <v>1131</v>
      </c>
      <c r="E2492" s="142"/>
      <c r="F2492" s="142"/>
    </row>
    <row r="2493" spans="1:8" s="113" customFormat="1" x14ac:dyDescent="0.25">
      <c r="A2493" s="190">
        <v>131289</v>
      </c>
      <c r="B2493" s="188" t="s">
        <v>2523</v>
      </c>
      <c r="C2493" s="146" t="s">
        <v>140</v>
      </c>
      <c r="D2493" s="148" t="s">
        <v>148</v>
      </c>
      <c r="E2493" s="187"/>
      <c r="F2493" s="187"/>
      <c r="G2493" s="607"/>
      <c r="H2493" s="607"/>
    </row>
    <row r="2494" spans="1:8" s="113" customFormat="1" ht="26.25" x14ac:dyDescent="0.25">
      <c r="A2494" s="255">
        <v>131453</v>
      </c>
      <c r="B2494" s="259" t="s">
        <v>1338</v>
      </c>
      <c r="C2494" s="143" t="s">
        <v>144</v>
      </c>
      <c r="D2494" s="251" t="s">
        <v>173</v>
      </c>
      <c r="E2494" s="250"/>
      <c r="F2494" s="250"/>
    </row>
    <row r="2495" spans="1:8" s="113" customFormat="1" ht="26.25" x14ac:dyDescent="0.25">
      <c r="A2495" s="141">
        <v>131558</v>
      </c>
      <c r="B2495" s="142" t="s">
        <v>2424</v>
      </c>
      <c r="C2495" s="143" t="s">
        <v>3</v>
      </c>
      <c r="D2495" s="143" t="s">
        <v>242</v>
      </c>
      <c r="E2495" s="142"/>
      <c r="F2495" s="142"/>
    </row>
    <row r="2496" spans="1:8" s="113" customFormat="1" ht="26.25" x14ac:dyDescent="0.25">
      <c r="A2496" s="141">
        <v>131566</v>
      </c>
      <c r="B2496" s="142" t="s">
        <v>2425</v>
      </c>
      <c r="C2496" s="143" t="s">
        <v>27</v>
      </c>
      <c r="D2496" s="143" t="s">
        <v>242</v>
      </c>
      <c r="E2496" s="142"/>
      <c r="F2496" s="142"/>
    </row>
    <row r="2497" spans="1:8" s="113" customFormat="1" ht="26.25" x14ac:dyDescent="0.25">
      <c r="A2497" s="141">
        <v>131768</v>
      </c>
      <c r="B2497" s="142" t="s">
        <v>987</v>
      </c>
      <c r="C2497" s="143" t="s">
        <v>16</v>
      </c>
      <c r="D2497" s="143" t="s">
        <v>302</v>
      </c>
      <c r="E2497" s="142"/>
      <c r="F2497" s="142"/>
    </row>
    <row r="2498" spans="1:8" s="113" customFormat="1" x14ac:dyDescent="0.25">
      <c r="A2498" s="141">
        <v>131772</v>
      </c>
      <c r="B2498" s="142" t="s">
        <v>1127</v>
      </c>
      <c r="C2498" s="143" t="s">
        <v>12</v>
      </c>
      <c r="D2498" s="143" t="s">
        <v>811</v>
      </c>
      <c r="E2498" s="142"/>
      <c r="F2498" s="142"/>
    </row>
    <row r="2499" spans="1:8" s="113" customFormat="1" x14ac:dyDescent="0.25">
      <c r="A2499" s="190">
        <v>132080</v>
      </c>
      <c r="B2499" s="606" t="s">
        <v>3668</v>
      </c>
      <c r="C2499" s="606" t="s">
        <v>64</v>
      </c>
      <c r="D2499" s="606" t="s">
        <v>504</v>
      </c>
      <c r="E2499" s="189"/>
      <c r="F2499" s="606"/>
    </row>
    <row r="2500" spans="1:8" s="113" customFormat="1" ht="26.25" x14ac:dyDescent="0.25">
      <c r="A2500" s="247">
        <v>132137</v>
      </c>
      <c r="B2500" s="250" t="s">
        <v>1296</v>
      </c>
      <c r="C2500" s="143" t="s">
        <v>8</v>
      </c>
      <c r="D2500" s="143" t="s">
        <v>116</v>
      </c>
      <c r="E2500" s="250"/>
      <c r="F2500" s="250"/>
    </row>
    <row r="2501" spans="1:8" s="113" customFormat="1" x14ac:dyDescent="0.25">
      <c r="A2501" s="187">
        <v>132270</v>
      </c>
      <c r="B2501" s="188" t="s">
        <v>3076</v>
      </c>
      <c r="C2501" s="146" t="s">
        <v>3077</v>
      </c>
      <c r="D2501" s="148" t="s">
        <v>3078</v>
      </c>
      <c r="E2501" s="606"/>
      <c r="F2501" s="606"/>
    </row>
    <row r="2502" spans="1:8" s="113" customFormat="1" x14ac:dyDescent="0.25">
      <c r="A2502" s="195">
        <v>132270</v>
      </c>
      <c r="B2502" s="187" t="s">
        <v>3076</v>
      </c>
      <c r="C2502" s="187" t="s">
        <v>1455</v>
      </c>
      <c r="D2502" s="146" t="s">
        <v>415</v>
      </c>
      <c r="E2502" s="606"/>
      <c r="F2502" s="187"/>
    </row>
    <row r="2503" spans="1:8" s="113" customFormat="1" x14ac:dyDescent="0.25">
      <c r="A2503" s="195">
        <v>132321</v>
      </c>
      <c r="B2503" s="187" t="s">
        <v>3517</v>
      </c>
      <c r="C2503" s="187" t="s">
        <v>8</v>
      </c>
      <c r="D2503" s="148" t="s">
        <v>116</v>
      </c>
      <c r="E2503" s="606"/>
      <c r="F2503" s="187"/>
    </row>
    <row r="2504" spans="1:8" s="113" customFormat="1" x14ac:dyDescent="0.25">
      <c r="A2504" s="195">
        <v>132321</v>
      </c>
      <c r="B2504" s="187" t="s">
        <v>3517</v>
      </c>
      <c r="C2504" s="187" t="s">
        <v>8</v>
      </c>
      <c r="D2504" s="146" t="s">
        <v>116</v>
      </c>
      <c r="E2504" s="606"/>
      <c r="F2504" s="187"/>
      <c r="G2504" s="607"/>
      <c r="H2504" s="607"/>
    </row>
    <row r="2505" spans="1:8" s="113" customFormat="1" ht="26.25" x14ac:dyDescent="0.25">
      <c r="A2505" s="141">
        <v>132437</v>
      </c>
      <c r="B2505" s="142" t="s">
        <v>988</v>
      </c>
      <c r="C2505" s="143" t="s">
        <v>144</v>
      </c>
      <c r="D2505" s="143" t="s">
        <v>173</v>
      </c>
      <c r="E2505" s="142"/>
      <c r="F2505" s="142"/>
    </row>
    <row r="2506" spans="1:8" s="113" customFormat="1" x14ac:dyDescent="0.25">
      <c r="A2506" s="190">
        <v>132451</v>
      </c>
      <c r="B2506" s="606" t="s">
        <v>2818</v>
      </c>
      <c r="C2506" s="606" t="s">
        <v>63</v>
      </c>
      <c r="D2506" s="606" t="s">
        <v>794</v>
      </c>
      <c r="E2506" s="606"/>
      <c r="F2506" s="606"/>
    </row>
    <row r="2507" spans="1:8" s="113" customFormat="1" x14ac:dyDescent="0.25">
      <c r="A2507" s="195">
        <v>132451</v>
      </c>
      <c r="B2507" s="188" t="s">
        <v>2818</v>
      </c>
      <c r="C2507" s="146" t="s">
        <v>63</v>
      </c>
      <c r="D2507" s="146" t="s">
        <v>794</v>
      </c>
      <c r="E2507" s="606"/>
      <c r="F2507" s="187"/>
      <c r="G2507" s="276"/>
    </row>
    <row r="2508" spans="1:8" s="113" customFormat="1" x14ac:dyDescent="0.25">
      <c r="A2508" s="190">
        <v>132524</v>
      </c>
      <c r="B2508" s="606" t="s">
        <v>3394</v>
      </c>
      <c r="C2508" s="606" t="s">
        <v>12</v>
      </c>
      <c r="D2508" s="606" t="s">
        <v>1460</v>
      </c>
      <c r="E2508" s="606"/>
      <c r="F2508" s="606"/>
    </row>
    <row r="2509" spans="1:8" s="113" customFormat="1" x14ac:dyDescent="0.25">
      <c r="A2509" s="141">
        <v>132532</v>
      </c>
      <c r="B2509" s="142" t="s">
        <v>1203</v>
      </c>
      <c r="C2509" s="143" t="s">
        <v>38</v>
      </c>
      <c r="D2509" s="143" t="s">
        <v>109</v>
      </c>
      <c r="E2509" s="142"/>
      <c r="F2509" s="142"/>
    </row>
    <row r="2510" spans="1:8" s="113" customFormat="1" x14ac:dyDescent="0.25">
      <c r="A2510" s="141">
        <v>132566</v>
      </c>
      <c r="B2510" s="142" t="s">
        <v>2426</v>
      </c>
      <c r="C2510" s="143" t="s">
        <v>12</v>
      </c>
      <c r="D2510" s="143" t="s">
        <v>7</v>
      </c>
      <c r="E2510" s="142"/>
      <c r="F2510" s="142"/>
    </row>
    <row r="2511" spans="1:8" s="113" customFormat="1" x14ac:dyDescent="0.25">
      <c r="A2511" s="141">
        <v>132594</v>
      </c>
      <c r="B2511" s="142" t="s">
        <v>1419</v>
      </c>
      <c r="C2511" s="143" t="s">
        <v>9</v>
      </c>
      <c r="D2511" s="143" t="s">
        <v>811</v>
      </c>
      <c r="E2511" s="142"/>
      <c r="F2511" s="142"/>
    </row>
    <row r="2512" spans="1:8" s="113" customFormat="1" x14ac:dyDescent="0.25">
      <c r="A2512" s="141">
        <v>132619</v>
      </c>
      <c r="B2512" s="142" t="s">
        <v>2427</v>
      </c>
      <c r="C2512" s="143" t="s">
        <v>38</v>
      </c>
      <c r="D2512" s="143" t="s">
        <v>143</v>
      </c>
      <c r="E2512" s="142"/>
      <c r="F2512" s="142"/>
    </row>
    <row r="2513" spans="1:8" s="113" customFormat="1" x14ac:dyDescent="0.25">
      <c r="A2513" s="301">
        <v>133061</v>
      </c>
      <c r="B2513" s="608" t="s">
        <v>3352</v>
      </c>
      <c r="C2513" s="608" t="s">
        <v>41</v>
      </c>
      <c r="D2513" s="608" t="s">
        <v>3329</v>
      </c>
      <c r="E2513" s="608"/>
      <c r="F2513" s="608"/>
    </row>
    <row r="2514" spans="1:8" s="113" customFormat="1" ht="26.25" x14ac:dyDescent="0.25">
      <c r="A2514" s="141">
        <v>133129</v>
      </c>
      <c r="B2514" s="142" t="s">
        <v>989</v>
      </c>
      <c r="C2514" s="143" t="s">
        <v>120</v>
      </c>
      <c r="D2514" s="143" t="s">
        <v>1186</v>
      </c>
      <c r="E2514" s="142"/>
      <c r="F2514" s="142"/>
      <c r="H2514" s="607"/>
    </row>
    <row r="2515" spans="1:8" s="113" customFormat="1" x14ac:dyDescent="0.25">
      <c r="A2515" s="190">
        <v>133141</v>
      </c>
      <c r="B2515" s="606" t="s">
        <v>3181</v>
      </c>
      <c r="C2515" s="606" t="s">
        <v>16</v>
      </c>
      <c r="D2515" s="606" t="s">
        <v>242</v>
      </c>
      <c r="E2515" s="606"/>
      <c r="F2515" s="606"/>
    </row>
    <row r="2516" spans="1:8" s="113" customFormat="1" x14ac:dyDescent="0.25">
      <c r="A2516" s="141">
        <v>133194</v>
      </c>
      <c r="B2516" s="142" t="s">
        <v>990</v>
      </c>
      <c r="C2516" s="143" t="s">
        <v>63</v>
      </c>
      <c r="D2516" s="143" t="s">
        <v>68</v>
      </c>
      <c r="E2516" s="142"/>
      <c r="F2516" s="142"/>
    </row>
    <row r="2517" spans="1:8" s="113" customFormat="1" ht="26.25" x14ac:dyDescent="0.25">
      <c r="A2517" s="247">
        <v>133364</v>
      </c>
      <c r="B2517" s="250" t="s">
        <v>2565</v>
      </c>
      <c r="C2517" s="143" t="s">
        <v>144</v>
      </c>
      <c r="D2517" s="260" t="s">
        <v>173</v>
      </c>
      <c r="E2517" s="250"/>
      <c r="F2517" s="250"/>
    </row>
    <row r="2518" spans="1:8" s="113" customFormat="1" x14ac:dyDescent="0.25">
      <c r="A2518" s="141">
        <v>133584</v>
      </c>
      <c r="B2518" s="142" t="s">
        <v>2428</v>
      </c>
      <c r="C2518" s="143" t="s">
        <v>36</v>
      </c>
      <c r="D2518" s="143" t="s">
        <v>1131</v>
      </c>
      <c r="E2518" s="142"/>
      <c r="F2518" s="142"/>
      <c r="G2518" s="607"/>
    </row>
    <row r="2519" spans="1:8" s="113" customFormat="1" x14ac:dyDescent="0.25">
      <c r="A2519" s="141">
        <v>133674</v>
      </c>
      <c r="B2519" s="142" t="s">
        <v>2429</v>
      </c>
      <c r="C2519" s="143" t="s">
        <v>47</v>
      </c>
      <c r="D2519" s="143" t="s">
        <v>179</v>
      </c>
      <c r="E2519" s="142"/>
      <c r="F2519" s="142"/>
    </row>
    <row r="2520" spans="1:8" s="113" customFormat="1" x14ac:dyDescent="0.25">
      <c r="A2520" s="141">
        <v>133881</v>
      </c>
      <c r="B2520" s="142" t="s">
        <v>1198</v>
      </c>
      <c r="C2520" s="143" t="s">
        <v>90</v>
      </c>
      <c r="D2520" s="143" t="s">
        <v>109</v>
      </c>
      <c r="E2520" s="142"/>
      <c r="F2520" s="142"/>
    </row>
    <row r="2521" spans="1:8" s="113" customFormat="1" x14ac:dyDescent="0.25">
      <c r="A2521" s="141">
        <v>133931</v>
      </c>
      <c r="B2521" s="142" t="s">
        <v>991</v>
      </c>
      <c r="C2521" s="143" t="s">
        <v>47</v>
      </c>
      <c r="D2521" s="148" t="s">
        <v>159</v>
      </c>
      <c r="E2521" s="142"/>
      <c r="F2521" s="142"/>
    </row>
    <row r="2522" spans="1:8" s="113" customFormat="1" ht="26.25" x14ac:dyDescent="0.25">
      <c r="A2522" s="190">
        <v>133947</v>
      </c>
      <c r="B2522" s="606" t="s">
        <v>2790</v>
      </c>
      <c r="C2522" s="143" t="s">
        <v>144</v>
      </c>
      <c r="D2522" s="606" t="s">
        <v>171</v>
      </c>
      <c r="E2522" s="606"/>
      <c r="F2522" s="606"/>
    </row>
    <row r="2523" spans="1:8" s="113" customFormat="1" ht="26.25" x14ac:dyDescent="0.25">
      <c r="A2523" s="247">
        <v>134115</v>
      </c>
      <c r="B2523" s="250" t="s">
        <v>1297</v>
      </c>
      <c r="C2523" s="143" t="s">
        <v>8</v>
      </c>
      <c r="D2523" s="143" t="s">
        <v>242</v>
      </c>
      <c r="E2523" s="250"/>
      <c r="F2523" s="250"/>
    </row>
    <row r="2524" spans="1:8" s="113" customFormat="1" ht="26.25" x14ac:dyDescent="0.25">
      <c r="A2524" s="141">
        <v>134157</v>
      </c>
      <c r="B2524" s="142" t="s">
        <v>992</v>
      </c>
      <c r="C2524" s="143" t="s">
        <v>16</v>
      </c>
      <c r="D2524" s="143" t="s">
        <v>7</v>
      </c>
      <c r="E2524" s="142"/>
      <c r="F2524" s="142"/>
    </row>
    <row r="2525" spans="1:8" s="113" customFormat="1" x14ac:dyDescent="0.25">
      <c r="A2525" s="261">
        <v>134321</v>
      </c>
      <c r="B2525" s="188" t="s">
        <v>2605</v>
      </c>
      <c r="C2525" s="143" t="s">
        <v>47</v>
      </c>
      <c r="D2525" s="148" t="s">
        <v>159</v>
      </c>
      <c r="E2525" s="606"/>
      <c r="F2525" s="187"/>
    </row>
    <row r="2526" spans="1:8" s="113" customFormat="1" x14ac:dyDescent="0.25">
      <c r="A2526" s="141">
        <v>135087</v>
      </c>
      <c r="B2526" s="142" t="s">
        <v>993</v>
      </c>
      <c r="C2526" s="143" t="s">
        <v>32</v>
      </c>
      <c r="D2526" s="143" t="s">
        <v>242</v>
      </c>
      <c r="E2526" s="142"/>
      <c r="F2526" s="142"/>
    </row>
    <row r="2527" spans="1:8" s="113" customFormat="1" x14ac:dyDescent="0.25">
      <c r="A2527" s="141">
        <v>135169</v>
      </c>
      <c r="B2527" s="142" t="s">
        <v>2430</v>
      </c>
      <c r="C2527" s="143" t="s">
        <v>101</v>
      </c>
      <c r="D2527" s="143" t="s">
        <v>504</v>
      </c>
      <c r="E2527" s="142"/>
      <c r="F2527" s="142"/>
    </row>
    <row r="2528" spans="1:8" s="113" customFormat="1" x14ac:dyDescent="0.25">
      <c r="A2528" s="141">
        <v>135188</v>
      </c>
      <c r="B2528" s="142" t="s">
        <v>994</v>
      </c>
      <c r="C2528" s="143" t="s">
        <v>64</v>
      </c>
      <c r="D2528" s="244" t="s">
        <v>228</v>
      </c>
      <c r="E2528" s="142"/>
      <c r="F2528" s="142"/>
    </row>
    <row r="2529" spans="1:6" s="113" customFormat="1" ht="26.25" x14ac:dyDescent="0.25">
      <c r="A2529" s="141">
        <v>135467</v>
      </c>
      <c r="B2529" s="142" t="s">
        <v>2431</v>
      </c>
      <c r="C2529" s="143" t="s">
        <v>144</v>
      </c>
      <c r="D2529" s="143" t="s">
        <v>1223</v>
      </c>
      <c r="E2529" s="142"/>
      <c r="F2529" s="142"/>
    </row>
    <row r="2530" spans="1:6" s="113" customFormat="1" x14ac:dyDescent="0.25">
      <c r="A2530" s="141">
        <v>135514</v>
      </c>
      <c r="B2530" s="142" t="s">
        <v>1475</v>
      </c>
      <c r="C2530" s="143" t="s">
        <v>10</v>
      </c>
      <c r="D2530" s="143" t="s">
        <v>154</v>
      </c>
      <c r="E2530" s="250"/>
      <c r="F2530" s="250"/>
    </row>
    <row r="2531" spans="1:6" s="113" customFormat="1" x14ac:dyDescent="0.25">
      <c r="A2531" s="187">
        <v>135611</v>
      </c>
      <c r="B2531" s="187" t="s">
        <v>3319</v>
      </c>
      <c r="C2531" s="187" t="s">
        <v>3259</v>
      </c>
      <c r="D2531" s="187" t="s">
        <v>7</v>
      </c>
      <c r="E2531" s="187"/>
      <c r="F2531" s="187"/>
    </row>
    <row r="2532" spans="1:6" s="113" customFormat="1" x14ac:dyDescent="0.25">
      <c r="A2532" s="141">
        <v>135612</v>
      </c>
      <c r="B2532" s="142" t="s">
        <v>995</v>
      </c>
      <c r="C2532" s="143" t="s">
        <v>36</v>
      </c>
      <c r="D2532" s="143" t="s">
        <v>1131</v>
      </c>
      <c r="E2532" s="142"/>
      <c r="F2532" s="142"/>
    </row>
    <row r="2533" spans="1:6" s="113" customFormat="1" ht="26.25" x14ac:dyDescent="0.25">
      <c r="A2533" s="141">
        <v>135748</v>
      </c>
      <c r="B2533" s="142" t="s">
        <v>2432</v>
      </c>
      <c r="C2533" s="143" t="s">
        <v>914</v>
      </c>
      <c r="D2533" s="143" t="s">
        <v>154</v>
      </c>
      <c r="E2533" s="142"/>
      <c r="F2533" s="142"/>
    </row>
    <row r="2534" spans="1:6" s="113" customFormat="1" x14ac:dyDescent="0.25">
      <c r="A2534" s="141">
        <v>135770</v>
      </c>
      <c r="B2534" s="142" t="s">
        <v>2433</v>
      </c>
      <c r="C2534" s="143" t="s">
        <v>9</v>
      </c>
      <c r="D2534" s="143" t="s">
        <v>540</v>
      </c>
      <c r="E2534" s="142"/>
      <c r="F2534" s="142"/>
    </row>
    <row r="2535" spans="1:6" s="113" customFormat="1" x14ac:dyDescent="0.25">
      <c r="A2535" s="141">
        <v>135797</v>
      </c>
      <c r="B2535" s="142" t="s">
        <v>996</v>
      </c>
      <c r="C2535" s="143" t="s">
        <v>47</v>
      </c>
      <c r="D2535" s="143" t="s">
        <v>179</v>
      </c>
      <c r="E2535" s="142"/>
      <c r="F2535" s="142"/>
    </row>
    <row r="2536" spans="1:6" s="113" customFormat="1" x14ac:dyDescent="0.25">
      <c r="A2536" s="247">
        <v>135806</v>
      </c>
      <c r="B2536" s="250" t="s">
        <v>1298</v>
      </c>
      <c r="C2536" s="143" t="s">
        <v>38</v>
      </c>
      <c r="D2536" s="260" t="s">
        <v>148</v>
      </c>
      <c r="E2536" s="250"/>
      <c r="F2536" s="250"/>
    </row>
    <row r="2537" spans="1:6" s="113" customFormat="1" ht="26.25" x14ac:dyDescent="0.25">
      <c r="A2537" s="141">
        <v>135819</v>
      </c>
      <c r="B2537" s="144" t="s">
        <v>2434</v>
      </c>
      <c r="C2537" s="143" t="s">
        <v>6</v>
      </c>
      <c r="D2537" s="143" t="s">
        <v>116</v>
      </c>
      <c r="E2537" s="142"/>
      <c r="F2537" s="142"/>
    </row>
    <row r="2538" spans="1:6" s="113" customFormat="1" x14ac:dyDescent="0.25">
      <c r="A2538" s="141">
        <v>135890</v>
      </c>
      <c r="B2538" s="142" t="s">
        <v>997</v>
      </c>
      <c r="C2538" s="143" t="s">
        <v>10</v>
      </c>
      <c r="D2538" s="143" t="s">
        <v>698</v>
      </c>
      <c r="E2538" s="142"/>
      <c r="F2538" s="142"/>
    </row>
    <row r="2539" spans="1:6" s="113" customFormat="1" ht="26.25" x14ac:dyDescent="0.25">
      <c r="A2539" s="141">
        <v>135931</v>
      </c>
      <c r="B2539" s="142" t="s">
        <v>998</v>
      </c>
      <c r="C2539" s="143" t="s">
        <v>16</v>
      </c>
      <c r="D2539" s="143" t="s">
        <v>154</v>
      </c>
      <c r="E2539" s="142"/>
      <c r="F2539" s="142"/>
    </row>
    <row r="2540" spans="1:6" s="113" customFormat="1" ht="26.25" x14ac:dyDescent="0.25">
      <c r="A2540" s="141">
        <v>135972</v>
      </c>
      <c r="B2540" s="142" t="s">
        <v>999</v>
      </c>
      <c r="C2540" s="143" t="s">
        <v>3</v>
      </c>
      <c r="D2540" s="143" t="s">
        <v>116</v>
      </c>
      <c r="E2540" s="142"/>
      <c r="F2540" s="142"/>
    </row>
    <row r="2541" spans="1:6" s="113" customFormat="1" x14ac:dyDescent="0.25">
      <c r="A2541" s="141">
        <v>136044</v>
      </c>
      <c r="B2541" s="142" t="s">
        <v>2435</v>
      </c>
      <c r="C2541" s="143" t="s">
        <v>32</v>
      </c>
      <c r="D2541" s="143" t="s">
        <v>302</v>
      </c>
      <c r="E2541" s="142"/>
      <c r="F2541" s="142"/>
    </row>
    <row r="2542" spans="1:6" s="113" customFormat="1" x14ac:dyDescent="0.25">
      <c r="A2542" s="190">
        <v>136044</v>
      </c>
      <c r="B2542" s="606" t="s">
        <v>2435</v>
      </c>
      <c r="C2542" s="606" t="s">
        <v>32</v>
      </c>
      <c r="D2542" s="606" t="s">
        <v>242</v>
      </c>
      <c r="E2542" s="606"/>
      <c r="F2542" s="606"/>
    </row>
    <row r="2543" spans="1:6" s="113" customFormat="1" x14ac:dyDescent="0.25">
      <c r="A2543" s="190">
        <v>136127</v>
      </c>
      <c r="B2543" s="606" t="s">
        <v>3093</v>
      </c>
      <c r="C2543" s="606" t="s">
        <v>8</v>
      </c>
      <c r="D2543" s="606" t="s">
        <v>242</v>
      </c>
      <c r="E2543" s="606"/>
      <c r="F2543" s="606"/>
    </row>
    <row r="2544" spans="1:6" s="113" customFormat="1" x14ac:dyDescent="0.25">
      <c r="A2544" s="187">
        <v>136127</v>
      </c>
      <c r="B2544" s="187" t="s">
        <v>3093</v>
      </c>
      <c r="C2544" s="187" t="s">
        <v>8</v>
      </c>
      <c r="D2544" s="146" t="s">
        <v>242</v>
      </c>
      <c r="E2544" s="606"/>
      <c r="F2544" s="187"/>
    </row>
    <row r="2545" spans="1:7" s="113" customFormat="1" ht="26.25" x14ac:dyDescent="0.25">
      <c r="A2545" s="141">
        <v>136151</v>
      </c>
      <c r="B2545" s="142" t="s">
        <v>2436</v>
      </c>
      <c r="C2545" s="143" t="s">
        <v>3039</v>
      </c>
      <c r="D2545" s="143" t="s">
        <v>154</v>
      </c>
      <c r="E2545" s="142"/>
      <c r="F2545" s="142"/>
    </row>
    <row r="2546" spans="1:7" s="113" customFormat="1" x14ac:dyDescent="0.25">
      <c r="A2546" s="153">
        <v>136153</v>
      </c>
      <c r="B2546" s="154" t="s">
        <v>2437</v>
      </c>
      <c r="C2546" s="143" t="s">
        <v>387</v>
      </c>
      <c r="D2546" s="143" t="s">
        <v>415</v>
      </c>
      <c r="E2546" s="142"/>
      <c r="F2546" s="142"/>
    </row>
    <row r="2547" spans="1:7" s="113" customFormat="1" x14ac:dyDescent="0.25">
      <c r="A2547" s="245">
        <v>136367</v>
      </c>
      <c r="B2547" s="246" t="s">
        <v>2638</v>
      </c>
      <c r="C2547" s="246" t="s">
        <v>1398</v>
      </c>
      <c r="D2547" s="246" t="s">
        <v>154</v>
      </c>
      <c r="E2547" s="246"/>
      <c r="F2547" s="246"/>
    </row>
    <row r="2548" spans="1:7" s="113" customFormat="1" x14ac:dyDescent="0.25">
      <c r="A2548" s="141">
        <v>136394</v>
      </c>
      <c r="B2548" s="142" t="s">
        <v>1000</v>
      </c>
      <c r="C2548" s="143" t="s">
        <v>10</v>
      </c>
      <c r="D2548" s="143" t="s">
        <v>242</v>
      </c>
      <c r="E2548" s="142"/>
      <c r="F2548" s="142"/>
    </row>
    <row r="2549" spans="1:7" s="113" customFormat="1" x14ac:dyDescent="0.25">
      <c r="A2549" s="190">
        <v>136406</v>
      </c>
      <c r="B2549" s="606" t="s">
        <v>3285</v>
      </c>
      <c r="C2549" s="143" t="s">
        <v>9</v>
      </c>
      <c r="D2549" s="606" t="s">
        <v>11</v>
      </c>
      <c r="E2549" s="606"/>
      <c r="F2549" s="606"/>
    </row>
    <row r="2550" spans="1:7" s="113" customFormat="1" x14ac:dyDescent="0.25">
      <c r="A2550" s="190">
        <v>136406</v>
      </c>
      <c r="B2550" s="606" t="s">
        <v>3285</v>
      </c>
      <c r="C2550" s="606" t="s">
        <v>9</v>
      </c>
      <c r="D2550" s="606" t="s">
        <v>11</v>
      </c>
      <c r="E2550" s="606"/>
      <c r="F2550" s="606"/>
    </row>
    <row r="2551" spans="1:7" s="113" customFormat="1" x14ac:dyDescent="0.25">
      <c r="A2551" s="190">
        <v>136406</v>
      </c>
      <c r="B2551" s="606" t="s">
        <v>3285</v>
      </c>
      <c r="C2551" s="606" t="s">
        <v>9</v>
      </c>
      <c r="D2551" s="606" t="s">
        <v>11</v>
      </c>
      <c r="E2551" s="606"/>
      <c r="F2551" s="606"/>
    </row>
    <row r="2552" spans="1:7" s="113" customFormat="1" x14ac:dyDescent="0.25">
      <c r="A2552" s="190">
        <v>136406</v>
      </c>
      <c r="B2552" s="606" t="s">
        <v>3285</v>
      </c>
      <c r="C2552" s="606" t="s">
        <v>9</v>
      </c>
      <c r="D2552" s="606" t="s">
        <v>11</v>
      </c>
      <c r="E2552" s="606"/>
      <c r="F2552" s="606"/>
    </row>
    <row r="2553" spans="1:7" s="113" customFormat="1" ht="26.25" x14ac:dyDescent="0.25">
      <c r="A2553" s="141">
        <v>136417</v>
      </c>
      <c r="B2553" s="142" t="s">
        <v>1142</v>
      </c>
      <c r="C2553" s="143" t="s">
        <v>65</v>
      </c>
      <c r="D2553" s="143" t="s">
        <v>302</v>
      </c>
      <c r="E2553" s="142"/>
      <c r="F2553" s="142"/>
    </row>
    <row r="2554" spans="1:7" s="113" customFormat="1" x14ac:dyDescent="0.25">
      <c r="A2554" s="141">
        <v>136431</v>
      </c>
      <c r="B2554" s="144" t="s">
        <v>1001</v>
      </c>
      <c r="C2554" s="143" t="s">
        <v>140</v>
      </c>
      <c r="D2554" s="146" t="s">
        <v>109</v>
      </c>
      <c r="E2554" s="142"/>
      <c r="F2554" s="142"/>
    </row>
    <row r="2555" spans="1:7" s="113" customFormat="1" x14ac:dyDescent="0.25">
      <c r="A2555" s="247">
        <v>136436</v>
      </c>
      <c r="B2555" s="250" t="s">
        <v>1299</v>
      </c>
      <c r="C2555" s="143" t="s">
        <v>10</v>
      </c>
      <c r="D2555" s="260" t="s">
        <v>154</v>
      </c>
      <c r="E2555" s="250"/>
      <c r="F2555" s="250"/>
      <c r="G2555" s="607"/>
    </row>
    <row r="2556" spans="1:7" s="113" customFormat="1" x14ac:dyDescent="0.25">
      <c r="A2556" s="190">
        <v>136463</v>
      </c>
      <c r="B2556" s="606" t="s">
        <v>3274</v>
      </c>
      <c r="C2556" s="606" t="s">
        <v>3275</v>
      </c>
      <c r="D2556" s="606" t="s">
        <v>242</v>
      </c>
      <c r="E2556" s="606"/>
      <c r="F2556" s="606"/>
    </row>
    <row r="2557" spans="1:7" s="113" customFormat="1" x14ac:dyDescent="0.25">
      <c r="A2557" s="187">
        <v>136463</v>
      </c>
      <c r="B2557" s="187" t="s">
        <v>3274</v>
      </c>
      <c r="C2557" s="187" t="s">
        <v>3039</v>
      </c>
      <c r="D2557" s="146" t="s">
        <v>242</v>
      </c>
      <c r="E2557" s="606"/>
      <c r="F2557" s="187"/>
    </row>
    <row r="2558" spans="1:7" s="113" customFormat="1" x14ac:dyDescent="0.25">
      <c r="A2558" s="190">
        <v>136502</v>
      </c>
      <c r="B2558" s="188" t="s">
        <v>2621</v>
      </c>
      <c r="C2558" s="146" t="s">
        <v>10</v>
      </c>
      <c r="D2558" s="187" t="s">
        <v>698</v>
      </c>
      <c r="E2558" s="606"/>
      <c r="F2558" s="606"/>
    </row>
    <row r="2559" spans="1:7" s="113" customFormat="1" x14ac:dyDescent="0.25">
      <c r="A2559" s="141">
        <v>136510</v>
      </c>
      <c r="B2559" s="142" t="s">
        <v>2438</v>
      </c>
      <c r="C2559" s="143" t="s">
        <v>17</v>
      </c>
      <c r="D2559" s="143" t="s">
        <v>154</v>
      </c>
      <c r="E2559" s="142"/>
      <c r="F2559" s="142"/>
    </row>
    <row r="2560" spans="1:7" s="113" customFormat="1" x14ac:dyDescent="0.25">
      <c r="A2560" s="187">
        <v>136542</v>
      </c>
      <c r="B2560" s="188" t="s">
        <v>3107</v>
      </c>
      <c r="C2560" s="146" t="s">
        <v>47</v>
      </c>
      <c r="D2560" s="148" t="s">
        <v>179</v>
      </c>
      <c r="E2560" s="606"/>
      <c r="F2560" s="606"/>
    </row>
    <row r="2561" spans="1:8" s="113" customFormat="1" x14ac:dyDescent="0.25">
      <c r="A2561" s="190">
        <v>136542</v>
      </c>
      <c r="B2561" s="606" t="s">
        <v>3107</v>
      </c>
      <c r="C2561" s="606" t="s">
        <v>47</v>
      </c>
      <c r="D2561" s="606" t="s">
        <v>3090</v>
      </c>
      <c r="E2561" s="606"/>
      <c r="F2561" s="606"/>
    </row>
    <row r="2562" spans="1:8" s="113" customFormat="1" x14ac:dyDescent="0.25">
      <c r="A2562" s="190">
        <v>136639</v>
      </c>
      <c r="B2562" s="188" t="s">
        <v>2577</v>
      </c>
      <c r="C2562" s="187" t="s">
        <v>1590</v>
      </c>
      <c r="D2562" s="244" t="s">
        <v>415</v>
      </c>
      <c r="E2562" s="606"/>
      <c r="F2562" s="606"/>
      <c r="G2562" s="607"/>
      <c r="H2562" s="607"/>
    </row>
    <row r="2563" spans="1:8" s="113" customFormat="1" x14ac:dyDescent="0.25">
      <c r="A2563" s="195">
        <v>136657</v>
      </c>
      <c r="B2563" s="188" t="s">
        <v>2998</v>
      </c>
      <c r="C2563" s="146" t="s">
        <v>167</v>
      </c>
      <c r="D2563" s="146" t="s">
        <v>173</v>
      </c>
      <c r="E2563" s="606"/>
      <c r="F2563" s="187"/>
    </row>
    <row r="2564" spans="1:8" s="113" customFormat="1" ht="26.25" x14ac:dyDescent="0.25">
      <c r="A2564" s="141">
        <v>136730</v>
      </c>
      <c r="B2564" s="142" t="s">
        <v>1113</v>
      </c>
      <c r="C2564" s="143" t="s">
        <v>49</v>
      </c>
      <c r="D2564" s="143" t="s">
        <v>242</v>
      </c>
      <c r="E2564" s="142"/>
      <c r="F2564" s="142"/>
    </row>
    <row r="2565" spans="1:8" s="113" customFormat="1" ht="26.25" x14ac:dyDescent="0.25">
      <c r="A2565" s="141">
        <v>136896</v>
      </c>
      <c r="B2565" s="142" t="s">
        <v>1002</v>
      </c>
      <c r="C2565" s="143" t="s">
        <v>144</v>
      </c>
      <c r="D2565" s="143" t="s">
        <v>173</v>
      </c>
      <c r="E2565" s="142"/>
      <c r="F2565" s="142"/>
    </row>
    <row r="2566" spans="1:8" s="113" customFormat="1" x14ac:dyDescent="0.25">
      <c r="A2566" s="141">
        <v>136904</v>
      </c>
      <c r="B2566" s="142" t="s">
        <v>2439</v>
      </c>
      <c r="C2566" s="143" t="s">
        <v>9</v>
      </c>
      <c r="D2566" s="143" t="s">
        <v>154</v>
      </c>
      <c r="E2566" s="142"/>
      <c r="F2566" s="142"/>
      <c r="G2566" s="607"/>
      <c r="H2566" s="607"/>
    </row>
    <row r="2567" spans="1:8" s="113" customFormat="1" ht="39" x14ac:dyDescent="0.25">
      <c r="A2567" s="141">
        <v>137029</v>
      </c>
      <c r="B2567" s="142" t="s">
        <v>1003</v>
      </c>
      <c r="C2567" s="143" t="s">
        <v>1398</v>
      </c>
      <c r="D2567" s="143" t="s">
        <v>154</v>
      </c>
      <c r="E2567" s="142"/>
      <c r="F2567" s="142"/>
    </row>
    <row r="2568" spans="1:8" s="113" customFormat="1" x14ac:dyDescent="0.25">
      <c r="A2568" s="141">
        <v>137044</v>
      </c>
      <c r="B2568" s="142" t="s">
        <v>3041</v>
      </c>
      <c r="C2568" s="143" t="s">
        <v>64</v>
      </c>
      <c r="D2568" s="143" t="s">
        <v>228</v>
      </c>
      <c r="E2568" s="142"/>
      <c r="F2568" s="142"/>
    </row>
    <row r="2569" spans="1:8" s="113" customFormat="1" x14ac:dyDescent="0.25">
      <c r="A2569" s="195">
        <v>137046</v>
      </c>
      <c r="B2569" s="187" t="s">
        <v>3505</v>
      </c>
      <c r="C2569" s="187" t="s">
        <v>3</v>
      </c>
      <c r="D2569" s="146" t="s">
        <v>116</v>
      </c>
      <c r="E2569" s="606"/>
      <c r="F2569" s="187"/>
    </row>
    <row r="2570" spans="1:8" s="113" customFormat="1" x14ac:dyDescent="0.25">
      <c r="A2570" s="195">
        <v>137116</v>
      </c>
      <c r="B2570" s="187" t="s">
        <v>3053</v>
      </c>
      <c r="C2570" s="187" t="s">
        <v>16</v>
      </c>
      <c r="D2570" s="146" t="s">
        <v>242</v>
      </c>
      <c r="E2570" s="606"/>
      <c r="F2570" s="187"/>
    </row>
    <row r="2571" spans="1:8" s="113" customFormat="1" ht="26.25" x14ac:dyDescent="0.25">
      <c r="A2571" s="247">
        <v>137152</v>
      </c>
      <c r="B2571" s="250" t="s">
        <v>1300</v>
      </c>
      <c r="C2571" s="143" t="s">
        <v>16</v>
      </c>
      <c r="D2571" s="260" t="s">
        <v>302</v>
      </c>
      <c r="E2571" s="250"/>
      <c r="F2571" s="250"/>
    </row>
    <row r="2572" spans="1:8" s="113" customFormat="1" x14ac:dyDescent="0.25">
      <c r="A2572" s="180">
        <v>137176</v>
      </c>
      <c r="B2572" s="187" t="s">
        <v>2697</v>
      </c>
      <c r="C2572" s="187" t="s">
        <v>10</v>
      </c>
      <c r="D2572" s="606" t="s">
        <v>154</v>
      </c>
      <c r="E2572" s="606"/>
      <c r="F2572" s="606"/>
    </row>
    <row r="2573" spans="1:8" s="113" customFormat="1" x14ac:dyDescent="0.25">
      <c r="A2573" s="153">
        <v>137179</v>
      </c>
      <c r="B2573" s="154" t="s">
        <v>2440</v>
      </c>
      <c r="C2573" s="143" t="s">
        <v>167</v>
      </c>
      <c r="D2573" s="143" t="s">
        <v>109</v>
      </c>
      <c r="E2573" s="142"/>
      <c r="F2573" s="142"/>
    </row>
    <row r="2574" spans="1:8" s="113" customFormat="1" ht="26.25" x14ac:dyDescent="0.25">
      <c r="A2574" s="141">
        <v>137224</v>
      </c>
      <c r="B2574" s="144" t="s">
        <v>1004</v>
      </c>
      <c r="C2574" s="143" t="s">
        <v>1478</v>
      </c>
      <c r="D2574" s="146" t="s">
        <v>173</v>
      </c>
      <c r="E2574" s="142"/>
      <c r="F2574" s="142"/>
    </row>
    <row r="2575" spans="1:8" s="113" customFormat="1" ht="26.25" x14ac:dyDescent="0.25">
      <c r="A2575" s="247">
        <v>137225</v>
      </c>
      <c r="B2575" s="250" t="s">
        <v>1506</v>
      </c>
      <c r="C2575" s="143" t="s">
        <v>16</v>
      </c>
      <c r="D2575" s="148" t="s">
        <v>302</v>
      </c>
      <c r="E2575" s="250"/>
      <c r="F2575" s="250"/>
    </row>
    <row r="2576" spans="1:8" s="113" customFormat="1" x14ac:dyDescent="0.25">
      <c r="A2576" s="141">
        <v>137255</v>
      </c>
      <c r="B2576" s="142" t="s">
        <v>2441</v>
      </c>
      <c r="C2576" s="143" t="s">
        <v>64</v>
      </c>
      <c r="D2576" s="143" t="s">
        <v>504</v>
      </c>
      <c r="E2576" s="142"/>
      <c r="F2576" s="142"/>
    </row>
    <row r="2577" spans="1:8" s="113" customFormat="1" ht="26.25" x14ac:dyDescent="0.25">
      <c r="A2577" s="195">
        <v>137417</v>
      </c>
      <c r="B2577" s="188" t="s">
        <v>2973</v>
      </c>
      <c r="C2577" s="146" t="s">
        <v>16</v>
      </c>
      <c r="D2577" s="146" t="s">
        <v>302</v>
      </c>
      <c r="E2577" s="606"/>
      <c r="F2577" s="606"/>
    </row>
    <row r="2578" spans="1:8" s="113" customFormat="1" x14ac:dyDescent="0.25">
      <c r="A2578" s="195">
        <v>137974</v>
      </c>
      <c r="B2578" s="187" t="s">
        <v>3508</v>
      </c>
      <c r="C2578" s="187" t="s">
        <v>3259</v>
      </c>
      <c r="D2578" s="148" t="s">
        <v>154</v>
      </c>
      <c r="E2578" s="606"/>
      <c r="F2578" s="187"/>
    </row>
    <row r="2579" spans="1:8" s="113" customFormat="1" x14ac:dyDescent="0.25">
      <c r="A2579" s="187">
        <v>137974</v>
      </c>
      <c r="B2579" s="187" t="s">
        <v>3570</v>
      </c>
      <c r="C2579" s="187" t="s">
        <v>3259</v>
      </c>
      <c r="D2579" s="187" t="s">
        <v>154</v>
      </c>
      <c r="E2579" s="187"/>
      <c r="F2579" s="187"/>
    </row>
    <row r="2580" spans="1:8" s="113" customFormat="1" ht="26.25" x14ac:dyDescent="0.25">
      <c r="A2580" s="247">
        <v>137981</v>
      </c>
      <c r="B2580" s="250" t="s">
        <v>1585</v>
      </c>
      <c r="C2580" s="143" t="s">
        <v>16</v>
      </c>
      <c r="D2580" s="260" t="s">
        <v>302</v>
      </c>
      <c r="E2580" s="250"/>
      <c r="F2580" s="250"/>
    </row>
    <row r="2581" spans="1:8" s="113" customFormat="1" x14ac:dyDescent="0.25">
      <c r="A2581" s="195">
        <v>138059</v>
      </c>
      <c r="B2581" s="187" t="s">
        <v>3113</v>
      </c>
      <c r="C2581" s="187" t="s">
        <v>8</v>
      </c>
      <c r="D2581" s="146" t="s">
        <v>242</v>
      </c>
      <c r="E2581" s="606"/>
      <c r="F2581" s="187"/>
    </row>
    <row r="2582" spans="1:8" s="113" customFormat="1" x14ac:dyDescent="0.25">
      <c r="A2582" s="141">
        <v>138163</v>
      </c>
      <c r="B2582" s="142" t="s">
        <v>1005</v>
      </c>
      <c r="C2582" s="143" t="s">
        <v>9</v>
      </c>
      <c r="D2582" s="143" t="s">
        <v>154</v>
      </c>
      <c r="E2582" s="142"/>
      <c r="F2582" s="142"/>
    </row>
    <row r="2583" spans="1:8" s="113" customFormat="1" x14ac:dyDescent="0.25">
      <c r="A2583" s="247">
        <v>138272</v>
      </c>
      <c r="B2583" s="250" t="s">
        <v>1431</v>
      </c>
      <c r="C2583" s="143" t="s">
        <v>9</v>
      </c>
      <c r="D2583" s="260" t="s">
        <v>811</v>
      </c>
      <c r="E2583" s="250"/>
      <c r="F2583" s="250"/>
    </row>
    <row r="2584" spans="1:8" s="113" customFormat="1" x14ac:dyDescent="0.25">
      <c r="A2584" s="247">
        <v>138672</v>
      </c>
      <c r="B2584" s="250" t="s">
        <v>2442</v>
      </c>
      <c r="C2584" s="143" t="s">
        <v>140</v>
      </c>
      <c r="D2584" s="143" t="s">
        <v>143</v>
      </c>
      <c r="E2584" s="250"/>
      <c r="F2584" s="250"/>
    </row>
    <row r="2585" spans="1:8" s="113" customFormat="1" x14ac:dyDescent="0.25">
      <c r="A2585" s="247">
        <v>139015</v>
      </c>
      <c r="B2585" s="250" t="s">
        <v>1565</v>
      </c>
      <c r="C2585" s="143" t="s">
        <v>24</v>
      </c>
      <c r="D2585" s="260" t="s">
        <v>37</v>
      </c>
      <c r="E2585" s="250"/>
      <c r="F2585" s="250"/>
    </row>
    <row r="2586" spans="1:8" s="113" customFormat="1" ht="26.25" x14ac:dyDescent="0.25">
      <c r="A2586" s="141">
        <v>139103</v>
      </c>
      <c r="B2586" s="142" t="s">
        <v>1006</v>
      </c>
      <c r="C2586" s="143" t="s">
        <v>8</v>
      </c>
      <c r="D2586" s="143" t="s">
        <v>242</v>
      </c>
      <c r="E2586" s="142"/>
      <c r="F2586" s="142"/>
    </row>
    <row r="2587" spans="1:8" s="113" customFormat="1" x14ac:dyDescent="0.25">
      <c r="A2587" s="195">
        <v>139515</v>
      </c>
      <c r="B2587" s="187" t="s">
        <v>3248</v>
      </c>
      <c r="C2587" s="187" t="s">
        <v>5</v>
      </c>
      <c r="D2587" s="146" t="s">
        <v>154</v>
      </c>
      <c r="E2587" s="606"/>
      <c r="F2587" s="187"/>
    </row>
    <row r="2588" spans="1:8" s="113" customFormat="1" ht="26.25" x14ac:dyDescent="0.25">
      <c r="A2588" s="141">
        <v>139661</v>
      </c>
      <c r="B2588" s="142" t="s">
        <v>1007</v>
      </c>
      <c r="C2588" s="143" t="s">
        <v>20</v>
      </c>
      <c r="D2588" s="143" t="s">
        <v>302</v>
      </c>
      <c r="E2588" s="142"/>
      <c r="F2588" s="142"/>
      <c r="H2588" s="607"/>
    </row>
    <row r="2589" spans="1:8" s="113" customFormat="1" x14ac:dyDescent="0.25">
      <c r="A2589" s="232">
        <v>139690</v>
      </c>
      <c r="B2589" s="688" t="s">
        <v>3606</v>
      </c>
      <c r="C2589" s="688" t="s">
        <v>41</v>
      </c>
      <c r="D2589" s="688" t="s">
        <v>3329</v>
      </c>
      <c r="E2589" s="232"/>
      <c r="F2589" s="232"/>
    </row>
    <row r="2590" spans="1:8" s="113" customFormat="1" x14ac:dyDescent="0.25">
      <c r="A2590" s="195">
        <v>140130</v>
      </c>
      <c r="B2590" s="188" t="s">
        <v>2997</v>
      </c>
      <c r="C2590" s="146" t="s">
        <v>140</v>
      </c>
      <c r="D2590" s="146" t="s">
        <v>7</v>
      </c>
      <c r="E2590" s="606"/>
      <c r="F2590" s="187"/>
    </row>
    <row r="2591" spans="1:8" s="113" customFormat="1" ht="26.25" x14ac:dyDescent="0.25">
      <c r="A2591" s="187">
        <v>140137</v>
      </c>
      <c r="B2591" s="188" t="s">
        <v>2750</v>
      </c>
      <c r="C2591" s="146" t="s">
        <v>2751</v>
      </c>
      <c r="D2591" s="146" t="s">
        <v>154</v>
      </c>
      <c r="E2591" s="606"/>
      <c r="F2591" s="606"/>
    </row>
    <row r="2592" spans="1:8" s="113" customFormat="1" ht="26.25" x14ac:dyDescent="0.25">
      <c r="A2592" s="294">
        <v>140137</v>
      </c>
      <c r="B2592" s="690" t="s">
        <v>2750</v>
      </c>
      <c r="C2592" s="634" t="s">
        <v>914</v>
      </c>
      <c r="D2592" s="634" t="s">
        <v>154</v>
      </c>
      <c r="E2592" s="398"/>
      <c r="F2592" s="398"/>
    </row>
    <row r="2593" spans="1:8" s="113" customFormat="1" x14ac:dyDescent="0.25">
      <c r="A2593" s="190">
        <v>140396</v>
      </c>
      <c r="B2593" s="606" t="s">
        <v>2930</v>
      </c>
      <c r="C2593" s="606" t="s">
        <v>64</v>
      </c>
      <c r="D2593" s="606" t="s">
        <v>237</v>
      </c>
      <c r="E2593" s="606"/>
      <c r="F2593" s="606"/>
    </row>
    <row r="2594" spans="1:8" s="113" customFormat="1" x14ac:dyDescent="0.25">
      <c r="A2594" s="247">
        <v>140451</v>
      </c>
      <c r="B2594" s="250" t="s">
        <v>1417</v>
      </c>
      <c r="C2594" s="143" t="s">
        <v>73</v>
      </c>
      <c r="D2594" s="260" t="s">
        <v>154</v>
      </c>
      <c r="E2594" s="250"/>
      <c r="F2594" s="250"/>
    </row>
    <row r="2595" spans="1:8" s="113" customFormat="1" ht="26.25" x14ac:dyDescent="0.25">
      <c r="A2595" s="141">
        <v>140594</v>
      </c>
      <c r="B2595" s="142" t="s">
        <v>1143</v>
      </c>
      <c r="C2595" s="143" t="s">
        <v>49</v>
      </c>
      <c r="D2595" s="143" t="s">
        <v>242</v>
      </c>
      <c r="E2595" s="142"/>
      <c r="F2595" s="142"/>
    </row>
    <row r="2596" spans="1:8" s="113" customFormat="1" x14ac:dyDescent="0.25">
      <c r="A2596" s="195">
        <v>140828</v>
      </c>
      <c r="B2596" s="606" t="s">
        <v>3054</v>
      </c>
      <c r="C2596" s="606" t="s">
        <v>914</v>
      </c>
      <c r="D2596" s="146" t="s">
        <v>68</v>
      </c>
      <c r="E2596" s="606"/>
      <c r="F2596" s="187"/>
      <c r="G2596" s="607"/>
      <c r="H2596" s="607"/>
    </row>
    <row r="2597" spans="1:8" s="113" customFormat="1" x14ac:dyDescent="0.25">
      <c r="A2597" s="190">
        <v>140956</v>
      </c>
      <c r="B2597" s="606" t="s">
        <v>3154</v>
      </c>
      <c r="C2597" s="606" t="s">
        <v>167</v>
      </c>
      <c r="D2597" s="606" t="s">
        <v>171</v>
      </c>
      <c r="E2597" s="606"/>
      <c r="F2597" s="606"/>
    </row>
    <row r="2598" spans="1:8" s="113" customFormat="1" x14ac:dyDescent="0.25">
      <c r="A2598" s="187">
        <v>140956</v>
      </c>
      <c r="B2598" s="187" t="s">
        <v>3154</v>
      </c>
      <c r="C2598" s="187" t="s">
        <v>167</v>
      </c>
      <c r="D2598" s="187" t="s">
        <v>173</v>
      </c>
      <c r="E2598" s="187"/>
      <c r="F2598" s="187"/>
    </row>
    <row r="2599" spans="1:8" s="113" customFormat="1" x14ac:dyDescent="0.25">
      <c r="A2599" s="141">
        <v>141129</v>
      </c>
      <c r="B2599" s="142" t="s">
        <v>2443</v>
      </c>
      <c r="C2599" s="143" t="s">
        <v>17</v>
      </c>
      <c r="D2599" s="143" t="s">
        <v>242</v>
      </c>
      <c r="E2599" s="142"/>
      <c r="F2599" s="142"/>
    </row>
    <row r="2600" spans="1:8" s="113" customFormat="1" x14ac:dyDescent="0.25">
      <c r="A2600" s="141">
        <v>141133</v>
      </c>
      <c r="B2600" s="142" t="s">
        <v>1008</v>
      </c>
      <c r="C2600" s="143" t="s">
        <v>64</v>
      </c>
      <c r="D2600" s="143" t="s">
        <v>156</v>
      </c>
      <c r="E2600" s="142"/>
      <c r="F2600" s="142"/>
    </row>
    <row r="2601" spans="1:8" s="113" customFormat="1" x14ac:dyDescent="0.25">
      <c r="A2601" s="141">
        <v>141392</v>
      </c>
      <c r="B2601" s="142" t="s">
        <v>2444</v>
      </c>
      <c r="C2601" s="143" t="s">
        <v>32</v>
      </c>
      <c r="D2601" s="143" t="s">
        <v>154</v>
      </c>
      <c r="E2601" s="142"/>
      <c r="F2601" s="142"/>
    </row>
    <row r="2602" spans="1:8" s="113" customFormat="1" x14ac:dyDescent="0.25">
      <c r="A2602" s="141">
        <v>141447</v>
      </c>
      <c r="B2602" s="142" t="s">
        <v>2445</v>
      </c>
      <c r="C2602" s="143" t="s">
        <v>63</v>
      </c>
      <c r="D2602" s="143" t="s">
        <v>242</v>
      </c>
      <c r="E2602" s="142"/>
      <c r="F2602" s="142"/>
    </row>
    <row r="2603" spans="1:8" s="113" customFormat="1" x14ac:dyDescent="0.25">
      <c r="A2603" s="190">
        <v>141553</v>
      </c>
      <c r="B2603" s="606" t="s">
        <v>3151</v>
      </c>
      <c r="C2603" s="606" t="s">
        <v>27</v>
      </c>
      <c r="D2603" s="606" t="s">
        <v>154</v>
      </c>
      <c r="E2603" s="606"/>
      <c r="F2603" s="606"/>
    </row>
    <row r="2604" spans="1:8" s="113" customFormat="1" x14ac:dyDescent="0.25">
      <c r="A2604" s="195">
        <v>141553</v>
      </c>
      <c r="B2604" s="187" t="s">
        <v>3151</v>
      </c>
      <c r="C2604" s="187" t="s">
        <v>27</v>
      </c>
      <c r="D2604" s="146" t="s">
        <v>154</v>
      </c>
      <c r="E2604" s="606"/>
      <c r="F2604" s="187"/>
    </row>
    <row r="2605" spans="1:8" s="113" customFormat="1" x14ac:dyDescent="0.25">
      <c r="A2605" s="187">
        <v>141584</v>
      </c>
      <c r="B2605" s="187" t="s">
        <v>3261</v>
      </c>
      <c r="C2605" s="187" t="s">
        <v>41</v>
      </c>
      <c r="D2605" s="146" t="s">
        <v>242</v>
      </c>
      <c r="E2605" s="606"/>
      <c r="F2605" s="187"/>
    </row>
    <row r="2606" spans="1:8" s="113" customFormat="1" x14ac:dyDescent="0.25">
      <c r="A2606" s="247">
        <v>141777</v>
      </c>
      <c r="B2606" s="250" t="s">
        <v>1384</v>
      </c>
      <c r="C2606" s="143" t="s">
        <v>9</v>
      </c>
      <c r="D2606" s="260" t="s">
        <v>811</v>
      </c>
      <c r="E2606" s="250"/>
      <c r="F2606" s="250"/>
    </row>
    <row r="2607" spans="1:8" s="113" customFormat="1" ht="26.25" x14ac:dyDescent="0.25">
      <c r="A2607" s="141">
        <v>141799</v>
      </c>
      <c r="B2607" s="142" t="s">
        <v>1126</v>
      </c>
      <c r="C2607" s="143" t="s">
        <v>27</v>
      </c>
      <c r="D2607" s="143" t="s">
        <v>45</v>
      </c>
      <c r="E2607" s="142"/>
      <c r="F2607" s="142"/>
    </row>
    <row r="2608" spans="1:8" s="113" customFormat="1" x14ac:dyDescent="0.25">
      <c r="A2608" s="190">
        <v>142002</v>
      </c>
      <c r="B2608" s="606" t="s">
        <v>3180</v>
      </c>
      <c r="C2608" s="606" t="s">
        <v>167</v>
      </c>
      <c r="D2608" s="606" t="s">
        <v>173</v>
      </c>
      <c r="E2608" s="606"/>
      <c r="F2608" s="606"/>
      <c r="G2608" s="607"/>
      <c r="H2608" s="607"/>
    </row>
    <row r="2609" spans="1:8" s="113" customFormat="1" x14ac:dyDescent="0.25">
      <c r="A2609" s="141">
        <v>142230</v>
      </c>
      <c r="B2609" s="142" t="s">
        <v>1476</v>
      </c>
      <c r="C2609" s="143" t="s">
        <v>63</v>
      </c>
      <c r="D2609" s="143" t="s">
        <v>794</v>
      </c>
      <c r="E2609" s="250"/>
      <c r="F2609" s="250"/>
    </row>
    <row r="2610" spans="1:8" s="113" customFormat="1" ht="26.25" x14ac:dyDescent="0.25">
      <c r="A2610" s="247">
        <v>142292</v>
      </c>
      <c r="B2610" s="250" t="s">
        <v>1535</v>
      </c>
      <c r="C2610" s="143" t="s">
        <v>144</v>
      </c>
      <c r="D2610" s="260" t="s">
        <v>173</v>
      </c>
      <c r="E2610" s="250"/>
      <c r="F2610" s="250"/>
    </row>
    <row r="2611" spans="1:8" s="113" customFormat="1" x14ac:dyDescent="0.25">
      <c r="A2611" s="141">
        <v>142736</v>
      </c>
      <c r="B2611" s="142" t="s">
        <v>2446</v>
      </c>
      <c r="C2611" s="143" t="s">
        <v>140</v>
      </c>
      <c r="D2611" s="143" t="s">
        <v>109</v>
      </c>
      <c r="E2611" s="142"/>
      <c r="F2611" s="142"/>
    </row>
    <row r="2612" spans="1:8" s="113" customFormat="1" x14ac:dyDescent="0.25">
      <c r="A2612" s="141">
        <v>142836</v>
      </c>
      <c r="B2612" s="142" t="s">
        <v>2897</v>
      </c>
      <c r="C2612" s="143" t="s">
        <v>140</v>
      </c>
      <c r="D2612" s="143" t="s">
        <v>109</v>
      </c>
      <c r="E2612" s="142"/>
      <c r="F2612" s="142"/>
    </row>
    <row r="2613" spans="1:8" s="113" customFormat="1" x14ac:dyDescent="0.25">
      <c r="A2613" s="141">
        <v>142873</v>
      </c>
      <c r="B2613" s="142" t="s">
        <v>1577</v>
      </c>
      <c r="C2613" s="143" t="s">
        <v>84</v>
      </c>
      <c r="D2613" s="143" t="s">
        <v>1578</v>
      </c>
      <c r="E2613" s="142"/>
      <c r="F2613" s="142"/>
      <c r="G2613" s="194"/>
      <c r="H2613" s="194"/>
    </row>
    <row r="2614" spans="1:8" s="113" customFormat="1" x14ac:dyDescent="0.25">
      <c r="A2614" s="195">
        <v>142896</v>
      </c>
      <c r="B2614" s="187" t="s">
        <v>3055</v>
      </c>
      <c r="C2614" s="187" t="s">
        <v>67</v>
      </c>
      <c r="D2614" s="146" t="s">
        <v>161</v>
      </c>
      <c r="E2614" s="606"/>
      <c r="F2614" s="187"/>
    </row>
    <row r="2615" spans="1:8" s="113" customFormat="1" ht="26.25" x14ac:dyDescent="0.25">
      <c r="A2615" s="141">
        <v>143026</v>
      </c>
      <c r="B2615" s="142" t="s">
        <v>1009</v>
      </c>
      <c r="C2615" s="143" t="s">
        <v>27</v>
      </c>
      <c r="D2615" s="143" t="s">
        <v>967</v>
      </c>
      <c r="E2615" s="142"/>
      <c r="F2615" s="142"/>
    </row>
    <row r="2616" spans="1:8" s="113" customFormat="1" x14ac:dyDescent="0.25">
      <c r="A2616" s="247">
        <v>143054</v>
      </c>
      <c r="B2616" s="250" t="s">
        <v>1301</v>
      </c>
      <c r="C2616" s="143" t="s">
        <v>140</v>
      </c>
      <c r="D2616" s="260" t="s">
        <v>453</v>
      </c>
      <c r="E2616" s="250"/>
      <c r="F2616" s="250"/>
    </row>
    <row r="2617" spans="1:8" s="113" customFormat="1" x14ac:dyDescent="0.25">
      <c r="A2617" s="141">
        <v>143416</v>
      </c>
      <c r="B2617" s="142" t="s">
        <v>1010</v>
      </c>
      <c r="C2617" s="143" t="s">
        <v>12</v>
      </c>
      <c r="D2617" s="143" t="s">
        <v>1105</v>
      </c>
      <c r="E2617" s="142"/>
      <c r="F2617" s="142"/>
    </row>
    <row r="2618" spans="1:8" s="113" customFormat="1" x14ac:dyDescent="0.25">
      <c r="A2618" s="141">
        <v>143631</v>
      </c>
      <c r="B2618" s="142" t="s">
        <v>2447</v>
      </c>
      <c r="C2618" s="143" t="s">
        <v>9</v>
      </c>
      <c r="D2618" s="143" t="s">
        <v>154</v>
      </c>
      <c r="E2618" s="142"/>
      <c r="F2618" s="142"/>
    </row>
    <row r="2619" spans="1:8" s="113" customFormat="1" ht="26.25" x14ac:dyDescent="0.25">
      <c r="A2619" s="141">
        <v>143796</v>
      </c>
      <c r="B2619" s="142" t="s">
        <v>1011</v>
      </c>
      <c r="C2619" s="143" t="s">
        <v>22</v>
      </c>
      <c r="D2619" s="143" t="s">
        <v>154</v>
      </c>
      <c r="E2619" s="142"/>
      <c r="F2619" s="142"/>
    </row>
    <row r="2620" spans="1:8" s="113" customFormat="1" x14ac:dyDescent="0.25">
      <c r="A2620" s="141">
        <v>144041</v>
      </c>
      <c r="B2620" s="142" t="s">
        <v>1012</v>
      </c>
      <c r="C2620" s="143" t="s">
        <v>64</v>
      </c>
      <c r="D2620" s="143" t="s">
        <v>302</v>
      </c>
      <c r="E2620" s="142"/>
      <c r="F2620" s="142"/>
    </row>
    <row r="2621" spans="1:8" s="113" customFormat="1" x14ac:dyDescent="0.25">
      <c r="A2621" s="187">
        <v>144137</v>
      </c>
      <c r="B2621" s="187" t="s">
        <v>3586</v>
      </c>
      <c r="C2621" s="187" t="s">
        <v>22</v>
      </c>
      <c r="D2621" s="187" t="s">
        <v>3587</v>
      </c>
      <c r="E2621" s="187"/>
      <c r="F2621" s="187"/>
    </row>
    <row r="2622" spans="1:8" s="113" customFormat="1" x14ac:dyDescent="0.25">
      <c r="A2622" s="187">
        <v>144137</v>
      </c>
      <c r="B2622" s="187" t="s">
        <v>3586</v>
      </c>
      <c r="C2622" s="187" t="s">
        <v>22</v>
      </c>
      <c r="D2622" s="187" t="s">
        <v>3587</v>
      </c>
      <c r="E2622" s="187"/>
      <c r="F2622" s="187"/>
    </row>
    <row r="2623" spans="1:8" s="113" customFormat="1" x14ac:dyDescent="0.25">
      <c r="A2623" s="141">
        <v>144165</v>
      </c>
      <c r="B2623" s="142" t="s">
        <v>1443</v>
      </c>
      <c r="C2623" s="143" t="s">
        <v>63</v>
      </c>
      <c r="D2623" s="143" t="s">
        <v>154</v>
      </c>
      <c r="E2623" s="250"/>
      <c r="F2623" s="250"/>
    </row>
    <row r="2624" spans="1:8" s="113" customFormat="1" x14ac:dyDescent="0.25">
      <c r="A2624" s="141">
        <v>144221</v>
      </c>
      <c r="B2624" s="142" t="s">
        <v>1114</v>
      </c>
      <c r="C2624" s="143" t="s">
        <v>44</v>
      </c>
      <c r="D2624" s="143" t="s">
        <v>148</v>
      </c>
      <c r="E2624" s="142"/>
      <c r="F2624" s="142"/>
    </row>
    <row r="2625" spans="1:7" s="113" customFormat="1" ht="26.25" x14ac:dyDescent="0.25">
      <c r="A2625" s="141">
        <v>144268</v>
      </c>
      <c r="B2625" s="142" t="s">
        <v>1129</v>
      </c>
      <c r="C2625" s="143" t="s">
        <v>120</v>
      </c>
      <c r="D2625" s="143" t="s">
        <v>154</v>
      </c>
      <c r="E2625" s="142"/>
      <c r="F2625" s="142"/>
    </row>
    <row r="2626" spans="1:7" s="113" customFormat="1" ht="26.25" x14ac:dyDescent="0.25">
      <c r="A2626" s="141">
        <v>144739</v>
      </c>
      <c r="B2626" s="142" t="s">
        <v>1477</v>
      </c>
      <c r="C2626" s="143" t="s">
        <v>1478</v>
      </c>
      <c r="D2626" s="143" t="s">
        <v>173</v>
      </c>
      <c r="E2626" s="250"/>
      <c r="F2626" s="250"/>
    </row>
    <row r="2627" spans="1:7" s="113" customFormat="1" x14ac:dyDescent="0.25">
      <c r="A2627" s="141">
        <v>145197</v>
      </c>
      <c r="B2627" s="142" t="s">
        <v>2448</v>
      </c>
      <c r="C2627" s="143" t="s">
        <v>24</v>
      </c>
      <c r="D2627" s="143" t="s">
        <v>1835</v>
      </c>
      <c r="E2627" s="142"/>
      <c r="F2627" s="142"/>
    </row>
    <row r="2628" spans="1:7" s="113" customFormat="1" x14ac:dyDescent="0.25">
      <c r="A2628" s="187">
        <v>145228</v>
      </c>
      <c r="B2628" s="187" t="s">
        <v>3312</v>
      </c>
      <c r="C2628" s="187" t="s">
        <v>53</v>
      </c>
      <c r="D2628" s="187" t="s">
        <v>242</v>
      </c>
      <c r="E2628" s="187"/>
      <c r="F2628" s="187"/>
    </row>
    <row r="2629" spans="1:7" s="113" customFormat="1" ht="26.25" x14ac:dyDescent="0.25">
      <c r="A2629" s="141">
        <v>145361</v>
      </c>
      <c r="B2629" s="142" t="s">
        <v>1519</v>
      </c>
      <c r="C2629" s="143" t="s">
        <v>16</v>
      </c>
      <c r="D2629" s="143" t="s">
        <v>242</v>
      </c>
      <c r="E2629" s="250"/>
      <c r="F2629" s="250"/>
    </row>
    <row r="2630" spans="1:7" s="113" customFormat="1" x14ac:dyDescent="0.25">
      <c r="A2630" s="190">
        <v>145630</v>
      </c>
      <c r="B2630" s="187" t="s">
        <v>2694</v>
      </c>
      <c r="C2630" s="187" t="s">
        <v>6</v>
      </c>
      <c r="D2630" s="187" t="s">
        <v>116</v>
      </c>
      <c r="E2630" s="606"/>
      <c r="F2630" s="606"/>
    </row>
    <row r="2631" spans="1:7" s="113" customFormat="1" ht="26.25" x14ac:dyDescent="0.25">
      <c r="A2631" s="187">
        <v>145630</v>
      </c>
      <c r="B2631" s="188" t="s">
        <v>2694</v>
      </c>
      <c r="C2631" s="146" t="s">
        <v>6</v>
      </c>
      <c r="D2631" s="148" t="s">
        <v>116</v>
      </c>
      <c r="E2631" s="606"/>
      <c r="F2631" s="606"/>
      <c r="G2631" s="607"/>
    </row>
    <row r="2632" spans="1:7" s="113" customFormat="1" ht="26.25" x14ac:dyDescent="0.25">
      <c r="A2632" s="141">
        <v>145948</v>
      </c>
      <c r="B2632" s="142" t="s">
        <v>2449</v>
      </c>
      <c r="C2632" s="143" t="s">
        <v>108</v>
      </c>
      <c r="D2632" s="143" t="s">
        <v>143</v>
      </c>
      <c r="E2632" s="142"/>
      <c r="F2632" s="142"/>
    </row>
    <row r="2633" spans="1:7" s="113" customFormat="1" x14ac:dyDescent="0.25">
      <c r="A2633" s="247">
        <v>145956</v>
      </c>
      <c r="B2633" s="250" t="s">
        <v>3195</v>
      </c>
      <c r="C2633" s="143" t="s">
        <v>41</v>
      </c>
      <c r="D2633" s="143" t="s">
        <v>242</v>
      </c>
      <c r="E2633" s="250"/>
      <c r="F2633" s="250"/>
    </row>
    <row r="2634" spans="1:7" s="113" customFormat="1" x14ac:dyDescent="0.25">
      <c r="A2634" s="261">
        <v>146063</v>
      </c>
      <c r="B2634" s="188" t="s">
        <v>2604</v>
      </c>
      <c r="C2634" s="146" t="s">
        <v>41</v>
      </c>
      <c r="D2634" s="148" t="s">
        <v>242</v>
      </c>
      <c r="E2634" s="606"/>
      <c r="F2634" s="187"/>
    </row>
    <row r="2635" spans="1:7" s="113" customFormat="1" x14ac:dyDescent="0.25">
      <c r="A2635" s="195">
        <v>146145</v>
      </c>
      <c r="B2635" s="187" t="s">
        <v>3056</v>
      </c>
      <c r="C2635" s="187" t="s">
        <v>16</v>
      </c>
      <c r="D2635" s="146" t="s">
        <v>242</v>
      </c>
      <c r="E2635" s="606"/>
      <c r="F2635" s="187"/>
    </row>
    <row r="2636" spans="1:7" s="113" customFormat="1" x14ac:dyDescent="0.25">
      <c r="A2636" s="190">
        <v>146179</v>
      </c>
      <c r="B2636" s="606" t="s">
        <v>3667</v>
      </c>
      <c r="C2636" s="606" t="s">
        <v>64</v>
      </c>
      <c r="D2636" s="606" t="s">
        <v>504</v>
      </c>
      <c r="E2636" s="606"/>
      <c r="F2636" s="606"/>
    </row>
    <row r="2637" spans="1:7" s="113" customFormat="1" x14ac:dyDescent="0.25">
      <c r="A2637" s="247">
        <v>146268</v>
      </c>
      <c r="B2637" s="250" t="s">
        <v>1571</v>
      </c>
      <c r="C2637" s="143" t="s">
        <v>17</v>
      </c>
      <c r="D2637" s="251" t="s">
        <v>242</v>
      </c>
      <c r="E2637" s="250"/>
      <c r="F2637" s="250"/>
    </row>
    <row r="2638" spans="1:7" s="113" customFormat="1" ht="26.25" x14ac:dyDescent="0.25">
      <c r="A2638" s="247">
        <v>146326</v>
      </c>
      <c r="B2638" s="250" t="s">
        <v>2450</v>
      </c>
      <c r="C2638" s="143" t="s">
        <v>16</v>
      </c>
      <c r="D2638" s="143" t="s">
        <v>302</v>
      </c>
      <c r="E2638" s="250"/>
      <c r="F2638" s="250"/>
    </row>
    <row r="2639" spans="1:7" s="113" customFormat="1" x14ac:dyDescent="0.25">
      <c r="A2639" s="195">
        <v>146382</v>
      </c>
      <c r="B2639" s="188" t="s">
        <v>2874</v>
      </c>
      <c r="C2639" s="146" t="s">
        <v>41</v>
      </c>
      <c r="D2639" s="146" t="s">
        <v>242</v>
      </c>
      <c r="E2639" s="189"/>
      <c r="F2639" s="187"/>
    </row>
    <row r="2640" spans="1:7" s="113" customFormat="1" x14ac:dyDescent="0.25">
      <c r="A2640" s="195">
        <v>146586</v>
      </c>
      <c r="B2640" s="188" t="s">
        <v>2822</v>
      </c>
      <c r="C2640" s="146" t="s">
        <v>36</v>
      </c>
      <c r="D2640" s="148" t="s">
        <v>116</v>
      </c>
      <c r="E2640" s="606"/>
      <c r="F2640" s="606"/>
    </row>
    <row r="2641" spans="1:6" s="113" customFormat="1" x14ac:dyDescent="0.25">
      <c r="A2641" s="190">
        <v>146586</v>
      </c>
      <c r="B2641" s="606" t="s">
        <v>2822</v>
      </c>
      <c r="C2641" s="606" t="s">
        <v>5</v>
      </c>
      <c r="D2641" s="606" t="s">
        <v>11</v>
      </c>
      <c r="E2641" s="606"/>
      <c r="F2641" s="606"/>
    </row>
    <row r="2642" spans="1:6" s="113" customFormat="1" x14ac:dyDescent="0.25">
      <c r="A2642" s="190">
        <v>147218</v>
      </c>
      <c r="B2642" s="606" t="s">
        <v>3403</v>
      </c>
      <c r="C2642" s="606" t="s">
        <v>22</v>
      </c>
      <c r="D2642" s="606" t="s">
        <v>150</v>
      </c>
      <c r="E2642" s="606"/>
      <c r="F2642" s="606"/>
    </row>
    <row r="2643" spans="1:6" s="113" customFormat="1" ht="26.25" x14ac:dyDescent="0.25">
      <c r="A2643" s="187">
        <v>147327</v>
      </c>
      <c r="B2643" s="188" t="s">
        <v>2759</v>
      </c>
      <c r="C2643" s="146" t="s">
        <v>5</v>
      </c>
      <c r="D2643" s="146" t="s">
        <v>242</v>
      </c>
      <c r="E2643" s="606"/>
      <c r="F2643" s="606"/>
    </row>
    <row r="2644" spans="1:6" s="113" customFormat="1" x14ac:dyDescent="0.25">
      <c r="A2644" s="141">
        <v>147364</v>
      </c>
      <c r="B2644" s="142" t="s">
        <v>2451</v>
      </c>
      <c r="C2644" s="143" t="s">
        <v>10</v>
      </c>
      <c r="D2644" s="143" t="s">
        <v>154</v>
      </c>
      <c r="E2644" s="142"/>
      <c r="F2644" s="142"/>
    </row>
    <row r="2645" spans="1:6" s="113" customFormat="1" x14ac:dyDescent="0.25">
      <c r="A2645" s="247">
        <v>147418</v>
      </c>
      <c r="B2645" s="250" t="s">
        <v>1328</v>
      </c>
      <c r="C2645" s="143" t="s">
        <v>9</v>
      </c>
      <c r="D2645" s="260" t="s">
        <v>1105</v>
      </c>
      <c r="E2645" s="250"/>
      <c r="F2645" s="250"/>
    </row>
    <row r="2646" spans="1:6" s="113" customFormat="1" x14ac:dyDescent="0.25">
      <c r="A2646" s="141">
        <v>147487</v>
      </c>
      <c r="B2646" s="142" t="s">
        <v>2452</v>
      </c>
      <c r="C2646" s="143" t="s">
        <v>64</v>
      </c>
      <c r="D2646" s="143" t="s">
        <v>237</v>
      </c>
      <c r="E2646" s="142"/>
      <c r="F2646" s="142"/>
    </row>
    <row r="2647" spans="1:6" s="113" customFormat="1" ht="26.25" x14ac:dyDescent="0.25">
      <c r="A2647" s="247">
        <v>147513</v>
      </c>
      <c r="B2647" s="250" t="s">
        <v>1390</v>
      </c>
      <c r="C2647" s="143" t="s">
        <v>22</v>
      </c>
      <c r="D2647" s="251" t="s">
        <v>242</v>
      </c>
      <c r="E2647" s="250"/>
      <c r="F2647" s="250"/>
    </row>
    <row r="2648" spans="1:6" s="113" customFormat="1" ht="26.25" x14ac:dyDescent="0.25">
      <c r="A2648" s="141">
        <v>147528</v>
      </c>
      <c r="B2648" s="142" t="s">
        <v>1339</v>
      </c>
      <c r="C2648" s="143" t="s">
        <v>16</v>
      </c>
      <c r="D2648" s="260" t="s">
        <v>154</v>
      </c>
      <c r="E2648" s="142"/>
      <c r="F2648" s="142"/>
    </row>
    <row r="2649" spans="1:6" s="113" customFormat="1" ht="26.25" x14ac:dyDescent="0.25">
      <c r="A2649" s="247">
        <v>147543</v>
      </c>
      <c r="B2649" s="250" t="s">
        <v>1302</v>
      </c>
      <c r="C2649" s="143" t="s">
        <v>16</v>
      </c>
      <c r="D2649" s="260" t="s">
        <v>302</v>
      </c>
      <c r="E2649" s="250"/>
      <c r="F2649" s="250"/>
    </row>
    <row r="2650" spans="1:6" s="113" customFormat="1" x14ac:dyDescent="0.25">
      <c r="A2650" s="190">
        <v>147590</v>
      </c>
      <c r="B2650" s="606" t="s">
        <v>3368</v>
      </c>
      <c r="C2650" s="606" t="s">
        <v>914</v>
      </c>
      <c r="D2650" s="606" t="s">
        <v>302</v>
      </c>
      <c r="E2650" s="606"/>
      <c r="F2650" s="606"/>
    </row>
    <row r="2651" spans="1:6" s="113" customFormat="1" x14ac:dyDescent="0.25">
      <c r="A2651" s="190">
        <v>147596</v>
      </c>
      <c r="B2651" s="606" t="s">
        <v>2851</v>
      </c>
      <c r="C2651" s="606" t="s">
        <v>144</v>
      </c>
      <c r="D2651" s="606" t="s">
        <v>173</v>
      </c>
      <c r="E2651" s="606"/>
      <c r="F2651" s="606"/>
    </row>
    <row r="2652" spans="1:6" s="113" customFormat="1" ht="26.25" x14ac:dyDescent="0.25">
      <c r="A2652" s="195">
        <v>147596</v>
      </c>
      <c r="B2652" s="188" t="s">
        <v>2851</v>
      </c>
      <c r="C2652" s="146" t="s">
        <v>144</v>
      </c>
      <c r="D2652" s="146" t="s">
        <v>173</v>
      </c>
      <c r="E2652" s="606"/>
      <c r="F2652" s="606"/>
    </row>
    <row r="2653" spans="1:6" s="113" customFormat="1" x14ac:dyDescent="0.25">
      <c r="A2653" s="187">
        <v>147665</v>
      </c>
      <c r="B2653" s="187" t="s">
        <v>3639</v>
      </c>
      <c r="C2653" s="187" t="s">
        <v>24</v>
      </c>
      <c r="D2653" s="187" t="s">
        <v>268</v>
      </c>
      <c r="E2653" s="187"/>
      <c r="F2653" s="187"/>
    </row>
    <row r="2654" spans="1:6" s="113" customFormat="1" x14ac:dyDescent="0.25">
      <c r="A2654" s="141">
        <v>147716</v>
      </c>
      <c r="B2654" s="190" t="s">
        <v>3040</v>
      </c>
      <c r="C2654" s="190" t="s">
        <v>27</v>
      </c>
      <c r="D2654" s="146" t="s">
        <v>7</v>
      </c>
      <c r="E2654" s="190"/>
      <c r="F2654" s="190"/>
    </row>
    <row r="2655" spans="1:6" s="113" customFormat="1" x14ac:dyDescent="0.25">
      <c r="A2655" s="195">
        <v>147716</v>
      </c>
      <c r="B2655" s="187" t="s">
        <v>3040</v>
      </c>
      <c r="C2655" s="187" t="s">
        <v>27</v>
      </c>
      <c r="D2655" s="146" t="s">
        <v>7</v>
      </c>
      <c r="E2655" s="606"/>
      <c r="F2655" s="187"/>
    </row>
    <row r="2656" spans="1:6" s="113" customFormat="1" ht="39" x14ac:dyDescent="0.25">
      <c r="A2656" s="141">
        <v>147745</v>
      </c>
      <c r="B2656" s="142" t="s">
        <v>2831</v>
      </c>
      <c r="C2656" s="143" t="s">
        <v>1529</v>
      </c>
      <c r="D2656" s="143" t="s">
        <v>173</v>
      </c>
      <c r="E2656" s="142"/>
      <c r="F2656" s="142"/>
    </row>
    <row r="2657" spans="1:8" s="113" customFormat="1" ht="26.25" x14ac:dyDescent="0.25">
      <c r="A2657" s="247">
        <v>147794</v>
      </c>
      <c r="B2657" s="250" t="s">
        <v>1303</v>
      </c>
      <c r="C2657" s="143" t="s">
        <v>16</v>
      </c>
      <c r="D2657" s="260" t="s">
        <v>154</v>
      </c>
      <c r="E2657" s="250"/>
      <c r="F2657" s="250"/>
    </row>
    <row r="2658" spans="1:8" s="113" customFormat="1" x14ac:dyDescent="0.25">
      <c r="A2658" s="190">
        <v>147897</v>
      </c>
      <c r="B2658" s="263" t="s">
        <v>2645</v>
      </c>
      <c r="C2658" s="263" t="s">
        <v>10</v>
      </c>
      <c r="D2658" s="263" t="s">
        <v>154</v>
      </c>
      <c r="E2658" s="606"/>
      <c r="F2658" s="606"/>
      <c r="H2658" s="607"/>
    </row>
    <row r="2659" spans="1:8" s="113" customFormat="1" x14ac:dyDescent="0.25">
      <c r="A2659" s="190">
        <v>148169</v>
      </c>
      <c r="B2659" s="606" t="s">
        <v>3094</v>
      </c>
      <c r="C2659" s="606" t="s">
        <v>8</v>
      </c>
      <c r="D2659" s="606" t="s">
        <v>154</v>
      </c>
      <c r="E2659" s="606"/>
      <c r="F2659" s="606"/>
    </row>
    <row r="2660" spans="1:8" s="113" customFormat="1" x14ac:dyDescent="0.25">
      <c r="A2660" s="195">
        <v>148169</v>
      </c>
      <c r="B2660" s="187" t="s">
        <v>3094</v>
      </c>
      <c r="C2660" s="187" t="s">
        <v>8</v>
      </c>
      <c r="D2660" s="146" t="s">
        <v>11</v>
      </c>
      <c r="E2660" s="606"/>
      <c r="F2660" s="187"/>
    </row>
    <row r="2661" spans="1:8" s="113" customFormat="1" x14ac:dyDescent="0.25">
      <c r="A2661" s="141">
        <v>148358</v>
      </c>
      <c r="B2661" s="144" t="s">
        <v>1013</v>
      </c>
      <c r="C2661" s="143" t="s">
        <v>64</v>
      </c>
      <c r="D2661" s="146" t="s">
        <v>237</v>
      </c>
      <c r="E2661" s="142"/>
      <c r="F2661" s="142"/>
    </row>
    <row r="2662" spans="1:8" s="113" customFormat="1" x14ac:dyDescent="0.25">
      <c r="A2662" s="187">
        <v>148396</v>
      </c>
      <c r="B2662" s="187" t="s">
        <v>3598</v>
      </c>
      <c r="C2662" s="187" t="s">
        <v>417</v>
      </c>
      <c r="D2662" s="187" t="s">
        <v>3599</v>
      </c>
      <c r="E2662" s="187"/>
      <c r="F2662" s="187"/>
    </row>
    <row r="2663" spans="1:8" s="113" customFormat="1" x14ac:dyDescent="0.25">
      <c r="A2663" s="247">
        <v>148638</v>
      </c>
      <c r="B2663" s="250" t="s">
        <v>2453</v>
      </c>
      <c r="C2663" s="149" t="s">
        <v>67</v>
      </c>
      <c r="D2663" s="260" t="s">
        <v>161</v>
      </c>
      <c r="E2663" s="250"/>
      <c r="F2663" s="250"/>
    </row>
    <row r="2664" spans="1:8" s="113" customFormat="1" ht="26.25" x14ac:dyDescent="0.25">
      <c r="A2664" s="141">
        <v>148718</v>
      </c>
      <c r="B2664" s="142" t="s">
        <v>1014</v>
      </c>
      <c r="C2664" s="143" t="s">
        <v>16</v>
      </c>
      <c r="D2664" s="143" t="s">
        <v>7</v>
      </c>
      <c r="E2664" s="142"/>
      <c r="F2664" s="142"/>
    </row>
    <row r="2665" spans="1:8" s="113" customFormat="1" x14ac:dyDescent="0.25">
      <c r="A2665" s="195">
        <v>148763</v>
      </c>
      <c r="B2665" s="188" t="s">
        <v>2860</v>
      </c>
      <c r="C2665" s="146" t="s">
        <v>9</v>
      </c>
      <c r="D2665" s="146" t="s">
        <v>811</v>
      </c>
      <c r="E2665" s="606"/>
      <c r="F2665" s="606"/>
    </row>
    <row r="2666" spans="1:8" s="113" customFormat="1" x14ac:dyDescent="0.25">
      <c r="A2666" s="141">
        <v>148793</v>
      </c>
      <c r="B2666" s="142" t="s">
        <v>1015</v>
      </c>
      <c r="C2666" s="143" t="s">
        <v>47</v>
      </c>
      <c r="D2666" s="143" t="s">
        <v>179</v>
      </c>
      <c r="E2666" s="142"/>
      <c r="F2666" s="142"/>
    </row>
    <row r="2667" spans="1:8" s="113" customFormat="1" x14ac:dyDescent="0.25">
      <c r="A2667" s="190">
        <v>148808</v>
      </c>
      <c r="B2667" s="263" t="s">
        <v>2657</v>
      </c>
      <c r="C2667" s="263" t="s">
        <v>5</v>
      </c>
      <c r="D2667" s="263" t="s">
        <v>242</v>
      </c>
      <c r="E2667" s="606"/>
      <c r="F2667" s="606"/>
    </row>
    <row r="2668" spans="1:8" s="113" customFormat="1" ht="26.25" x14ac:dyDescent="0.25">
      <c r="A2668" s="187">
        <v>148808</v>
      </c>
      <c r="B2668" s="188" t="s">
        <v>2657</v>
      </c>
      <c r="C2668" s="146" t="s">
        <v>5</v>
      </c>
      <c r="D2668" s="148" t="s">
        <v>242</v>
      </c>
      <c r="E2668" s="606"/>
      <c r="F2668" s="606"/>
    </row>
    <row r="2669" spans="1:8" s="113" customFormat="1" ht="26.25" x14ac:dyDescent="0.25">
      <c r="A2669" s="141">
        <v>148882</v>
      </c>
      <c r="B2669" s="142" t="s">
        <v>1234</v>
      </c>
      <c r="C2669" s="143" t="s">
        <v>20</v>
      </c>
      <c r="D2669" s="143" t="s">
        <v>302</v>
      </c>
      <c r="E2669" s="142"/>
      <c r="F2669" s="142"/>
    </row>
    <row r="2670" spans="1:8" s="113" customFormat="1" x14ac:dyDescent="0.25">
      <c r="A2670" s="141">
        <v>148929</v>
      </c>
      <c r="B2670" s="142" t="s">
        <v>2454</v>
      </c>
      <c r="C2670" s="149" t="s">
        <v>67</v>
      </c>
      <c r="D2670" s="143" t="s">
        <v>551</v>
      </c>
      <c r="E2670" s="142"/>
      <c r="F2670" s="142"/>
      <c r="H2670" s="607"/>
    </row>
    <row r="2671" spans="1:8" s="113" customFormat="1" x14ac:dyDescent="0.25">
      <c r="A2671" s="218">
        <v>149183</v>
      </c>
      <c r="B2671" s="606" t="s">
        <v>3143</v>
      </c>
      <c r="C2671" s="606" t="s">
        <v>9</v>
      </c>
      <c r="D2671" s="606" t="s">
        <v>154</v>
      </c>
      <c r="E2671" s="606"/>
      <c r="F2671" s="606"/>
    </row>
    <row r="2672" spans="1:8" s="113" customFormat="1" x14ac:dyDescent="0.25">
      <c r="A2672" s="301">
        <v>149183</v>
      </c>
      <c r="B2672" s="608" t="s">
        <v>3143</v>
      </c>
      <c r="C2672" s="608" t="s">
        <v>9</v>
      </c>
      <c r="D2672" s="608" t="s">
        <v>154</v>
      </c>
      <c r="E2672" s="608"/>
      <c r="F2672" s="608"/>
    </row>
    <row r="2673" spans="1:8" s="113" customFormat="1" x14ac:dyDescent="0.25">
      <c r="A2673" s="141">
        <v>149218</v>
      </c>
      <c r="B2673" s="142" t="s">
        <v>2455</v>
      </c>
      <c r="C2673" s="143" t="s">
        <v>122</v>
      </c>
      <c r="D2673" s="143" t="s">
        <v>415</v>
      </c>
      <c r="E2673" s="142"/>
      <c r="F2673" s="142"/>
    </row>
    <row r="2674" spans="1:8" s="113" customFormat="1" ht="26.25" x14ac:dyDescent="0.25">
      <c r="A2674" s="247">
        <v>149260</v>
      </c>
      <c r="B2674" s="250" t="s">
        <v>1553</v>
      </c>
      <c r="C2674" s="143" t="s">
        <v>8</v>
      </c>
      <c r="D2674" s="148" t="s">
        <v>242</v>
      </c>
      <c r="E2674" s="250"/>
      <c r="F2674" s="250"/>
    </row>
    <row r="2675" spans="1:8" s="113" customFormat="1" x14ac:dyDescent="0.25">
      <c r="A2675" s="190">
        <v>149342</v>
      </c>
      <c r="B2675" s="606" t="s">
        <v>3272</v>
      </c>
      <c r="C2675" s="606" t="s">
        <v>36</v>
      </c>
      <c r="D2675" s="606" t="s">
        <v>7</v>
      </c>
      <c r="E2675" s="606"/>
      <c r="F2675" s="606"/>
    </row>
    <row r="2676" spans="1:8" s="113" customFormat="1" x14ac:dyDescent="0.25">
      <c r="A2676" s="187">
        <v>149342</v>
      </c>
      <c r="B2676" s="187" t="s">
        <v>3272</v>
      </c>
      <c r="C2676" s="187" t="s">
        <v>36</v>
      </c>
      <c r="D2676" s="187" t="s">
        <v>7</v>
      </c>
      <c r="E2676" s="187"/>
      <c r="F2676" s="187"/>
    </row>
    <row r="2677" spans="1:8" s="113" customFormat="1" x14ac:dyDescent="0.25">
      <c r="A2677" s="141">
        <v>149533</v>
      </c>
      <c r="B2677" s="142" t="s">
        <v>2456</v>
      </c>
      <c r="C2677" s="143" t="s">
        <v>64</v>
      </c>
      <c r="D2677" s="143" t="s">
        <v>2457</v>
      </c>
      <c r="E2677" s="142"/>
      <c r="F2677" s="142"/>
    </row>
    <row r="2678" spans="1:8" s="113" customFormat="1" x14ac:dyDescent="0.25">
      <c r="A2678" s="141">
        <v>149675</v>
      </c>
      <c r="B2678" s="142" t="s">
        <v>2458</v>
      </c>
      <c r="C2678" s="143" t="s">
        <v>47</v>
      </c>
      <c r="D2678" s="143" t="s">
        <v>56</v>
      </c>
      <c r="E2678" s="142"/>
      <c r="F2678" s="142"/>
      <c r="H2678" s="607"/>
    </row>
    <row r="2679" spans="1:8" s="113" customFormat="1" x14ac:dyDescent="0.25">
      <c r="A2679" s="159">
        <v>149717</v>
      </c>
      <c r="B2679" s="160" t="s">
        <v>1240</v>
      </c>
      <c r="C2679" s="143" t="s">
        <v>38</v>
      </c>
      <c r="D2679" s="143" t="s">
        <v>148</v>
      </c>
      <c r="E2679" s="250"/>
      <c r="F2679" s="250"/>
    </row>
    <row r="2680" spans="1:8" s="113" customFormat="1" x14ac:dyDescent="0.25">
      <c r="A2680" s="247">
        <v>149813</v>
      </c>
      <c r="B2680" s="250" t="s">
        <v>1304</v>
      </c>
      <c r="C2680" s="143" t="s">
        <v>10</v>
      </c>
      <c r="D2680" s="260" t="s">
        <v>154</v>
      </c>
      <c r="E2680" s="250"/>
      <c r="F2680" s="250"/>
    </row>
    <row r="2681" spans="1:8" s="113" customFormat="1" x14ac:dyDescent="0.25">
      <c r="A2681" s="141">
        <v>150024</v>
      </c>
      <c r="B2681" s="142" t="s">
        <v>1016</v>
      </c>
      <c r="C2681" s="143" t="s">
        <v>32</v>
      </c>
      <c r="D2681" s="143" t="s">
        <v>154</v>
      </c>
      <c r="E2681" s="142"/>
      <c r="F2681" s="142"/>
    </row>
    <row r="2682" spans="1:8" s="113" customFormat="1" x14ac:dyDescent="0.25">
      <c r="A2682" s="190">
        <v>150077</v>
      </c>
      <c r="B2682" s="188" t="s">
        <v>2550</v>
      </c>
      <c r="C2682" s="187" t="s">
        <v>24</v>
      </c>
      <c r="D2682" s="187" t="s">
        <v>268</v>
      </c>
      <c r="E2682" s="187"/>
      <c r="F2682" s="187"/>
      <c r="G2682" s="229"/>
      <c r="H2682" s="229"/>
    </row>
    <row r="2683" spans="1:8" s="113" customFormat="1" x14ac:dyDescent="0.25">
      <c r="A2683" s="187">
        <v>150729</v>
      </c>
      <c r="B2683" s="187" t="s">
        <v>3615</v>
      </c>
      <c r="C2683" s="187" t="s">
        <v>16</v>
      </c>
      <c r="D2683" s="187" t="s">
        <v>2788</v>
      </c>
      <c r="E2683" s="187"/>
      <c r="F2683" s="187"/>
      <c r="G2683" s="607"/>
      <c r="H2683" s="607"/>
    </row>
    <row r="2684" spans="1:8" s="113" customFormat="1" x14ac:dyDescent="0.25">
      <c r="A2684" s="190">
        <v>150820</v>
      </c>
      <c r="B2684" s="606" t="s">
        <v>2739</v>
      </c>
      <c r="C2684" s="606" t="s">
        <v>140</v>
      </c>
      <c r="D2684" s="606" t="s">
        <v>7</v>
      </c>
      <c r="E2684" s="606"/>
      <c r="F2684" s="606"/>
    </row>
    <row r="2685" spans="1:8" s="113" customFormat="1" x14ac:dyDescent="0.25">
      <c r="A2685" s="187">
        <v>150820</v>
      </c>
      <c r="B2685" s="188" t="s">
        <v>2739</v>
      </c>
      <c r="C2685" s="146" t="s">
        <v>140</v>
      </c>
      <c r="D2685" s="148" t="s">
        <v>7</v>
      </c>
      <c r="E2685" s="606"/>
      <c r="F2685" s="606"/>
    </row>
    <row r="2686" spans="1:8" s="113" customFormat="1" ht="26.25" x14ac:dyDescent="0.25">
      <c r="A2686" s="190">
        <v>151049</v>
      </c>
      <c r="B2686" s="188" t="s">
        <v>2614</v>
      </c>
      <c r="C2686" s="146" t="s">
        <v>16</v>
      </c>
      <c r="D2686" s="187" t="s">
        <v>154</v>
      </c>
      <c r="E2686" s="189"/>
      <c r="F2686" s="606"/>
      <c r="G2686" s="607"/>
      <c r="H2686" s="607"/>
    </row>
    <row r="2687" spans="1:8" s="113" customFormat="1" x14ac:dyDescent="0.25">
      <c r="A2687" s="141">
        <v>151208</v>
      </c>
      <c r="B2687" s="142" t="s">
        <v>1579</v>
      </c>
      <c r="C2687" s="143" t="s">
        <v>84</v>
      </c>
      <c r="D2687" s="143" t="s">
        <v>1310</v>
      </c>
      <c r="E2687" s="142"/>
      <c r="F2687" s="142"/>
    </row>
    <row r="2688" spans="1:8" s="113" customFormat="1" x14ac:dyDescent="0.25">
      <c r="A2688" s="190">
        <v>151286</v>
      </c>
      <c r="B2688" s="606" t="s">
        <v>3160</v>
      </c>
      <c r="C2688" s="606" t="s">
        <v>17</v>
      </c>
      <c r="D2688" s="606" t="s">
        <v>242</v>
      </c>
      <c r="E2688" s="606"/>
      <c r="F2688" s="606"/>
    </row>
    <row r="2689" spans="1:8" s="113" customFormat="1" x14ac:dyDescent="0.25">
      <c r="A2689" s="190">
        <v>151286</v>
      </c>
      <c r="B2689" s="606" t="s">
        <v>3160</v>
      </c>
      <c r="C2689" s="606" t="s">
        <v>17</v>
      </c>
      <c r="D2689" s="606" t="s">
        <v>3329</v>
      </c>
      <c r="E2689" s="606"/>
      <c r="F2689" s="606"/>
      <c r="G2689" s="194"/>
      <c r="H2689" s="194"/>
    </row>
    <row r="2690" spans="1:8" s="113" customFormat="1" x14ac:dyDescent="0.25">
      <c r="A2690" s="190">
        <v>151286</v>
      </c>
      <c r="B2690" s="606" t="s">
        <v>3160</v>
      </c>
      <c r="C2690" s="606" t="s">
        <v>17</v>
      </c>
      <c r="D2690" s="606" t="s">
        <v>242</v>
      </c>
      <c r="E2690" s="606"/>
      <c r="F2690" s="606"/>
    </row>
    <row r="2691" spans="1:8" s="113" customFormat="1" x14ac:dyDescent="0.25">
      <c r="A2691" s="141">
        <v>151361</v>
      </c>
      <c r="B2691" s="142" t="s">
        <v>1479</v>
      </c>
      <c r="C2691" s="368" t="s">
        <v>24</v>
      </c>
      <c r="D2691" s="143" t="s">
        <v>7</v>
      </c>
      <c r="E2691" s="250"/>
      <c r="F2691" s="250"/>
    </row>
    <row r="2692" spans="1:8" s="113" customFormat="1" ht="26.25" x14ac:dyDescent="0.25">
      <c r="A2692" s="141">
        <v>151444</v>
      </c>
      <c r="B2692" s="142" t="s">
        <v>2459</v>
      </c>
      <c r="C2692" s="143" t="s">
        <v>3</v>
      </c>
      <c r="D2692" s="143" t="s">
        <v>242</v>
      </c>
      <c r="E2692" s="250"/>
      <c r="F2692" s="250"/>
    </row>
    <row r="2693" spans="1:8" s="113" customFormat="1" x14ac:dyDescent="0.25">
      <c r="A2693" s="141">
        <v>151454</v>
      </c>
      <c r="B2693" s="190" t="s">
        <v>3014</v>
      </c>
      <c r="C2693" s="190" t="s">
        <v>9</v>
      </c>
      <c r="D2693" s="190" t="s">
        <v>1105</v>
      </c>
      <c r="E2693" s="190"/>
      <c r="F2693" s="190"/>
      <c r="H2693" s="607"/>
    </row>
    <row r="2694" spans="1:8" s="113" customFormat="1" x14ac:dyDescent="0.25">
      <c r="A2694" s="190">
        <v>151528</v>
      </c>
      <c r="B2694" s="606" t="s">
        <v>3374</v>
      </c>
      <c r="C2694" s="606" t="s">
        <v>16</v>
      </c>
      <c r="D2694" s="606" t="s">
        <v>302</v>
      </c>
      <c r="E2694" s="606"/>
      <c r="F2694" s="606"/>
    </row>
    <row r="2695" spans="1:8" s="113" customFormat="1" x14ac:dyDescent="0.25">
      <c r="A2695" s="190">
        <v>151528</v>
      </c>
      <c r="B2695" s="606" t="s">
        <v>3374</v>
      </c>
      <c r="C2695" s="606" t="s">
        <v>16</v>
      </c>
      <c r="D2695" s="606" t="s">
        <v>302</v>
      </c>
      <c r="E2695" s="606"/>
      <c r="F2695" s="606"/>
    </row>
    <row r="2696" spans="1:8" s="113" customFormat="1" ht="26.25" x14ac:dyDescent="0.25">
      <c r="A2696" s="141">
        <v>151716</v>
      </c>
      <c r="B2696" s="142" t="s">
        <v>1017</v>
      </c>
      <c r="C2696" s="143" t="s">
        <v>20</v>
      </c>
      <c r="D2696" s="143" t="s">
        <v>302</v>
      </c>
      <c r="E2696" s="142"/>
      <c r="F2696" s="142"/>
    </row>
    <row r="2697" spans="1:8" s="113" customFormat="1" x14ac:dyDescent="0.25">
      <c r="A2697" s="141">
        <v>151774</v>
      </c>
      <c r="B2697" s="142" t="s">
        <v>3224</v>
      </c>
      <c r="C2697" s="143" t="s">
        <v>24</v>
      </c>
      <c r="D2697" s="143" t="s">
        <v>268</v>
      </c>
      <c r="E2697" s="142"/>
      <c r="F2697" s="142"/>
    </row>
    <row r="2698" spans="1:8" s="113" customFormat="1" x14ac:dyDescent="0.25">
      <c r="A2698" s="302">
        <v>151776</v>
      </c>
      <c r="B2698" s="281" t="s">
        <v>3326</v>
      </c>
      <c r="C2698" s="281" t="s">
        <v>3327</v>
      </c>
      <c r="D2698" s="281" t="s">
        <v>237</v>
      </c>
      <c r="E2698" s="281"/>
      <c r="F2698" s="281"/>
    </row>
    <row r="2699" spans="1:8" s="113" customFormat="1" x14ac:dyDescent="0.25">
      <c r="A2699" s="301">
        <v>151776</v>
      </c>
      <c r="B2699" s="608" t="s">
        <v>3326</v>
      </c>
      <c r="C2699" s="608" t="s">
        <v>64</v>
      </c>
      <c r="D2699" s="608" t="s">
        <v>237</v>
      </c>
      <c r="E2699" s="608"/>
      <c r="F2699" s="608"/>
    </row>
    <row r="2700" spans="1:8" s="113" customFormat="1" ht="26.25" x14ac:dyDescent="0.25">
      <c r="A2700" s="247">
        <v>152039</v>
      </c>
      <c r="B2700" s="250" t="s">
        <v>1418</v>
      </c>
      <c r="C2700" s="143" t="s">
        <v>5</v>
      </c>
      <c r="D2700" s="260" t="s">
        <v>7</v>
      </c>
      <c r="E2700" s="250"/>
      <c r="F2700" s="250"/>
    </row>
    <row r="2701" spans="1:8" s="113" customFormat="1" ht="26.25" x14ac:dyDescent="0.25">
      <c r="A2701" s="187">
        <v>152153</v>
      </c>
      <c r="B2701" s="187" t="s">
        <v>2566</v>
      </c>
      <c r="C2701" s="143" t="s">
        <v>3039</v>
      </c>
      <c r="D2701" s="244" t="s">
        <v>116</v>
      </c>
      <c r="E2701" s="187"/>
      <c r="F2701" s="187"/>
    </row>
    <row r="2702" spans="1:8" s="113" customFormat="1" x14ac:dyDescent="0.25">
      <c r="A2702" s="190">
        <v>152214</v>
      </c>
      <c r="B2702" s="606" t="s">
        <v>3367</v>
      </c>
      <c r="C2702" s="606" t="s">
        <v>1590</v>
      </c>
      <c r="D2702" s="606" t="s">
        <v>154</v>
      </c>
      <c r="E2702" s="606"/>
      <c r="F2702" s="606"/>
      <c r="G2702" s="607"/>
      <c r="H2702" s="607"/>
    </row>
    <row r="2703" spans="1:8" s="113" customFormat="1" x14ac:dyDescent="0.25">
      <c r="A2703" s="247">
        <v>152242</v>
      </c>
      <c r="B2703" s="250" t="s">
        <v>1305</v>
      </c>
      <c r="C2703" s="149" t="s">
        <v>67</v>
      </c>
      <c r="D2703" s="260" t="s">
        <v>161</v>
      </c>
      <c r="E2703" s="250"/>
      <c r="F2703" s="250"/>
    </row>
    <row r="2704" spans="1:8" s="113" customFormat="1" ht="26.25" x14ac:dyDescent="0.25">
      <c r="A2704" s="247">
        <v>152333</v>
      </c>
      <c r="B2704" s="250" t="s">
        <v>1505</v>
      </c>
      <c r="C2704" s="143" t="s">
        <v>16</v>
      </c>
      <c r="D2704" s="148" t="s">
        <v>242</v>
      </c>
      <c r="E2704" s="250"/>
      <c r="F2704" s="250"/>
      <c r="G2704" s="607"/>
    </row>
    <row r="2705" spans="1:8" s="113" customFormat="1" x14ac:dyDescent="0.25">
      <c r="A2705" s="141">
        <v>152502</v>
      </c>
      <c r="B2705" s="142" t="s">
        <v>2460</v>
      </c>
      <c r="C2705" s="143" t="s">
        <v>64</v>
      </c>
      <c r="D2705" s="143" t="s">
        <v>228</v>
      </c>
      <c r="E2705" s="142"/>
      <c r="F2705" s="142"/>
    </row>
    <row r="2706" spans="1:8" s="113" customFormat="1" ht="26.25" x14ac:dyDescent="0.25">
      <c r="A2706" s="141">
        <v>152626</v>
      </c>
      <c r="B2706" s="142" t="s">
        <v>1568</v>
      </c>
      <c r="C2706" s="143" t="s">
        <v>1478</v>
      </c>
      <c r="D2706" s="143" t="s">
        <v>173</v>
      </c>
      <c r="E2706" s="142"/>
      <c r="F2706" s="142"/>
    </row>
    <row r="2707" spans="1:8" s="113" customFormat="1" x14ac:dyDescent="0.25">
      <c r="A2707" s="141">
        <v>152642</v>
      </c>
      <c r="B2707" s="142" t="s">
        <v>1018</v>
      </c>
      <c r="C2707" s="143" t="s">
        <v>38</v>
      </c>
      <c r="D2707" s="143" t="s">
        <v>148</v>
      </c>
      <c r="E2707" s="142"/>
      <c r="F2707" s="142"/>
    </row>
    <row r="2708" spans="1:8" s="113" customFormat="1" x14ac:dyDescent="0.25">
      <c r="A2708" s="141">
        <v>152884</v>
      </c>
      <c r="B2708" s="144" t="s">
        <v>1269</v>
      </c>
      <c r="C2708" s="143" t="s">
        <v>140</v>
      </c>
      <c r="D2708" s="146" t="s">
        <v>453</v>
      </c>
      <c r="E2708" s="142"/>
      <c r="F2708" s="142"/>
    </row>
    <row r="2709" spans="1:8" s="113" customFormat="1" ht="26.25" x14ac:dyDescent="0.25">
      <c r="A2709" s="190">
        <v>152997</v>
      </c>
      <c r="B2709" s="188" t="s">
        <v>2515</v>
      </c>
      <c r="C2709" s="146" t="s">
        <v>6</v>
      </c>
      <c r="D2709" s="148" t="s">
        <v>242</v>
      </c>
      <c r="E2709" s="606"/>
      <c r="F2709" s="187"/>
    </row>
    <row r="2710" spans="1:8" s="113" customFormat="1" ht="26.25" x14ac:dyDescent="0.25">
      <c r="A2710" s="190">
        <v>152997</v>
      </c>
      <c r="B2710" s="188" t="s">
        <v>2508</v>
      </c>
      <c r="C2710" s="146" t="s">
        <v>2509</v>
      </c>
      <c r="D2710" s="187" t="s">
        <v>242</v>
      </c>
      <c r="E2710" s="606"/>
      <c r="F2710" s="606"/>
    </row>
    <row r="2711" spans="1:8" s="113" customFormat="1" x14ac:dyDescent="0.25">
      <c r="A2711" s="141">
        <v>153127</v>
      </c>
      <c r="B2711" s="142" t="s">
        <v>2461</v>
      </c>
      <c r="C2711" s="143" t="s">
        <v>140</v>
      </c>
      <c r="D2711" s="143" t="s">
        <v>154</v>
      </c>
      <c r="E2711" s="142"/>
      <c r="F2711" s="142"/>
    </row>
    <row r="2712" spans="1:8" s="113" customFormat="1" x14ac:dyDescent="0.25">
      <c r="A2712" s="195">
        <v>153211</v>
      </c>
      <c r="B2712" s="187" t="s">
        <v>3057</v>
      </c>
      <c r="C2712" s="187" t="s">
        <v>144</v>
      </c>
      <c r="D2712" s="146" t="s">
        <v>171</v>
      </c>
      <c r="E2712" s="189"/>
      <c r="F2712" s="187"/>
      <c r="G2712" s="607"/>
      <c r="H2712" s="607"/>
    </row>
    <row r="2713" spans="1:8" s="113" customFormat="1" ht="26.25" x14ac:dyDescent="0.25">
      <c r="A2713" s="141">
        <v>153247</v>
      </c>
      <c r="B2713" s="142" t="s">
        <v>1115</v>
      </c>
      <c r="C2713" s="143" t="s">
        <v>49</v>
      </c>
      <c r="D2713" s="143" t="s">
        <v>242</v>
      </c>
      <c r="E2713" s="142"/>
      <c r="F2713" s="142"/>
    </row>
    <row r="2714" spans="1:8" s="113" customFormat="1" x14ac:dyDescent="0.25">
      <c r="A2714" s="187">
        <v>153442</v>
      </c>
      <c r="B2714" s="606" t="s">
        <v>2647</v>
      </c>
      <c r="C2714" s="606" t="s">
        <v>144</v>
      </c>
      <c r="D2714" s="148" t="s">
        <v>171</v>
      </c>
      <c r="E2714" s="606"/>
      <c r="F2714" s="187"/>
    </row>
    <row r="2715" spans="1:8" s="113" customFormat="1" x14ac:dyDescent="0.25">
      <c r="A2715" s="195">
        <v>153490</v>
      </c>
      <c r="B2715" s="187" t="s">
        <v>3546</v>
      </c>
      <c r="C2715" s="187" t="s">
        <v>16</v>
      </c>
      <c r="D2715" s="146" t="s">
        <v>3329</v>
      </c>
      <c r="E2715" s="606"/>
      <c r="F2715" s="187"/>
    </row>
    <row r="2716" spans="1:8" s="113" customFormat="1" x14ac:dyDescent="0.25">
      <c r="A2716" s="190">
        <v>153627</v>
      </c>
      <c r="B2716" s="606" t="s">
        <v>3218</v>
      </c>
      <c r="C2716" s="606" t="s">
        <v>3219</v>
      </c>
      <c r="D2716" s="606" t="s">
        <v>109</v>
      </c>
      <c r="E2716" s="606"/>
      <c r="F2716" s="606"/>
    </row>
    <row r="2717" spans="1:8" s="113" customFormat="1" x14ac:dyDescent="0.25">
      <c r="A2717" s="141">
        <v>153753</v>
      </c>
      <c r="B2717" s="142" t="s">
        <v>1019</v>
      </c>
      <c r="C2717" s="143" t="s">
        <v>64</v>
      </c>
      <c r="D2717" s="143" t="s">
        <v>237</v>
      </c>
      <c r="E2717" s="142"/>
      <c r="F2717" s="142"/>
      <c r="G2717" s="607"/>
      <c r="H2717" s="607"/>
    </row>
    <row r="2718" spans="1:8" s="113" customFormat="1" x14ac:dyDescent="0.25">
      <c r="A2718" s="190">
        <v>153974</v>
      </c>
      <c r="B2718" s="188" t="s">
        <v>2549</v>
      </c>
      <c r="C2718" s="187" t="s">
        <v>140</v>
      </c>
      <c r="D2718" s="244" t="s">
        <v>453</v>
      </c>
      <c r="E2718" s="187"/>
      <c r="F2718" s="187"/>
    </row>
    <row r="2719" spans="1:8" s="113" customFormat="1" ht="39" x14ac:dyDescent="0.25">
      <c r="A2719" s="141">
        <v>154065</v>
      </c>
      <c r="B2719" s="142" t="s">
        <v>2462</v>
      </c>
      <c r="C2719" s="143" t="s">
        <v>1398</v>
      </c>
      <c r="D2719" s="143" t="s">
        <v>154</v>
      </c>
      <c r="E2719" s="142"/>
      <c r="F2719" s="142"/>
    </row>
    <row r="2720" spans="1:8" s="113" customFormat="1" x14ac:dyDescent="0.25">
      <c r="A2720" s="190">
        <v>154341</v>
      </c>
      <c r="B2720" s="188" t="s">
        <v>2978</v>
      </c>
      <c r="C2720" s="146" t="s">
        <v>41</v>
      </c>
      <c r="D2720" s="146" t="s">
        <v>242</v>
      </c>
      <c r="E2720" s="606"/>
      <c r="F2720" s="606"/>
      <c r="G2720" s="607"/>
    </row>
    <row r="2721" spans="1:7" s="113" customFormat="1" x14ac:dyDescent="0.25">
      <c r="A2721" s="195">
        <v>154341</v>
      </c>
      <c r="B2721" s="188" t="s">
        <v>2978</v>
      </c>
      <c r="C2721" s="146" t="s">
        <v>41</v>
      </c>
      <c r="D2721" s="146" t="s">
        <v>242</v>
      </c>
      <c r="E2721" s="606"/>
      <c r="F2721" s="187"/>
    </row>
    <row r="2722" spans="1:7" s="113" customFormat="1" ht="26.25" x14ac:dyDescent="0.25">
      <c r="A2722" s="141">
        <v>154573</v>
      </c>
      <c r="B2722" s="142" t="s">
        <v>1020</v>
      </c>
      <c r="C2722" s="143" t="s">
        <v>65</v>
      </c>
      <c r="D2722" s="143" t="s">
        <v>154</v>
      </c>
      <c r="E2722" s="142"/>
      <c r="F2722" s="142"/>
    </row>
    <row r="2723" spans="1:7" s="113" customFormat="1" ht="26.25" x14ac:dyDescent="0.25">
      <c r="A2723" s="141">
        <v>154687</v>
      </c>
      <c r="B2723" s="142" t="s">
        <v>1021</v>
      </c>
      <c r="C2723" s="143" t="s">
        <v>16</v>
      </c>
      <c r="D2723" s="143" t="s">
        <v>7</v>
      </c>
      <c r="E2723" s="142"/>
      <c r="F2723" s="142"/>
    </row>
    <row r="2724" spans="1:7" s="113" customFormat="1" x14ac:dyDescent="0.25">
      <c r="A2724" s="187">
        <v>155189</v>
      </c>
      <c r="B2724" s="187" t="s">
        <v>2675</v>
      </c>
      <c r="C2724" s="187" t="s">
        <v>3</v>
      </c>
      <c r="D2724" s="606" t="s">
        <v>68</v>
      </c>
      <c r="E2724" s="606"/>
      <c r="F2724" s="187"/>
    </row>
    <row r="2725" spans="1:7" s="113" customFormat="1" x14ac:dyDescent="0.25">
      <c r="A2725" s="187">
        <v>155484</v>
      </c>
      <c r="B2725" s="188" t="s">
        <v>2720</v>
      </c>
      <c r="C2725" s="146" t="s">
        <v>1455</v>
      </c>
      <c r="D2725" s="148" t="s">
        <v>415</v>
      </c>
      <c r="E2725" s="606"/>
      <c r="F2725" s="606"/>
    </row>
    <row r="2726" spans="1:7" s="113" customFormat="1" x14ac:dyDescent="0.25">
      <c r="A2726" s="141">
        <v>155537</v>
      </c>
      <c r="B2726" s="142" t="s">
        <v>1022</v>
      </c>
      <c r="C2726" s="143" t="s">
        <v>32</v>
      </c>
      <c r="D2726" s="143" t="s">
        <v>242</v>
      </c>
      <c r="E2726" s="142"/>
      <c r="F2726" s="142"/>
    </row>
    <row r="2727" spans="1:7" s="113" customFormat="1" x14ac:dyDescent="0.25">
      <c r="A2727" s="247">
        <v>156083</v>
      </c>
      <c r="B2727" s="250" t="s">
        <v>2463</v>
      </c>
      <c r="C2727" s="143" t="s">
        <v>73</v>
      </c>
      <c r="D2727" s="260" t="s">
        <v>302</v>
      </c>
      <c r="E2727" s="250"/>
      <c r="F2727" s="250"/>
      <c r="G2727" s="607"/>
    </row>
    <row r="2728" spans="1:7" s="113" customFormat="1" x14ac:dyDescent="0.25">
      <c r="A2728" s="141">
        <v>156473</v>
      </c>
      <c r="B2728" s="142" t="s">
        <v>1023</v>
      </c>
      <c r="C2728" s="143" t="s">
        <v>1455</v>
      </c>
      <c r="D2728" s="143" t="s">
        <v>415</v>
      </c>
      <c r="E2728" s="142"/>
      <c r="F2728" s="142"/>
    </row>
    <row r="2729" spans="1:7" s="113" customFormat="1" x14ac:dyDescent="0.25">
      <c r="A2729" s="190">
        <v>156602</v>
      </c>
      <c r="B2729" s="188" t="s">
        <v>2596</v>
      </c>
      <c r="C2729" s="187" t="s">
        <v>914</v>
      </c>
      <c r="D2729" s="244" t="s">
        <v>11</v>
      </c>
      <c r="E2729" s="606"/>
      <c r="F2729" s="606"/>
    </row>
    <row r="2730" spans="1:7" s="113" customFormat="1" x14ac:dyDescent="0.25">
      <c r="A2730" s="190">
        <v>156602</v>
      </c>
      <c r="B2730" s="606" t="s">
        <v>2596</v>
      </c>
      <c r="C2730" s="606" t="s">
        <v>914</v>
      </c>
      <c r="D2730" s="606" t="s">
        <v>11</v>
      </c>
      <c r="E2730" s="606"/>
      <c r="F2730" s="606"/>
    </row>
    <row r="2731" spans="1:7" s="113" customFormat="1" x14ac:dyDescent="0.25">
      <c r="A2731" s="141">
        <v>156693</v>
      </c>
      <c r="B2731" s="142" t="s">
        <v>1125</v>
      </c>
      <c r="C2731" s="143" t="s">
        <v>24</v>
      </c>
      <c r="D2731" s="143" t="s">
        <v>37</v>
      </c>
      <c r="E2731" s="142"/>
      <c r="F2731" s="142"/>
    </row>
    <row r="2732" spans="1:7" s="113" customFormat="1" x14ac:dyDescent="0.25">
      <c r="A2732" s="301">
        <v>156839</v>
      </c>
      <c r="B2732" s="608" t="s">
        <v>3331</v>
      </c>
      <c r="C2732" s="608" t="s">
        <v>144</v>
      </c>
      <c r="D2732" s="608" t="s">
        <v>171</v>
      </c>
      <c r="E2732" s="608"/>
      <c r="F2732" s="608"/>
    </row>
    <row r="2733" spans="1:7" s="113" customFormat="1" x14ac:dyDescent="0.25">
      <c r="A2733" s="301">
        <v>156839</v>
      </c>
      <c r="B2733" s="608" t="s">
        <v>3331</v>
      </c>
      <c r="C2733" s="608" t="s">
        <v>144</v>
      </c>
      <c r="D2733" s="608" t="s">
        <v>171</v>
      </c>
      <c r="E2733" s="608"/>
      <c r="F2733" s="608"/>
    </row>
    <row r="2734" spans="1:7" s="113" customFormat="1" ht="26.25" x14ac:dyDescent="0.25">
      <c r="A2734" s="247">
        <v>156971</v>
      </c>
      <c r="B2734" s="250" t="s">
        <v>1518</v>
      </c>
      <c r="C2734" s="143" t="s">
        <v>27</v>
      </c>
      <c r="D2734" s="260" t="s">
        <v>45</v>
      </c>
      <c r="E2734" s="250"/>
      <c r="F2734" s="250"/>
    </row>
    <row r="2735" spans="1:7" s="113" customFormat="1" x14ac:dyDescent="0.25">
      <c r="A2735" s="141">
        <v>157421</v>
      </c>
      <c r="B2735" s="142" t="s">
        <v>2464</v>
      </c>
      <c r="C2735" s="143" t="s">
        <v>140</v>
      </c>
      <c r="D2735" s="143" t="s">
        <v>148</v>
      </c>
      <c r="E2735" s="142"/>
      <c r="F2735" s="142"/>
    </row>
    <row r="2736" spans="1:7" s="113" customFormat="1" x14ac:dyDescent="0.25">
      <c r="A2736" s="141">
        <v>157547</v>
      </c>
      <c r="B2736" s="190" t="s">
        <v>3026</v>
      </c>
      <c r="C2736" s="190" t="s">
        <v>36</v>
      </c>
      <c r="D2736" s="148" t="s">
        <v>116</v>
      </c>
      <c r="E2736" s="190"/>
      <c r="F2736" s="190"/>
    </row>
    <row r="2737" spans="1:8" s="113" customFormat="1" ht="26.25" x14ac:dyDescent="0.25">
      <c r="A2737" s="141">
        <v>157870</v>
      </c>
      <c r="B2737" s="142" t="s">
        <v>1024</v>
      </c>
      <c r="C2737" s="143" t="s">
        <v>144</v>
      </c>
      <c r="D2737" s="143" t="s">
        <v>173</v>
      </c>
      <c r="E2737" s="142"/>
      <c r="F2737" s="142"/>
    </row>
    <row r="2738" spans="1:8" s="113" customFormat="1" x14ac:dyDescent="0.25">
      <c r="A2738" s="195">
        <v>157980</v>
      </c>
      <c r="B2738" s="187" t="s">
        <v>3256</v>
      </c>
      <c r="C2738" s="187" t="s">
        <v>6</v>
      </c>
      <c r="D2738" s="148" t="s">
        <v>116</v>
      </c>
      <c r="E2738" s="606"/>
      <c r="F2738" s="187"/>
    </row>
    <row r="2739" spans="1:8" s="113" customFormat="1" ht="26.25" x14ac:dyDescent="0.25">
      <c r="A2739" s="141">
        <v>158020</v>
      </c>
      <c r="B2739" s="142" t="s">
        <v>2465</v>
      </c>
      <c r="C2739" s="143" t="s">
        <v>16</v>
      </c>
      <c r="D2739" s="143" t="s">
        <v>154</v>
      </c>
      <c r="E2739" s="142"/>
      <c r="F2739" s="142"/>
      <c r="G2739" s="607"/>
    </row>
    <row r="2740" spans="1:8" s="113" customFormat="1" x14ac:dyDescent="0.25">
      <c r="A2740" s="190">
        <v>158023</v>
      </c>
      <c r="B2740" s="606" t="s">
        <v>2925</v>
      </c>
      <c r="C2740" s="606" t="s">
        <v>64</v>
      </c>
      <c r="D2740" s="606" t="s">
        <v>37</v>
      </c>
      <c r="E2740" s="606"/>
      <c r="F2740" s="606"/>
    </row>
    <row r="2741" spans="1:8" s="113" customFormat="1" ht="26.25" x14ac:dyDescent="0.25">
      <c r="A2741" s="247">
        <v>158072</v>
      </c>
      <c r="B2741" s="248" t="s">
        <v>2547</v>
      </c>
      <c r="C2741" s="143" t="s">
        <v>6</v>
      </c>
      <c r="D2741" s="244" t="s">
        <v>116</v>
      </c>
      <c r="E2741" s="248"/>
      <c r="F2741" s="248"/>
    </row>
    <row r="2742" spans="1:8" s="113" customFormat="1" x14ac:dyDescent="0.25">
      <c r="A2742" s="195">
        <v>158229</v>
      </c>
      <c r="B2742" s="187" t="s">
        <v>3548</v>
      </c>
      <c r="C2742" s="187" t="s">
        <v>49</v>
      </c>
      <c r="D2742" s="146" t="s">
        <v>154</v>
      </c>
      <c r="E2742" s="606"/>
      <c r="F2742" s="187"/>
    </row>
    <row r="2743" spans="1:8" s="113" customFormat="1" x14ac:dyDescent="0.25">
      <c r="A2743" s="187">
        <v>158229</v>
      </c>
      <c r="B2743" s="187" t="s">
        <v>3548</v>
      </c>
      <c r="C2743" s="187" t="s">
        <v>49</v>
      </c>
      <c r="D2743" s="187" t="s">
        <v>154</v>
      </c>
      <c r="E2743" s="187"/>
      <c r="F2743" s="187"/>
    </row>
    <row r="2744" spans="1:8" s="113" customFormat="1" ht="26.25" x14ac:dyDescent="0.25">
      <c r="A2744" s="141">
        <v>158316</v>
      </c>
      <c r="B2744" s="142" t="s">
        <v>1267</v>
      </c>
      <c r="C2744" s="143" t="s">
        <v>49</v>
      </c>
      <c r="D2744" s="143" t="s">
        <v>154</v>
      </c>
      <c r="E2744" s="142"/>
      <c r="F2744" s="142"/>
    </row>
    <row r="2745" spans="1:8" s="113" customFormat="1" x14ac:dyDescent="0.25">
      <c r="A2745" s="187">
        <v>158349</v>
      </c>
      <c r="B2745" s="187" t="s">
        <v>3631</v>
      </c>
      <c r="C2745" s="187" t="s">
        <v>144</v>
      </c>
      <c r="D2745" s="187" t="s">
        <v>171</v>
      </c>
      <c r="E2745" s="187"/>
      <c r="F2745" s="187"/>
    </row>
    <row r="2746" spans="1:8" s="113" customFormat="1" ht="26.25" x14ac:dyDescent="0.25">
      <c r="A2746" s="195">
        <v>158483</v>
      </c>
      <c r="B2746" s="188" t="s">
        <v>3002</v>
      </c>
      <c r="C2746" s="146" t="s">
        <v>144</v>
      </c>
      <c r="D2746" s="146" t="s">
        <v>1131</v>
      </c>
      <c r="E2746" s="606"/>
      <c r="F2746" s="187"/>
    </row>
    <row r="2747" spans="1:8" s="113" customFormat="1" x14ac:dyDescent="0.25">
      <c r="A2747" s="245">
        <v>159282</v>
      </c>
      <c r="B2747" s="246" t="s">
        <v>2686</v>
      </c>
      <c r="C2747" s="246" t="s">
        <v>32</v>
      </c>
      <c r="D2747" s="143" t="s">
        <v>242</v>
      </c>
      <c r="E2747" s="246"/>
      <c r="F2747" s="246"/>
      <c r="H2747" s="607"/>
    </row>
    <row r="2748" spans="1:8" s="113" customFormat="1" x14ac:dyDescent="0.25">
      <c r="A2748" s="195">
        <v>159559</v>
      </c>
      <c r="B2748" s="188" t="s">
        <v>2983</v>
      </c>
      <c r="C2748" s="146" t="s">
        <v>63</v>
      </c>
      <c r="D2748" s="148" t="s">
        <v>116</v>
      </c>
      <c r="E2748" s="606"/>
      <c r="F2748" s="187"/>
    </row>
    <row r="2749" spans="1:8" s="113" customFormat="1" x14ac:dyDescent="0.25">
      <c r="A2749" s="190">
        <v>159561</v>
      </c>
      <c r="B2749" s="606" t="s">
        <v>3377</v>
      </c>
      <c r="C2749" s="606" t="s">
        <v>1590</v>
      </c>
      <c r="D2749" s="606" t="s">
        <v>3329</v>
      </c>
      <c r="E2749" s="606"/>
      <c r="F2749" s="606"/>
    </row>
    <row r="2750" spans="1:8" s="113" customFormat="1" ht="26.25" x14ac:dyDescent="0.25">
      <c r="A2750" s="684">
        <v>159828</v>
      </c>
      <c r="B2750" s="689" t="s">
        <v>1180</v>
      </c>
      <c r="C2750" s="276" t="s">
        <v>144</v>
      </c>
      <c r="D2750" s="276" t="s">
        <v>173</v>
      </c>
      <c r="E2750" s="689"/>
      <c r="F2750" s="689"/>
    </row>
    <row r="2751" spans="1:8" s="113" customFormat="1" ht="26.25" x14ac:dyDescent="0.25">
      <c r="A2751" s="141">
        <v>159900</v>
      </c>
      <c r="B2751" s="142" t="s">
        <v>1025</v>
      </c>
      <c r="C2751" s="143" t="s">
        <v>16</v>
      </c>
      <c r="D2751" s="143" t="s">
        <v>154</v>
      </c>
      <c r="E2751" s="142"/>
      <c r="F2751" s="142"/>
      <c r="G2751" s="607"/>
      <c r="H2751" s="607"/>
    </row>
    <row r="2752" spans="1:8" s="113" customFormat="1" x14ac:dyDescent="0.25">
      <c r="A2752" s="195">
        <v>160078</v>
      </c>
      <c r="B2752" s="187" t="s">
        <v>3483</v>
      </c>
      <c r="C2752" s="187" t="s">
        <v>27</v>
      </c>
      <c r="D2752" s="148" t="s">
        <v>116</v>
      </c>
      <c r="E2752" s="606"/>
      <c r="F2752" s="187"/>
    </row>
    <row r="2753" spans="1:8" s="113" customFormat="1" x14ac:dyDescent="0.25">
      <c r="A2753" s="195">
        <v>160080</v>
      </c>
      <c r="B2753" s="187" t="s">
        <v>3514</v>
      </c>
      <c r="C2753" s="187" t="s">
        <v>38</v>
      </c>
      <c r="D2753" s="148" t="s">
        <v>148</v>
      </c>
      <c r="E2753" s="606"/>
      <c r="F2753" s="187"/>
    </row>
    <row r="2754" spans="1:8" s="113" customFormat="1" x14ac:dyDescent="0.25">
      <c r="A2754" s="195">
        <v>160080</v>
      </c>
      <c r="B2754" s="187" t="s">
        <v>3514</v>
      </c>
      <c r="C2754" s="187" t="s">
        <v>38</v>
      </c>
      <c r="D2754" s="146" t="s">
        <v>148</v>
      </c>
      <c r="E2754" s="606"/>
      <c r="F2754" s="187"/>
    </row>
    <row r="2755" spans="1:8" s="113" customFormat="1" x14ac:dyDescent="0.25">
      <c r="A2755" s="195">
        <v>160148</v>
      </c>
      <c r="B2755" s="187" t="s">
        <v>3529</v>
      </c>
      <c r="C2755" s="187" t="s">
        <v>17</v>
      </c>
      <c r="D2755" s="146" t="s">
        <v>154</v>
      </c>
      <c r="E2755" s="606"/>
      <c r="F2755" s="187"/>
    </row>
    <row r="2756" spans="1:8" s="113" customFormat="1" ht="39" x14ac:dyDescent="0.25">
      <c r="A2756" s="247">
        <v>160274</v>
      </c>
      <c r="B2756" s="250" t="s">
        <v>1528</v>
      </c>
      <c r="C2756" s="143" t="s">
        <v>1529</v>
      </c>
      <c r="D2756" s="260" t="s">
        <v>173</v>
      </c>
      <c r="E2756" s="250"/>
      <c r="F2756" s="250"/>
    </row>
    <row r="2757" spans="1:8" s="113" customFormat="1" ht="26.25" x14ac:dyDescent="0.25">
      <c r="A2757" s="247">
        <v>160301</v>
      </c>
      <c r="B2757" s="250" t="s">
        <v>1260</v>
      </c>
      <c r="C2757" s="143" t="s">
        <v>144</v>
      </c>
      <c r="D2757" s="260" t="s">
        <v>173</v>
      </c>
      <c r="E2757" s="250"/>
      <c r="F2757" s="250"/>
    </row>
    <row r="2758" spans="1:8" s="113" customFormat="1" x14ac:dyDescent="0.25">
      <c r="A2758" s="190">
        <v>160331</v>
      </c>
      <c r="B2758" s="188" t="s">
        <v>2716</v>
      </c>
      <c r="C2758" s="606" t="s">
        <v>1398</v>
      </c>
      <c r="D2758" s="606" t="s">
        <v>154</v>
      </c>
      <c r="E2758" s="606"/>
      <c r="F2758" s="606"/>
    </row>
    <row r="2759" spans="1:8" s="113" customFormat="1" ht="39" x14ac:dyDescent="0.25">
      <c r="A2759" s="195">
        <v>160331</v>
      </c>
      <c r="B2759" s="188" t="s">
        <v>2716</v>
      </c>
      <c r="C2759" s="146" t="s">
        <v>1398</v>
      </c>
      <c r="D2759" s="146" t="s">
        <v>154</v>
      </c>
      <c r="E2759" s="606"/>
      <c r="F2759" s="606"/>
    </row>
    <row r="2760" spans="1:8" s="113" customFormat="1" x14ac:dyDescent="0.25">
      <c r="A2760" s="187">
        <v>160397</v>
      </c>
      <c r="B2760" s="188" t="s">
        <v>3110</v>
      </c>
      <c r="C2760" s="146" t="s">
        <v>10</v>
      </c>
      <c r="D2760" s="148" t="s">
        <v>11</v>
      </c>
      <c r="E2760" s="606"/>
      <c r="F2760" s="606"/>
    </row>
    <row r="2761" spans="1:8" s="113" customFormat="1" x14ac:dyDescent="0.25">
      <c r="A2761" s="195">
        <v>160397</v>
      </c>
      <c r="B2761" s="606" t="s">
        <v>3110</v>
      </c>
      <c r="C2761" s="606" t="s">
        <v>10</v>
      </c>
      <c r="D2761" s="606" t="s">
        <v>11</v>
      </c>
      <c r="E2761" s="606"/>
      <c r="F2761" s="187"/>
    </row>
    <row r="2762" spans="1:8" s="113" customFormat="1" ht="26.25" x14ac:dyDescent="0.25">
      <c r="A2762" s="195">
        <v>160425</v>
      </c>
      <c r="B2762" s="188" t="s">
        <v>2836</v>
      </c>
      <c r="C2762" s="146" t="s">
        <v>5</v>
      </c>
      <c r="D2762" s="146" t="s">
        <v>242</v>
      </c>
      <c r="E2762" s="606"/>
      <c r="F2762" s="606"/>
      <c r="G2762" s="607"/>
      <c r="H2762" s="607"/>
    </row>
    <row r="2763" spans="1:8" s="113" customFormat="1" x14ac:dyDescent="0.25">
      <c r="A2763" s="247">
        <v>160459</v>
      </c>
      <c r="B2763" s="250" t="s">
        <v>1521</v>
      </c>
      <c r="C2763" s="143" t="s">
        <v>32</v>
      </c>
      <c r="D2763" s="143" t="s">
        <v>302</v>
      </c>
      <c r="E2763" s="250"/>
      <c r="F2763" s="250"/>
    </row>
    <row r="2764" spans="1:8" s="113" customFormat="1" ht="26.25" x14ac:dyDescent="0.25">
      <c r="A2764" s="141">
        <v>160498</v>
      </c>
      <c r="B2764" s="142" t="s">
        <v>2466</v>
      </c>
      <c r="C2764" s="143" t="s">
        <v>22</v>
      </c>
      <c r="D2764" s="143" t="s">
        <v>302</v>
      </c>
      <c r="E2764" s="142"/>
      <c r="F2764" s="142"/>
    </row>
    <row r="2765" spans="1:8" s="113" customFormat="1" ht="26.25" x14ac:dyDescent="0.25">
      <c r="A2765" s="187">
        <v>160527</v>
      </c>
      <c r="B2765" s="188" t="s">
        <v>2794</v>
      </c>
      <c r="C2765" s="143" t="s">
        <v>3039</v>
      </c>
      <c r="D2765" s="148" t="s">
        <v>242</v>
      </c>
      <c r="E2765" s="606"/>
      <c r="F2765" s="606"/>
    </row>
    <row r="2766" spans="1:8" s="113" customFormat="1" x14ac:dyDescent="0.25">
      <c r="A2766" s="141">
        <v>160725</v>
      </c>
      <c r="B2766" s="142" t="s">
        <v>1026</v>
      </c>
      <c r="C2766" s="143" t="s">
        <v>167</v>
      </c>
      <c r="D2766" s="143" t="s">
        <v>171</v>
      </c>
      <c r="E2766" s="142"/>
      <c r="F2766" s="142"/>
    </row>
    <row r="2767" spans="1:8" s="113" customFormat="1" ht="26.25" x14ac:dyDescent="0.25">
      <c r="A2767" s="255">
        <v>160839</v>
      </c>
      <c r="B2767" s="259" t="s">
        <v>1337</v>
      </c>
      <c r="C2767" s="143" t="s">
        <v>914</v>
      </c>
      <c r="D2767" s="251" t="s">
        <v>116</v>
      </c>
      <c r="E2767" s="250"/>
      <c r="F2767" s="250"/>
      <c r="H2767" s="607"/>
    </row>
    <row r="2768" spans="1:8" s="113" customFormat="1" ht="26.25" x14ac:dyDescent="0.25">
      <c r="A2768" s="141">
        <v>161057</v>
      </c>
      <c r="B2768" s="142" t="s">
        <v>1027</v>
      </c>
      <c r="C2768" s="143" t="s">
        <v>96</v>
      </c>
      <c r="D2768" s="143" t="s">
        <v>109</v>
      </c>
      <c r="E2768" s="142"/>
      <c r="F2768" s="142"/>
    </row>
    <row r="2769" spans="1:8" s="113" customFormat="1" x14ac:dyDescent="0.25">
      <c r="A2769" s="141">
        <v>161153</v>
      </c>
      <c r="B2769" s="144" t="s">
        <v>1104</v>
      </c>
      <c r="C2769" s="143" t="s">
        <v>12</v>
      </c>
      <c r="D2769" s="146" t="s">
        <v>811</v>
      </c>
      <c r="E2769" s="142"/>
      <c r="F2769" s="142"/>
    </row>
    <row r="2770" spans="1:8" s="113" customFormat="1" ht="26.25" x14ac:dyDescent="0.25">
      <c r="A2770" s="141">
        <v>161381</v>
      </c>
      <c r="B2770" s="144" t="s">
        <v>2761</v>
      </c>
      <c r="C2770" s="143" t="s">
        <v>16</v>
      </c>
      <c r="D2770" s="146" t="s">
        <v>302</v>
      </c>
      <c r="E2770" s="250"/>
      <c r="F2770" s="250"/>
    </row>
    <row r="2771" spans="1:8" s="113" customFormat="1" x14ac:dyDescent="0.25">
      <c r="A2771" s="190">
        <v>161539</v>
      </c>
      <c r="B2771" s="606" t="s">
        <v>3174</v>
      </c>
      <c r="C2771" s="606" t="s">
        <v>20</v>
      </c>
      <c r="D2771" s="606" t="s">
        <v>302</v>
      </c>
      <c r="E2771" s="189"/>
      <c r="F2771" s="606"/>
      <c r="G2771" s="194"/>
      <c r="H2771" s="194"/>
    </row>
    <row r="2772" spans="1:8" s="113" customFormat="1" ht="26.25" x14ac:dyDescent="0.25">
      <c r="A2772" s="141">
        <v>161850</v>
      </c>
      <c r="B2772" s="144" t="s">
        <v>1430</v>
      </c>
      <c r="C2772" s="143" t="s">
        <v>49</v>
      </c>
      <c r="D2772" s="143" t="s">
        <v>154</v>
      </c>
      <c r="E2772" s="142"/>
      <c r="F2772" s="142"/>
    </row>
    <row r="2773" spans="1:8" s="113" customFormat="1" x14ac:dyDescent="0.25">
      <c r="A2773" s="190">
        <v>162116</v>
      </c>
      <c r="B2773" s="606" t="s">
        <v>3073</v>
      </c>
      <c r="C2773" s="606" t="s">
        <v>5</v>
      </c>
      <c r="D2773" s="606" t="s">
        <v>242</v>
      </c>
      <c r="E2773" s="606"/>
      <c r="F2773" s="606"/>
    </row>
    <row r="2774" spans="1:8" s="113" customFormat="1" x14ac:dyDescent="0.25">
      <c r="A2774" s="190">
        <v>162116</v>
      </c>
      <c r="B2774" s="606" t="s">
        <v>3073</v>
      </c>
      <c r="C2774" s="606" t="s">
        <v>5</v>
      </c>
      <c r="D2774" s="606" t="s">
        <v>242</v>
      </c>
      <c r="E2774" s="606"/>
      <c r="F2774" s="606"/>
    </row>
    <row r="2775" spans="1:8" s="113" customFormat="1" x14ac:dyDescent="0.25">
      <c r="A2775" s="187">
        <v>162116</v>
      </c>
      <c r="B2775" s="187" t="s">
        <v>3073</v>
      </c>
      <c r="C2775" s="187" t="s">
        <v>5</v>
      </c>
      <c r="D2775" s="187" t="s">
        <v>3329</v>
      </c>
      <c r="E2775" s="187"/>
      <c r="F2775" s="187"/>
    </row>
    <row r="2776" spans="1:8" s="113" customFormat="1" x14ac:dyDescent="0.25">
      <c r="A2776" s="195">
        <v>162232</v>
      </c>
      <c r="B2776" s="188" t="s">
        <v>2880</v>
      </c>
      <c r="C2776" s="146" t="s">
        <v>10</v>
      </c>
      <c r="D2776" s="146" t="s">
        <v>154</v>
      </c>
      <c r="E2776" s="606"/>
      <c r="F2776" s="187"/>
      <c r="G2776" s="607"/>
      <c r="H2776" s="607"/>
    </row>
    <row r="2777" spans="1:8" s="113" customFormat="1" x14ac:dyDescent="0.25">
      <c r="A2777" s="141">
        <v>162299</v>
      </c>
      <c r="B2777" s="142" t="s">
        <v>1028</v>
      </c>
      <c r="C2777" s="143" t="s">
        <v>32</v>
      </c>
      <c r="D2777" s="143" t="s">
        <v>551</v>
      </c>
      <c r="E2777" s="142"/>
      <c r="F2777" s="142"/>
    </row>
    <row r="2778" spans="1:8" s="113" customFormat="1" x14ac:dyDescent="0.25">
      <c r="A2778" s="190">
        <v>162389</v>
      </c>
      <c r="B2778" s="606" t="s">
        <v>3387</v>
      </c>
      <c r="C2778" s="606" t="s">
        <v>167</v>
      </c>
      <c r="D2778" s="606" t="s">
        <v>173</v>
      </c>
      <c r="E2778" s="606"/>
      <c r="F2778" s="606"/>
    </row>
    <row r="2779" spans="1:8" s="113" customFormat="1" x14ac:dyDescent="0.25">
      <c r="A2779" s="187">
        <v>162389</v>
      </c>
      <c r="B2779" s="187" t="s">
        <v>3387</v>
      </c>
      <c r="C2779" s="187" t="s">
        <v>167</v>
      </c>
      <c r="D2779" s="187" t="s">
        <v>173</v>
      </c>
      <c r="E2779" s="187"/>
      <c r="F2779" s="187"/>
    </row>
    <row r="2780" spans="1:8" s="113" customFormat="1" x14ac:dyDescent="0.25">
      <c r="A2780" s="187">
        <v>162389</v>
      </c>
      <c r="B2780" s="187" t="s">
        <v>3387</v>
      </c>
      <c r="C2780" s="187" t="s">
        <v>167</v>
      </c>
      <c r="D2780" s="187" t="s">
        <v>173</v>
      </c>
      <c r="E2780" s="187"/>
      <c r="F2780" s="187"/>
    </row>
    <row r="2781" spans="1:8" s="113" customFormat="1" ht="26.25" x14ac:dyDescent="0.25">
      <c r="A2781" s="190">
        <v>162492</v>
      </c>
      <c r="B2781" s="606" t="s">
        <v>2929</v>
      </c>
      <c r="C2781" s="143" t="s">
        <v>144</v>
      </c>
      <c r="D2781" s="606" t="s">
        <v>173</v>
      </c>
      <c r="E2781" s="606"/>
      <c r="F2781" s="606"/>
    </row>
    <row r="2782" spans="1:8" s="113" customFormat="1" x14ac:dyDescent="0.25">
      <c r="A2782" s="606">
        <v>162883</v>
      </c>
      <c r="B2782" s="606" t="s">
        <v>2727</v>
      </c>
      <c r="C2782" s="606" t="s">
        <v>1455</v>
      </c>
      <c r="D2782" s="606" t="s">
        <v>415</v>
      </c>
      <c r="E2782" s="606"/>
      <c r="F2782" s="606"/>
    </row>
    <row r="2783" spans="1:8" s="113" customFormat="1" x14ac:dyDescent="0.25">
      <c r="A2783" s="187">
        <v>162883</v>
      </c>
      <c r="B2783" s="188" t="s">
        <v>2727</v>
      </c>
      <c r="C2783" s="146" t="s">
        <v>1455</v>
      </c>
      <c r="D2783" s="146" t="s">
        <v>415</v>
      </c>
      <c r="E2783" s="606"/>
      <c r="F2783" s="606"/>
    </row>
    <row r="2784" spans="1:8" s="113" customFormat="1" x14ac:dyDescent="0.25">
      <c r="A2784" s="301">
        <v>163014</v>
      </c>
      <c r="B2784" s="608" t="s">
        <v>3333</v>
      </c>
      <c r="C2784" s="608" t="s">
        <v>49</v>
      </c>
      <c r="D2784" s="608" t="s">
        <v>3334</v>
      </c>
      <c r="E2784" s="608"/>
      <c r="F2784" s="608"/>
    </row>
    <row r="2785" spans="1:8" s="113" customFormat="1" x14ac:dyDescent="0.25">
      <c r="A2785" s="187">
        <v>163014</v>
      </c>
      <c r="B2785" s="187" t="s">
        <v>3333</v>
      </c>
      <c r="C2785" s="187" t="s">
        <v>49</v>
      </c>
      <c r="D2785" s="187" t="s">
        <v>116</v>
      </c>
      <c r="E2785" s="187"/>
      <c r="F2785" s="187"/>
    </row>
    <row r="2786" spans="1:8" s="113" customFormat="1" x14ac:dyDescent="0.25">
      <c r="A2786" s="195">
        <v>163014</v>
      </c>
      <c r="B2786" s="187" t="s">
        <v>3333</v>
      </c>
      <c r="C2786" s="187" t="s">
        <v>49</v>
      </c>
      <c r="D2786" s="148" t="s">
        <v>116</v>
      </c>
      <c r="E2786" s="189"/>
      <c r="F2786" s="187"/>
    </row>
    <row r="2787" spans="1:8" s="113" customFormat="1" x14ac:dyDescent="0.25">
      <c r="A2787" s="195">
        <v>163014</v>
      </c>
      <c r="B2787" s="187" t="s">
        <v>3333</v>
      </c>
      <c r="C2787" s="187" t="s">
        <v>49</v>
      </c>
      <c r="D2787" s="148" t="s">
        <v>116</v>
      </c>
      <c r="E2787" s="189"/>
      <c r="F2787" s="187"/>
    </row>
    <row r="2788" spans="1:8" s="113" customFormat="1" ht="26.25" x14ac:dyDescent="0.25">
      <c r="A2788" s="187">
        <v>163247</v>
      </c>
      <c r="B2788" s="188" t="s">
        <v>2767</v>
      </c>
      <c r="C2788" s="146" t="s">
        <v>49</v>
      </c>
      <c r="D2788" s="146" t="s">
        <v>116</v>
      </c>
      <c r="E2788" s="189"/>
      <c r="F2788" s="606"/>
    </row>
    <row r="2789" spans="1:8" s="113" customFormat="1" ht="26.25" x14ac:dyDescent="0.25">
      <c r="A2789" s="187">
        <v>163247</v>
      </c>
      <c r="B2789" s="188" t="s">
        <v>2767</v>
      </c>
      <c r="C2789" s="146" t="s">
        <v>49</v>
      </c>
      <c r="D2789" s="148" t="s">
        <v>116</v>
      </c>
      <c r="E2789" s="606"/>
      <c r="F2789" s="606"/>
    </row>
    <row r="2790" spans="1:8" s="113" customFormat="1" x14ac:dyDescent="0.25">
      <c r="A2790" s="195">
        <v>163628</v>
      </c>
      <c r="B2790" s="187" t="s">
        <v>3515</v>
      </c>
      <c r="C2790" s="187"/>
      <c r="D2790" s="148"/>
      <c r="E2790" s="606"/>
      <c r="F2790" s="187"/>
    </row>
    <row r="2791" spans="1:8" s="113" customFormat="1" x14ac:dyDescent="0.25">
      <c r="A2791" s="195">
        <v>163628</v>
      </c>
      <c r="B2791" s="187" t="s">
        <v>3515</v>
      </c>
      <c r="C2791" s="606"/>
      <c r="D2791" s="606"/>
      <c r="E2791" s="606"/>
      <c r="F2791" s="187"/>
      <c r="G2791" s="607"/>
      <c r="H2791" s="607"/>
    </row>
    <row r="2792" spans="1:8" s="113" customFormat="1" x14ac:dyDescent="0.25">
      <c r="A2792" s="195">
        <v>163863</v>
      </c>
      <c r="B2792" s="187" t="s">
        <v>3554</v>
      </c>
      <c r="C2792" s="187" t="s">
        <v>9</v>
      </c>
      <c r="D2792" s="146" t="s">
        <v>3329</v>
      </c>
      <c r="E2792" s="606"/>
      <c r="F2792" s="187"/>
    </row>
    <row r="2793" spans="1:8" s="113" customFormat="1" x14ac:dyDescent="0.25">
      <c r="A2793" s="245">
        <v>163990</v>
      </c>
      <c r="B2793" s="246" t="s">
        <v>2687</v>
      </c>
      <c r="C2793" s="246" t="s">
        <v>144</v>
      </c>
      <c r="D2793" s="246" t="s">
        <v>7</v>
      </c>
      <c r="E2793" s="246"/>
      <c r="F2793" s="246"/>
      <c r="G2793" s="607"/>
    </row>
    <row r="2794" spans="1:8" s="113" customFormat="1" x14ac:dyDescent="0.25">
      <c r="A2794" s="187">
        <v>163996</v>
      </c>
      <c r="B2794" s="187" t="s">
        <v>3582</v>
      </c>
      <c r="C2794" s="187" t="s">
        <v>16</v>
      </c>
      <c r="D2794" s="187" t="s">
        <v>154</v>
      </c>
      <c r="E2794" s="187"/>
      <c r="F2794" s="187"/>
    </row>
    <row r="2795" spans="1:8" s="113" customFormat="1" x14ac:dyDescent="0.25">
      <c r="A2795" s="141">
        <v>164270</v>
      </c>
      <c r="B2795" s="144" t="s">
        <v>2943</v>
      </c>
      <c r="C2795" s="143" t="s">
        <v>17</v>
      </c>
      <c r="D2795" s="143" t="s">
        <v>11</v>
      </c>
      <c r="E2795" s="142"/>
      <c r="F2795" s="142"/>
      <c r="H2795" s="607"/>
    </row>
    <row r="2796" spans="1:8" s="113" customFormat="1" ht="26.25" x14ac:dyDescent="0.25">
      <c r="A2796" s="161">
        <v>164326</v>
      </c>
      <c r="B2796" s="142" t="s">
        <v>1130</v>
      </c>
      <c r="C2796" s="143" t="s">
        <v>120</v>
      </c>
      <c r="D2796" s="143" t="s">
        <v>237</v>
      </c>
      <c r="E2796" s="142"/>
      <c r="F2796" s="142"/>
    </row>
    <row r="2797" spans="1:8" s="113" customFormat="1" ht="26.25" x14ac:dyDescent="0.25">
      <c r="A2797" s="195">
        <v>164757</v>
      </c>
      <c r="B2797" s="188" t="s">
        <v>2878</v>
      </c>
      <c r="C2797" s="146" t="s">
        <v>2583</v>
      </c>
      <c r="D2797" s="146" t="s">
        <v>504</v>
      </c>
      <c r="E2797" s="606"/>
      <c r="F2797" s="187"/>
    </row>
    <row r="2798" spans="1:8" s="113" customFormat="1" x14ac:dyDescent="0.25">
      <c r="A2798" s="190">
        <v>165025</v>
      </c>
      <c r="B2798" s="606" t="s">
        <v>3188</v>
      </c>
      <c r="C2798" s="606" t="s">
        <v>3</v>
      </c>
      <c r="D2798" s="606" t="s">
        <v>154</v>
      </c>
      <c r="E2798" s="606"/>
      <c r="F2798" s="606"/>
    </row>
    <row r="2799" spans="1:8" s="113" customFormat="1" ht="26.25" x14ac:dyDescent="0.25">
      <c r="A2799" s="141">
        <v>165207</v>
      </c>
      <c r="B2799" s="142" t="s">
        <v>2467</v>
      </c>
      <c r="C2799" s="143" t="s">
        <v>3039</v>
      </c>
      <c r="D2799" s="143" t="s">
        <v>116</v>
      </c>
      <c r="E2799" s="142"/>
      <c r="F2799" s="142"/>
    </row>
    <row r="2800" spans="1:8" s="113" customFormat="1" ht="26.25" x14ac:dyDescent="0.25">
      <c r="A2800" s="190">
        <v>165611</v>
      </c>
      <c r="B2800" s="188" t="s">
        <v>2588</v>
      </c>
      <c r="C2800" s="146" t="s">
        <v>5</v>
      </c>
      <c r="D2800" s="606" t="s">
        <v>302</v>
      </c>
      <c r="E2800" s="606"/>
      <c r="F2800" s="187"/>
    </row>
    <row r="2801" spans="1:7" s="113" customFormat="1" x14ac:dyDescent="0.25">
      <c r="A2801" s="190">
        <v>166042</v>
      </c>
      <c r="B2801" s="606" t="s">
        <v>2789</v>
      </c>
      <c r="C2801" s="606" t="s">
        <v>16</v>
      </c>
      <c r="D2801" s="606" t="s">
        <v>242</v>
      </c>
      <c r="E2801" s="606"/>
      <c r="F2801" s="606"/>
    </row>
    <row r="2802" spans="1:7" s="113" customFormat="1" x14ac:dyDescent="0.25">
      <c r="A2802" s="190">
        <v>166260</v>
      </c>
      <c r="B2802" s="606" t="s">
        <v>3186</v>
      </c>
      <c r="C2802" s="606" t="s">
        <v>144</v>
      </c>
      <c r="D2802" s="606" t="s">
        <v>173</v>
      </c>
      <c r="E2802" s="606"/>
      <c r="F2802" s="606"/>
    </row>
    <row r="2803" spans="1:7" s="113" customFormat="1" ht="26.25" x14ac:dyDescent="0.25">
      <c r="A2803" s="141">
        <v>166366</v>
      </c>
      <c r="B2803" s="142" t="s">
        <v>2468</v>
      </c>
      <c r="C2803" s="143" t="s">
        <v>16</v>
      </c>
      <c r="D2803" s="143" t="s">
        <v>154</v>
      </c>
      <c r="E2803" s="142"/>
      <c r="F2803" s="142"/>
    </row>
    <row r="2804" spans="1:7" s="113" customFormat="1" ht="26.25" x14ac:dyDescent="0.25">
      <c r="A2804" s="247">
        <v>167061</v>
      </c>
      <c r="B2804" s="250" t="s">
        <v>1557</v>
      </c>
      <c r="C2804" s="143" t="s">
        <v>16</v>
      </c>
      <c r="D2804" s="260" t="s">
        <v>154</v>
      </c>
      <c r="E2804" s="250"/>
      <c r="F2804" s="250"/>
    </row>
    <row r="2805" spans="1:7" s="113" customFormat="1" ht="26.25" x14ac:dyDescent="0.25">
      <c r="A2805" s="247">
        <v>167200</v>
      </c>
      <c r="B2805" s="250" t="s">
        <v>2469</v>
      </c>
      <c r="C2805" s="143" t="s">
        <v>144</v>
      </c>
      <c r="D2805" s="260" t="s">
        <v>173</v>
      </c>
      <c r="E2805" s="250"/>
      <c r="F2805" s="250"/>
    </row>
    <row r="2806" spans="1:7" s="113" customFormat="1" x14ac:dyDescent="0.25">
      <c r="A2806" s="247">
        <v>167227</v>
      </c>
      <c r="B2806" s="250" t="s">
        <v>1306</v>
      </c>
      <c r="C2806" s="143" t="s">
        <v>10</v>
      </c>
      <c r="D2806" s="143" t="s">
        <v>154</v>
      </c>
      <c r="E2806" s="250"/>
      <c r="F2806" s="250"/>
    </row>
    <row r="2807" spans="1:7" s="113" customFormat="1" x14ac:dyDescent="0.25">
      <c r="A2807" s="141">
        <v>167318</v>
      </c>
      <c r="B2807" s="142" t="s">
        <v>1029</v>
      </c>
      <c r="C2807" s="143" t="s">
        <v>17</v>
      </c>
      <c r="D2807" s="143" t="s">
        <v>242</v>
      </c>
      <c r="E2807" s="142"/>
      <c r="F2807" s="142"/>
    </row>
    <row r="2808" spans="1:7" s="113" customFormat="1" ht="26.25" x14ac:dyDescent="0.25">
      <c r="A2808" s="247">
        <v>168032</v>
      </c>
      <c r="B2808" s="250" t="s">
        <v>1307</v>
      </c>
      <c r="C2808" s="143" t="s">
        <v>20</v>
      </c>
      <c r="D2808" s="260" t="s">
        <v>302</v>
      </c>
      <c r="E2808" s="250"/>
      <c r="F2808" s="250"/>
    </row>
    <row r="2809" spans="1:7" s="113" customFormat="1" ht="26.25" x14ac:dyDescent="0.25">
      <c r="A2809" s="190">
        <v>168235</v>
      </c>
      <c r="B2809" s="188" t="s">
        <v>2532</v>
      </c>
      <c r="C2809" s="146" t="s">
        <v>157</v>
      </c>
      <c r="D2809" s="244" t="s">
        <v>116</v>
      </c>
      <c r="E2809" s="187"/>
      <c r="F2809" s="187"/>
    </row>
    <row r="2810" spans="1:7" s="113" customFormat="1" ht="26.25" x14ac:dyDescent="0.25">
      <c r="A2810" s="141">
        <v>168410</v>
      </c>
      <c r="B2810" s="142" t="s">
        <v>2470</v>
      </c>
      <c r="C2810" s="143" t="s">
        <v>8</v>
      </c>
      <c r="D2810" s="143" t="s">
        <v>242</v>
      </c>
      <c r="E2810" s="142"/>
      <c r="F2810" s="142"/>
    </row>
    <row r="2811" spans="1:7" s="113" customFormat="1" ht="26.25" x14ac:dyDescent="0.25">
      <c r="A2811" s="247">
        <v>168450</v>
      </c>
      <c r="B2811" s="250" t="s">
        <v>1374</v>
      </c>
      <c r="C2811" s="143" t="s">
        <v>49</v>
      </c>
      <c r="D2811" s="260" t="s">
        <v>302</v>
      </c>
      <c r="E2811" s="250"/>
      <c r="F2811" s="250"/>
    </row>
    <row r="2812" spans="1:7" s="113" customFormat="1" x14ac:dyDescent="0.25">
      <c r="A2812" s="190">
        <v>168454</v>
      </c>
      <c r="B2812" s="606" t="s">
        <v>3099</v>
      </c>
      <c r="C2812" s="606" t="s">
        <v>3100</v>
      </c>
      <c r="D2812" s="606" t="s">
        <v>2948</v>
      </c>
      <c r="E2812" s="606"/>
      <c r="F2812" s="606"/>
      <c r="G2812" s="607"/>
    </row>
    <row r="2813" spans="1:7" s="113" customFormat="1" x14ac:dyDescent="0.25">
      <c r="A2813" s="190">
        <v>168719</v>
      </c>
      <c r="B2813" s="606" t="s">
        <v>3179</v>
      </c>
      <c r="C2813" s="606" t="s">
        <v>167</v>
      </c>
      <c r="D2813" s="606" t="s">
        <v>173</v>
      </c>
      <c r="E2813" s="606"/>
      <c r="F2813" s="606"/>
    </row>
    <row r="2814" spans="1:7" s="113" customFormat="1" ht="26.25" x14ac:dyDescent="0.25">
      <c r="A2814" s="187">
        <v>168950</v>
      </c>
      <c r="B2814" s="188" t="s">
        <v>2871</v>
      </c>
      <c r="C2814" s="146" t="s">
        <v>2569</v>
      </c>
      <c r="D2814" s="148" t="s">
        <v>154</v>
      </c>
      <c r="E2814" s="606"/>
      <c r="F2814" s="606"/>
    </row>
    <row r="2815" spans="1:7" s="113" customFormat="1" x14ac:dyDescent="0.25">
      <c r="A2815" s="301">
        <v>168950</v>
      </c>
      <c r="B2815" s="608" t="s">
        <v>2871</v>
      </c>
      <c r="C2815" s="608" t="s">
        <v>16</v>
      </c>
      <c r="D2815" s="608" t="s">
        <v>154</v>
      </c>
      <c r="E2815" s="608"/>
      <c r="F2815" s="608"/>
    </row>
    <row r="2816" spans="1:7" s="113" customFormat="1" ht="26.25" x14ac:dyDescent="0.25">
      <c r="A2816" s="247">
        <v>169219</v>
      </c>
      <c r="B2816" s="250" t="s">
        <v>1432</v>
      </c>
      <c r="C2816" s="143" t="s">
        <v>16</v>
      </c>
      <c r="D2816" s="260" t="s">
        <v>154</v>
      </c>
      <c r="E2816" s="250"/>
      <c r="F2816" s="250"/>
    </row>
    <row r="2817" spans="1:8" s="113" customFormat="1" x14ac:dyDescent="0.25">
      <c r="A2817" s="247">
        <v>169271</v>
      </c>
      <c r="B2817" s="250" t="s">
        <v>1265</v>
      </c>
      <c r="C2817" s="143" t="s">
        <v>64</v>
      </c>
      <c r="D2817" s="260" t="s">
        <v>237</v>
      </c>
      <c r="E2817" s="250"/>
      <c r="F2817" s="250"/>
    </row>
    <row r="2818" spans="1:8" s="113" customFormat="1" x14ac:dyDescent="0.25">
      <c r="A2818" s="190">
        <v>169369</v>
      </c>
      <c r="B2818" s="188" t="s">
        <v>2803</v>
      </c>
      <c r="C2818" s="606" t="s">
        <v>144</v>
      </c>
      <c r="D2818" s="606" t="s">
        <v>173</v>
      </c>
      <c r="E2818" s="606"/>
      <c r="F2818" s="606"/>
    </row>
    <row r="2819" spans="1:8" s="113" customFormat="1" ht="26.25" x14ac:dyDescent="0.25">
      <c r="A2819" s="195">
        <v>169369</v>
      </c>
      <c r="B2819" s="188" t="s">
        <v>2803</v>
      </c>
      <c r="C2819" s="146" t="s">
        <v>144</v>
      </c>
      <c r="D2819" s="146" t="s">
        <v>173</v>
      </c>
      <c r="E2819" s="606"/>
      <c r="F2819" s="606"/>
      <c r="H2819" s="607"/>
    </row>
    <row r="2820" spans="1:8" s="113" customFormat="1" x14ac:dyDescent="0.25">
      <c r="A2820" s="195">
        <v>169370</v>
      </c>
      <c r="B2820" s="188" t="s">
        <v>2984</v>
      </c>
      <c r="C2820" s="146" t="s">
        <v>140</v>
      </c>
      <c r="D2820" s="606" t="s">
        <v>109</v>
      </c>
      <c r="E2820" s="606"/>
      <c r="F2820" s="187"/>
    </row>
    <row r="2821" spans="1:8" s="113" customFormat="1" x14ac:dyDescent="0.25">
      <c r="A2821" s="247">
        <v>169477</v>
      </c>
      <c r="B2821" s="250" t="s">
        <v>1411</v>
      </c>
      <c r="C2821" s="143" t="s">
        <v>32</v>
      </c>
      <c r="D2821" s="143" t="s">
        <v>116</v>
      </c>
      <c r="E2821" s="250"/>
      <c r="F2821" s="250"/>
    </row>
    <row r="2822" spans="1:8" s="113" customFormat="1" ht="26.25" x14ac:dyDescent="0.25">
      <c r="A2822" s="247">
        <v>169532</v>
      </c>
      <c r="B2822" s="250" t="s">
        <v>1391</v>
      </c>
      <c r="C2822" s="143" t="s">
        <v>5</v>
      </c>
      <c r="D2822" s="258" t="s">
        <v>242</v>
      </c>
      <c r="E2822" s="250"/>
      <c r="F2822" s="250"/>
    </row>
    <row r="2823" spans="1:8" s="113" customFormat="1" x14ac:dyDescent="0.25">
      <c r="A2823" s="187">
        <v>169667</v>
      </c>
      <c r="B2823" s="188" t="s">
        <v>2719</v>
      </c>
      <c r="C2823" s="146" t="s">
        <v>32</v>
      </c>
      <c r="D2823" s="148" t="s">
        <v>154</v>
      </c>
      <c r="E2823" s="606"/>
      <c r="F2823" s="606"/>
    </row>
    <row r="2824" spans="1:8" s="113" customFormat="1" ht="26.25" x14ac:dyDescent="0.25">
      <c r="A2824" s="247">
        <v>169738</v>
      </c>
      <c r="B2824" s="248" t="s">
        <v>1495</v>
      </c>
      <c r="C2824" s="143" t="s">
        <v>144</v>
      </c>
      <c r="D2824" s="244" t="s">
        <v>173</v>
      </c>
      <c r="E2824" s="248"/>
      <c r="F2824" s="248"/>
    </row>
    <row r="2825" spans="1:8" s="113" customFormat="1" ht="26.25" x14ac:dyDescent="0.25">
      <c r="A2825" s="141">
        <v>169771</v>
      </c>
      <c r="B2825" s="142" t="s">
        <v>1116</v>
      </c>
      <c r="C2825" s="143" t="s">
        <v>16</v>
      </c>
      <c r="D2825" s="143" t="s">
        <v>242</v>
      </c>
      <c r="E2825" s="142"/>
      <c r="F2825" s="142"/>
    </row>
    <row r="2826" spans="1:8" s="113" customFormat="1" x14ac:dyDescent="0.25">
      <c r="A2826" s="247">
        <v>169805</v>
      </c>
      <c r="B2826" s="250" t="s">
        <v>1580</v>
      </c>
      <c r="C2826" s="143" t="s">
        <v>140</v>
      </c>
      <c r="D2826" s="143" t="s">
        <v>453</v>
      </c>
      <c r="E2826" s="250"/>
      <c r="F2826" s="250"/>
    </row>
    <row r="2827" spans="1:8" s="113" customFormat="1" ht="26.25" x14ac:dyDescent="0.25">
      <c r="A2827" s="247">
        <v>169832</v>
      </c>
      <c r="B2827" s="250" t="s">
        <v>1316</v>
      </c>
      <c r="C2827" s="143" t="s">
        <v>144</v>
      </c>
      <c r="D2827" s="260" t="s">
        <v>171</v>
      </c>
      <c r="E2827" s="250"/>
      <c r="F2827" s="250"/>
    </row>
    <row r="2828" spans="1:8" s="113" customFormat="1" x14ac:dyDescent="0.25">
      <c r="A2828" s="190">
        <v>170269</v>
      </c>
      <c r="B2828" s="606" t="s">
        <v>3198</v>
      </c>
      <c r="C2828" s="606" t="s">
        <v>914</v>
      </c>
      <c r="D2828" s="606" t="s">
        <v>116</v>
      </c>
      <c r="E2828" s="606"/>
      <c r="F2828" s="606"/>
      <c r="H2828" s="607"/>
    </row>
    <row r="2829" spans="1:8" s="113" customFormat="1" x14ac:dyDescent="0.25">
      <c r="A2829" s="301">
        <v>170269</v>
      </c>
      <c r="B2829" s="608" t="s">
        <v>3198</v>
      </c>
      <c r="C2829" s="608" t="s">
        <v>914</v>
      </c>
      <c r="D2829" s="608" t="s">
        <v>116</v>
      </c>
      <c r="E2829" s="608"/>
      <c r="F2829" s="608"/>
    </row>
    <row r="2830" spans="1:8" s="113" customFormat="1" x14ac:dyDescent="0.25">
      <c r="A2830" s="141">
        <v>170725</v>
      </c>
      <c r="B2830" s="142" t="s">
        <v>2471</v>
      </c>
      <c r="C2830" s="143" t="s">
        <v>63</v>
      </c>
      <c r="D2830" s="143" t="s">
        <v>551</v>
      </c>
      <c r="E2830" s="142"/>
      <c r="F2830" s="142"/>
    </row>
    <row r="2831" spans="1:8" s="113" customFormat="1" x14ac:dyDescent="0.25">
      <c r="A2831" s="190">
        <v>170809</v>
      </c>
      <c r="B2831" s="606" t="s">
        <v>2744</v>
      </c>
      <c r="C2831" s="606" t="s">
        <v>5</v>
      </c>
      <c r="D2831" s="606" t="s">
        <v>154</v>
      </c>
      <c r="E2831" s="606"/>
      <c r="F2831" s="606"/>
    </row>
    <row r="2832" spans="1:8" s="113" customFormat="1" x14ac:dyDescent="0.25">
      <c r="A2832" s="141">
        <v>171152</v>
      </c>
      <c r="B2832" s="142" t="s">
        <v>1030</v>
      </c>
      <c r="C2832" s="143" t="s">
        <v>73</v>
      </c>
      <c r="D2832" s="143" t="s">
        <v>242</v>
      </c>
      <c r="E2832" s="142"/>
      <c r="F2832" s="142"/>
    </row>
    <row r="2833" spans="1:8" s="113" customFormat="1" ht="26.25" x14ac:dyDescent="0.25">
      <c r="A2833" s="141">
        <v>171530</v>
      </c>
      <c r="B2833" s="142" t="s">
        <v>1117</v>
      </c>
      <c r="C2833" s="143" t="s">
        <v>120</v>
      </c>
      <c r="D2833" s="143" t="s">
        <v>242</v>
      </c>
      <c r="E2833" s="142"/>
      <c r="F2833" s="142"/>
    </row>
    <row r="2834" spans="1:8" s="113" customFormat="1" x14ac:dyDescent="0.25">
      <c r="A2834" s="190">
        <v>171549</v>
      </c>
      <c r="B2834" s="606" t="s">
        <v>3168</v>
      </c>
      <c r="C2834" s="606" t="s">
        <v>8</v>
      </c>
      <c r="D2834" s="606" t="s">
        <v>7</v>
      </c>
      <c r="E2834" s="606"/>
      <c r="F2834" s="606"/>
      <c r="H2834" s="607"/>
    </row>
    <row r="2835" spans="1:8" s="113" customFormat="1" x14ac:dyDescent="0.25">
      <c r="A2835" s="187">
        <v>171549</v>
      </c>
      <c r="B2835" s="187" t="s">
        <v>3168</v>
      </c>
      <c r="C2835" s="187" t="s">
        <v>8</v>
      </c>
      <c r="D2835" s="187" t="s">
        <v>7</v>
      </c>
      <c r="E2835" s="187"/>
      <c r="F2835" s="187"/>
    </row>
    <row r="2836" spans="1:8" s="113" customFormat="1" x14ac:dyDescent="0.25">
      <c r="A2836" s="187">
        <v>171549</v>
      </c>
      <c r="B2836" s="187" t="s">
        <v>3168</v>
      </c>
      <c r="C2836" s="187" t="s">
        <v>8</v>
      </c>
      <c r="D2836" s="187" t="s">
        <v>7</v>
      </c>
      <c r="E2836" s="187"/>
      <c r="F2836" s="187"/>
    </row>
    <row r="2837" spans="1:8" s="113" customFormat="1" x14ac:dyDescent="0.25">
      <c r="A2837" s="190">
        <v>172222</v>
      </c>
      <c r="B2837" s="606" t="s">
        <v>3213</v>
      </c>
      <c r="C2837" s="606" t="s">
        <v>3214</v>
      </c>
      <c r="D2837" s="606" t="s">
        <v>154</v>
      </c>
      <c r="E2837" s="606"/>
      <c r="F2837" s="606"/>
    </row>
    <row r="2838" spans="1:8" s="113" customFormat="1" x14ac:dyDescent="0.25">
      <c r="A2838" s="141">
        <v>172223</v>
      </c>
      <c r="B2838" s="142" t="s">
        <v>1031</v>
      </c>
      <c r="C2838" s="149" t="s">
        <v>67</v>
      </c>
      <c r="D2838" s="143" t="s">
        <v>551</v>
      </c>
      <c r="E2838" s="142"/>
      <c r="F2838" s="142"/>
      <c r="G2838" s="607"/>
    </row>
    <row r="2839" spans="1:8" s="113" customFormat="1" ht="26.25" x14ac:dyDescent="0.25">
      <c r="A2839" s="187">
        <v>172233</v>
      </c>
      <c r="B2839" s="188" t="s">
        <v>2961</v>
      </c>
      <c r="C2839" s="146" t="s">
        <v>1478</v>
      </c>
      <c r="D2839" s="148" t="s">
        <v>173</v>
      </c>
      <c r="E2839" s="606"/>
      <c r="F2839" s="606"/>
    </row>
    <row r="2840" spans="1:8" s="113" customFormat="1" x14ac:dyDescent="0.25">
      <c r="A2840" s="141">
        <v>172383</v>
      </c>
      <c r="B2840" s="142" t="s">
        <v>2472</v>
      </c>
      <c r="C2840" s="143" t="s">
        <v>64</v>
      </c>
      <c r="D2840" s="143" t="s">
        <v>237</v>
      </c>
      <c r="E2840" s="142"/>
      <c r="F2840" s="142"/>
    </row>
    <row r="2841" spans="1:8" s="113" customFormat="1" x14ac:dyDescent="0.25">
      <c r="A2841" s="190">
        <v>172776</v>
      </c>
      <c r="B2841" s="188" t="s">
        <v>2557</v>
      </c>
      <c r="C2841" s="187" t="s">
        <v>63</v>
      </c>
      <c r="D2841" s="187" t="s">
        <v>154</v>
      </c>
      <c r="E2841" s="189"/>
      <c r="F2841" s="189"/>
    </row>
    <row r="2842" spans="1:8" s="113" customFormat="1" x14ac:dyDescent="0.25">
      <c r="A2842" s="187">
        <v>172776</v>
      </c>
      <c r="B2842" s="188" t="s">
        <v>2557</v>
      </c>
      <c r="C2842" s="146" t="s">
        <v>63</v>
      </c>
      <c r="D2842" s="148" t="s">
        <v>154</v>
      </c>
      <c r="E2842" s="606"/>
      <c r="F2842" s="606"/>
      <c r="H2842" s="607"/>
    </row>
    <row r="2843" spans="1:8" s="113" customFormat="1" x14ac:dyDescent="0.25">
      <c r="A2843" s="190">
        <v>173081</v>
      </c>
      <c r="B2843" s="188" t="s">
        <v>2562</v>
      </c>
      <c r="C2843" s="187" t="s">
        <v>10</v>
      </c>
      <c r="D2843" s="606" t="s">
        <v>2563</v>
      </c>
      <c r="E2843" s="606"/>
      <c r="F2843" s="606"/>
    </row>
    <row r="2844" spans="1:8" s="113" customFormat="1" ht="26.25" x14ac:dyDescent="0.25">
      <c r="A2844" s="187">
        <v>173088</v>
      </c>
      <c r="B2844" s="188" t="s">
        <v>2755</v>
      </c>
      <c r="C2844" s="146" t="s">
        <v>20</v>
      </c>
      <c r="D2844" s="146" t="s">
        <v>302</v>
      </c>
      <c r="E2844" s="606"/>
      <c r="F2844" s="606"/>
    </row>
    <row r="2845" spans="1:8" s="113" customFormat="1" x14ac:dyDescent="0.25">
      <c r="A2845" s="187">
        <v>173525</v>
      </c>
      <c r="B2845" s="187" t="s">
        <v>3597</v>
      </c>
      <c r="C2845" s="187" t="s">
        <v>5</v>
      </c>
      <c r="D2845" s="187" t="s">
        <v>3329</v>
      </c>
      <c r="E2845" s="187"/>
      <c r="F2845" s="187"/>
    </row>
    <row r="2846" spans="1:8" s="113" customFormat="1" x14ac:dyDescent="0.25">
      <c r="A2846" s="141">
        <v>173736</v>
      </c>
      <c r="B2846" s="142" t="s">
        <v>2473</v>
      </c>
      <c r="C2846" s="143" t="s">
        <v>24</v>
      </c>
      <c r="D2846" s="143" t="s">
        <v>268</v>
      </c>
      <c r="E2846" s="142"/>
      <c r="F2846" s="142"/>
    </row>
    <row r="2847" spans="1:8" s="113" customFormat="1" x14ac:dyDescent="0.25">
      <c r="A2847" s="141">
        <v>173827</v>
      </c>
      <c r="B2847" s="187" t="s">
        <v>3480</v>
      </c>
      <c r="C2847" s="606"/>
      <c r="D2847" s="606"/>
      <c r="E2847" s="189"/>
      <c r="F2847" s="187"/>
    </row>
    <row r="2848" spans="1:8" s="113" customFormat="1" ht="26.25" x14ac:dyDescent="0.25">
      <c r="A2848" s="190">
        <v>173827</v>
      </c>
      <c r="B2848" s="190" t="s">
        <v>3480</v>
      </c>
      <c r="C2848" s="143" t="s">
        <v>22</v>
      </c>
      <c r="D2848" s="187" t="s">
        <v>154</v>
      </c>
      <c r="E2848" s="189"/>
      <c r="F2848" s="606"/>
      <c r="G2848" s="607"/>
      <c r="H2848" s="607"/>
    </row>
    <row r="2849" spans="1:8" s="113" customFormat="1" x14ac:dyDescent="0.25">
      <c r="A2849" s="190">
        <v>173892</v>
      </c>
      <c r="B2849" s="188" t="s">
        <v>2630</v>
      </c>
      <c r="C2849" s="606" t="s">
        <v>36</v>
      </c>
      <c r="D2849" s="606" t="s">
        <v>1131</v>
      </c>
      <c r="E2849" s="189"/>
      <c r="F2849" s="189"/>
    </row>
    <row r="2850" spans="1:8" s="113" customFormat="1" x14ac:dyDescent="0.25">
      <c r="A2850" s="261">
        <v>173908</v>
      </c>
      <c r="B2850" s="188" t="s">
        <v>2611</v>
      </c>
      <c r="C2850" s="146" t="s">
        <v>64</v>
      </c>
      <c r="D2850" s="187" t="s">
        <v>154</v>
      </c>
      <c r="E2850" s="606"/>
      <c r="F2850" s="187"/>
    </row>
    <row r="2851" spans="1:8" s="113" customFormat="1" ht="26.25" x14ac:dyDescent="0.25">
      <c r="A2851" s="195">
        <v>173979</v>
      </c>
      <c r="B2851" s="188" t="s">
        <v>2858</v>
      </c>
      <c r="C2851" s="146" t="s">
        <v>2859</v>
      </c>
      <c r="D2851" s="146" t="s">
        <v>302</v>
      </c>
      <c r="E2851" s="189"/>
      <c r="F2851" s="189"/>
    </row>
    <row r="2852" spans="1:8" s="113" customFormat="1" x14ac:dyDescent="0.25">
      <c r="A2852" s="190">
        <v>174014</v>
      </c>
      <c r="B2852" s="606" t="s">
        <v>3208</v>
      </c>
      <c r="C2852" s="606" t="s">
        <v>3209</v>
      </c>
      <c r="D2852" s="606" t="s">
        <v>302</v>
      </c>
      <c r="E2852" s="606"/>
      <c r="F2852" s="606"/>
    </row>
    <row r="2853" spans="1:8" s="113" customFormat="1" x14ac:dyDescent="0.25">
      <c r="A2853" s="190">
        <v>174049</v>
      </c>
      <c r="B2853" s="606" t="s">
        <v>3155</v>
      </c>
      <c r="C2853" s="606" t="s">
        <v>1398</v>
      </c>
      <c r="D2853" s="606" t="s">
        <v>154</v>
      </c>
      <c r="E2853" s="606"/>
      <c r="F2853" s="606"/>
    </row>
    <row r="2854" spans="1:8" s="113" customFormat="1" x14ac:dyDescent="0.25">
      <c r="A2854" s="190">
        <v>174049</v>
      </c>
      <c r="B2854" s="606" t="s">
        <v>3155</v>
      </c>
      <c r="C2854" s="606" t="s">
        <v>1398</v>
      </c>
      <c r="D2854" s="606" t="s">
        <v>154</v>
      </c>
      <c r="E2854" s="606"/>
      <c r="F2854" s="606"/>
    </row>
    <row r="2855" spans="1:8" s="113" customFormat="1" x14ac:dyDescent="0.25">
      <c r="A2855" s="141">
        <v>174055</v>
      </c>
      <c r="B2855" s="142" t="s">
        <v>1480</v>
      </c>
      <c r="C2855" s="143" t="s">
        <v>64</v>
      </c>
      <c r="D2855" s="143" t="s">
        <v>242</v>
      </c>
      <c r="E2855" s="250"/>
      <c r="F2855" s="250"/>
    </row>
    <row r="2856" spans="1:8" s="113" customFormat="1" ht="26.25" x14ac:dyDescent="0.25">
      <c r="A2856" s="141">
        <v>174122</v>
      </c>
      <c r="B2856" s="142" t="s">
        <v>1163</v>
      </c>
      <c r="C2856" s="143" t="s">
        <v>49</v>
      </c>
      <c r="D2856" s="143" t="s">
        <v>116</v>
      </c>
      <c r="E2856" s="142"/>
      <c r="F2856" s="142"/>
    </row>
    <row r="2857" spans="1:8" s="113" customFormat="1" x14ac:dyDescent="0.25">
      <c r="A2857" s="195">
        <v>174135</v>
      </c>
      <c r="B2857" s="187" t="s">
        <v>3058</v>
      </c>
      <c r="C2857" s="187" t="s">
        <v>914</v>
      </c>
      <c r="D2857" s="146" t="s">
        <v>302</v>
      </c>
      <c r="E2857" s="606"/>
      <c r="F2857" s="187"/>
      <c r="G2857" s="607"/>
      <c r="H2857" s="607"/>
    </row>
    <row r="2858" spans="1:8" s="113" customFormat="1" x14ac:dyDescent="0.25">
      <c r="A2858" s="141">
        <v>174312</v>
      </c>
      <c r="B2858" s="142" t="s">
        <v>1367</v>
      </c>
      <c r="C2858" s="143" t="s">
        <v>140</v>
      </c>
      <c r="D2858" s="143" t="s">
        <v>148</v>
      </c>
      <c r="E2858" s="142"/>
      <c r="F2858" s="142"/>
    </row>
    <row r="2859" spans="1:8" s="113" customFormat="1" x14ac:dyDescent="0.25">
      <c r="A2859" s="141">
        <v>174347</v>
      </c>
      <c r="B2859" s="190" t="s">
        <v>3032</v>
      </c>
      <c r="C2859" s="190" t="s">
        <v>3037</v>
      </c>
      <c r="D2859" s="148" t="s">
        <v>148</v>
      </c>
      <c r="E2859" s="190"/>
      <c r="F2859" s="190"/>
    </row>
    <row r="2860" spans="1:8" s="113" customFormat="1" x14ac:dyDescent="0.25">
      <c r="A2860" s="245">
        <v>174435</v>
      </c>
      <c r="B2860" s="246" t="s">
        <v>2654</v>
      </c>
      <c r="C2860" s="246" t="s">
        <v>12</v>
      </c>
      <c r="D2860" s="246" t="s">
        <v>11</v>
      </c>
      <c r="E2860" s="246"/>
      <c r="F2860" s="246"/>
    </row>
    <row r="2861" spans="1:8" s="113" customFormat="1" x14ac:dyDescent="0.25">
      <c r="A2861" s="195">
        <v>174435</v>
      </c>
      <c r="B2861" s="187" t="s">
        <v>2654</v>
      </c>
      <c r="C2861" s="187" t="s">
        <v>12</v>
      </c>
      <c r="D2861" s="146" t="s">
        <v>11</v>
      </c>
      <c r="E2861" s="606"/>
      <c r="F2861" s="606"/>
    </row>
    <row r="2862" spans="1:8" s="113" customFormat="1" x14ac:dyDescent="0.25">
      <c r="A2862" s="195">
        <v>174494</v>
      </c>
      <c r="B2862" s="187" t="s">
        <v>3118</v>
      </c>
      <c r="C2862" s="606"/>
      <c r="D2862" s="606"/>
      <c r="E2862" s="606"/>
      <c r="F2862" s="187"/>
      <c r="G2862" s="229"/>
    </row>
    <row r="2863" spans="1:8" s="113" customFormat="1" x14ac:dyDescent="0.25">
      <c r="A2863" s="195">
        <v>174617</v>
      </c>
      <c r="B2863" s="187" t="s">
        <v>3541</v>
      </c>
      <c r="C2863" s="187" t="s">
        <v>144</v>
      </c>
      <c r="D2863" s="146" t="s">
        <v>173</v>
      </c>
      <c r="E2863" s="606"/>
      <c r="F2863" s="187"/>
      <c r="G2863" s="607"/>
      <c r="H2863" s="607"/>
    </row>
    <row r="2864" spans="1:8" s="113" customFormat="1" x14ac:dyDescent="0.25">
      <c r="A2864" s="187">
        <v>174617</v>
      </c>
      <c r="B2864" s="187" t="s">
        <v>3541</v>
      </c>
      <c r="C2864" s="187" t="s">
        <v>144</v>
      </c>
      <c r="D2864" s="187" t="s">
        <v>173</v>
      </c>
      <c r="E2864" s="187"/>
      <c r="F2864" s="187"/>
    </row>
    <row r="2865" spans="1:8" s="113" customFormat="1" x14ac:dyDescent="0.25">
      <c r="A2865" s="141">
        <v>174739</v>
      </c>
      <c r="B2865" s="142" t="s">
        <v>1032</v>
      </c>
      <c r="C2865" s="143" t="s">
        <v>63</v>
      </c>
      <c r="D2865" s="143" t="s">
        <v>242</v>
      </c>
      <c r="E2865" s="142"/>
      <c r="F2865" s="142"/>
    </row>
    <row r="2866" spans="1:8" s="113" customFormat="1" x14ac:dyDescent="0.25">
      <c r="A2866" s="141">
        <v>174901</v>
      </c>
      <c r="B2866" s="142" t="s">
        <v>1326</v>
      </c>
      <c r="C2866" s="143" t="s">
        <v>12</v>
      </c>
      <c r="D2866" s="143" t="s">
        <v>1105</v>
      </c>
      <c r="E2866" s="250"/>
      <c r="F2866" s="250"/>
    </row>
    <row r="2867" spans="1:8" s="113" customFormat="1" x14ac:dyDescent="0.25">
      <c r="A2867" s="190">
        <v>174944</v>
      </c>
      <c r="B2867" s="606" t="s">
        <v>3373</v>
      </c>
      <c r="C2867" s="606" t="s">
        <v>914</v>
      </c>
      <c r="D2867" s="606" t="s">
        <v>116</v>
      </c>
      <c r="E2867" s="606"/>
      <c r="F2867" s="606"/>
    </row>
    <row r="2868" spans="1:8" s="113" customFormat="1" x14ac:dyDescent="0.25">
      <c r="A2868" s="190">
        <v>174944</v>
      </c>
      <c r="B2868" s="606" t="s">
        <v>3373</v>
      </c>
      <c r="C2868" s="606" t="s">
        <v>914</v>
      </c>
      <c r="D2868" s="606" t="s">
        <v>116</v>
      </c>
      <c r="E2868" s="606"/>
      <c r="F2868" s="606"/>
    </row>
    <row r="2869" spans="1:8" s="113" customFormat="1" x14ac:dyDescent="0.25">
      <c r="A2869" s="190">
        <v>174944</v>
      </c>
      <c r="B2869" s="187" t="s">
        <v>3373</v>
      </c>
      <c r="C2869" s="187" t="s">
        <v>914</v>
      </c>
      <c r="D2869" s="606" t="s">
        <v>116</v>
      </c>
      <c r="E2869" s="606"/>
      <c r="F2869" s="606"/>
      <c r="G2869" s="607"/>
      <c r="H2869" s="607"/>
    </row>
    <row r="2870" spans="1:8" s="113" customFormat="1" x14ac:dyDescent="0.25">
      <c r="A2870" s="141">
        <v>174955</v>
      </c>
      <c r="B2870" s="142" t="s">
        <v>1308</v>
      </c>
      <c r="C2870" s="143" t="s">
        <v>17</v>
      </c>
      <c r="D2870" s="143" t="s">
        <v>154</v>
      </c>
      <c r="E2870" s="250"/>
      <c r="F2870" s="250"/>
    </row>
    <row r="2871" spans="1:8" s="113" customFormat="1" ht="26.25" x14ac:dyDescent="0.25">
      <c r="A2871" s="141">
        <v>174974</v>
      </c>
      <c r="B2871" s="142" t="s">
        <v>2474</v>
      </c>
      <c r="C2871" s="143" t="s">
        <v>20</v>
      </c>
      <c r="D2871" s="143" t="s">
        <v>302</v>
      </c>
      <c r="E2871" s="250"/>
      <c r="F2871" s="250"/>
    </row>
    <row r="2872" spans="1:8" s="113" customFormat="1" x14ac:dyDescent="0.25">
      <c r="A2872" s="141">
        <v>175057</v>
      </c>
      <c r="B2872" s="142" t="s">
        <v>2475</v>
      </c>
      <c r="C2872" s="143" t="s">
        <v>24</v>
      </c>
      <c r="D2872" s="143" t="s">
        <v>967</v>
      </c>
      <c r="E2872" s="142"/>
      <c r="F2872" s="142"/>
    </row>
    <row r="2873" spans="1:8" s="113" customFormat="1" x14ac:dyDescent="0.25">
      <c r="A2873" s="190">
        <v>175133</v>
      </c>
      <c r="B2873" s="606" t="s">
        <v>3152</v>
      </c>
      <c r="C2873" s="606" t="s">
        <v>2583</v>
      </c>
      <c r="D2873" s="606" t="s">
        <v>504</v>
      </c>
      <c r="E2873" s="606"/>
      <c r="F2873" s="606"/>
      <c r="G2873" s="607"/>
    </row>
    <row r="2874" spans="1:8" s="113" customFormat="1" x14ac:dyDescent="0.25">
      <c r="A2874" s="190">
        <v>175133</v>
      </c>
      <c r="B2874" s="606" t="s">
        <v>3152</v>
      </c>
      <c r="C2874" s="606" t="s">
        <v>2583</v>
      </c>
      <c r="D2874" s="606" t="s">
        <v>3398</v>
      </c>
      <c r="E2874" s="606"/>
      <c r="F2874" s="606"/>
    </row>
    <row r="2875" spans="1:8" s="113" customFormat="1" x14ac:dyDescent="0.25">
      <c r="A2875" s="190">
        <v>175236</v>
      </c>
      <c r="B2875" s="606" t="s">
        <v>3175</v>
      </c>
      <c r="C2875" s="606" t="s">
        <v>3039</v>
      </c>
      <c r="D2875" s="606" t="s">
        <v>242</v>
      </c>
      <c r="E2875" s="606"/>
      <c r="F2875" s="606"/>
      <c r="G2875" s="607"/>
    </row>
    <row r="2876" spans="1:8" s="113" customFormat="1" x14ac:dyDescent="0.25">
      <c r="A2876" s="245">
        <v>175249</v>
      </c>
      <c r="B2876" s="246" t="s">
        <v>2626</v>
      </c>
      <c r="C2876" s="246" t="s">
        <v>1455</v>
      </c>
      <c r="D2876" s="246" t="s">
        <v>415</v>
      </c>
      <c r="E2876" s="246"/>
      <c r="F2876" s="246"/>
    </row>
    <row r="2877" spans="1:8" s="113" customFormat="1" x14ac:dyDescent="0.25">
      <c r="A2877" s="195">
        <v>175249</v>
      </c>
      <c r="B2877" s="188" t="s">
        <v>2626</v>
      </c>
      <c r="C2877" s="146" t="s">
        <v>1455</v>
      </c>
      <c r="D2877" s="146" t="s">
        <v>415</v>
      </c>
      <c r="E2877" s="606"/>
      <c r="F2877" s="606"/>
    </row>
    <row r="2878" spans="1:8" s="113" customFormat="1" ht="26.25" x14ac:dyDescent="0.25">
      <c r="A2878" s="141">
        <v>175342</v>
      </c>
      <c r="B2878" s="142" t="s">
        <v>1185</v>
      </c>
      <c r="C2878" s="143" t="s">
        <v>417</v>
      </c>
      <c r="D2878" s="143" t="s">
        <v>415</v>
      </c>
      <c r="E2878" s="142"/>
      <c r="F2878" s="142"/>
    </row>
    <row r="2879" spans="1:8" s="113" customFormat="1" ht="26.25" x14ac:dyDescent="0.25">
      <c r="A2879" s="141">
        <v>175434</v>
      </c>
      <c r="B2879" s="142" t="s">
        <v>2476</v>
      </c>
      <c r="C2879" s="143" t="s">
        <v>6</v>
      </c>
      <c r="D2879" s="143" t="s">
        <v>154</v>
      </c>
      <c r="E2879" s="250"/>
      <c r="F2879" s="250"/>
    </row>
    <row r="2880" spans="1:8" s="113" customFormat="1" x14ac:dyDescent="0.25">
      <c r="A2880" s="187">
        <v>175587</v>
      </c>
      <c r="B2880" s="187" t="s">
        <v>3663</v>
      </c>
      <c r="C2880" s="187" t="s">
        <v>27</v>
      </c>
      <c r="D2880" s="146" t="s">
        <v>242</v>
      </c>
      <c r="E2880" s="606"/>
      <c r="F2880" s="187"/>
    </row>
    <row r="2881" spans="1:8" s="113" customFormat="1" ht="26.25" x14ac:dyDescent="0.25">
      <c r="A2881" s="141">
        <v>175599</v>
      </c>
      <c r="B2881" s="142" t="s">
        <v>2923</v>
      </c>
      <c r="C2881" s="143" t="s">
        <v>144</v>
      </c>
      <c r="D2881" s="143" t="s">
        <v>173</v>
      </c>
      <c r="E2881" s="250"/>
      <c r="F2881" s="250"/>
      <c r="G2881" s="229"/>
    </row>
    <row r="2882" spans="1:8" s="113" customFormat="1" x14ac:dyDescent="0.25">
      <c r="A2882" s="245">
        <v>175635</v>
      </c>
      <c r="B2882" s="246" t="s">
        <v>2685</v>
      </c>
      <c r="C2882" s="246" t="s">
        <v>3</v>
      </c>
      <c r="D2882" s="246" t="s">
        <v>154</v>
      </c>
      <c r="E2882" s="246"/>
      <c r="F2882" s="246"/>
      <c r="G2882" s="607"/>
      <c r="H2882" s="607"/>
    </row>
    <row r="2883" spans="1:8" s="113" customFormat="1" x14ac:dyDescent="0.25">
      <c r="A2883" s="141">
        <v>175723</v>
      </c>
      <c r="B2883" s="142" t="s">
        <v>1309</v>
      </c>
      <c r="C2883" s="143" t="s">
        <v>84</v>
      </c>
      <c r="D2883" s="143" t="s">
        <v>7</v>
      </c>
      <c r="E2883" s="250"/>
      <c r="F2883" s="250"/>
    </row>
    <row r="2884" spans="1:8" s="113" customFormat="1" x14ac:dyDescent="0.25">
      <c r="A2884" s="195">
        <v>175792</v>
      </c>
      <c r="B2884" s="188" t="s">
        <v>2995</v>
      </c>
      <c r="C2884" s="146" t="s">
        <v>17</v>
      </c>
      <c r="D2884" s="146" t="s">
        <v>242</v>
      </c>
      <c r="E2884" s="606"/>
      <c r="F2884" s="187"/>
    </row>
    <row r="2885" spans="1:8" s="113" customFormat="1" x14ac:dyDescent="0.25">
      <c r="A2885" s="190">
        <v>176146</v>
      </c>
      <c r="B2885" s="606" t="s">
        <v>2927</v>
      </c>
      <c r="C2885" s="606" t="s">
        <v>1590</v>
      </c>
      <c r="D2885" s="606" t="s">
        <v>242</v>
      </c>
      <c r="E2885" s="606"/>
      <c r="F2885" s="606"/>
    </row>
    <row r="2886" spans="1:8" s="113" customFormat="1" ht="39" x14ac:dyDescent="0.25">
      <c r="A2886" s="195">
        <v>176146</v>
      </c>
      <c r="B2886" s="188" t="s">
        <v>2927</v>
      </c>
      <c r="C2886" s="146" t="s">
        <v>1590</v>
      </c>
      <c r="D2886" s="146" t="s">
        <v>242</v>
      </c>
      <c r="E2886" s="606"/>
      <c r="F2886" s="187"/>
    </row>
    <row r="2887" spans="1:8" s="113" customFormat="1" x14ac:dyDescent="0.25">
      <c r="A2887" s="190">
        <v>176215</v>
      </c>
      <c r="B2887" s="606" t="s">
        <v>3679</v>
      </c>
      <c r="C2887" s="606" t="s">
        <v>140</v>
      </c>
      <c r="D2887" s="606" t="s">
        <v>453</v>
      </c>
      <c r="E2887" s="189"/>
      <c r="F2887" s="606"/>
    </row>
    <row r="2888" spans="1:8" s="113" customFormat="1" x14ac:dyDescent="0.25">
      <c r="A2888" s="141">
        <v>176264</v>
      </c>
      <c r="B2888" s="142" t="s">
        <v>1103</v>
      </c>
      <c r="C2888" s="143" t="s">
        <v>10</v>
      </c>
      <c r="D2888" s="143" t="s">
        <v>11</v>
      </c>
      <c r="E2888" s="142"/>
      <c r="F2888" s="142"/>
    </row>
    <row r="2889" spans="1:8" s="113" customFormat="1" x14ac:dyDescent="0.25">
      <c r="A2889" s="195">
        <v>176274</v>
      </c>
      <c r="B2889" s="188" t="s">
        <v>2986</v>
      </c>
      <c r="C2889" s="146" t="s">
        <v>63</v>
      </c>
      <c r="D2889" s="146" t="s">
        <v>242</v>
      </c>
      <c r="E2889" s="606"/>
      <c r="F2889" s="187"/>
    </row>
    <row r="2890" spans="1:8" s="113" customFormat="1" x14ac:dyDescent="0.25">
      <c r="A2890" s="190">
        <v>176277</v>
      </c>
      <c r="B2890" s="188" t="s">
        <v>2592</v>
      </c>
      <c r="C2890" s="187" t="s">
        <v>120</v>
      </c>
      <c r="D2890" s="244" t="s">
        <v>415</v>
      </c>
      <c r="E2890" s="606"/>
      <c r="F2890" s="187"/>
    </row>
    <row r="2891" spans="1:8" s="113" customFormat="1" x14ac:dyDescent="0.25">
      <c r="A2891" s="141">
        <v>176339</v>
      </c>
      <c r="B2891" s="142" t="s">
        <v>1463</v>
      </c>
      <c r="C2891" s="143" t="s">
        <v>140</v>
      </c>
      <c r="D2891" s="143" t="s">
        <v>148</v>
      </c>
      <c r="E2891" s="142"/>
      <c r="F2891" s="142"/>
      <c r="G2891" s="607"/>
    </row>
    <row r="2892" spans="1:8" s="113" customFormat="1" x14ac:dyDescent="0.25">
      <c r="A2892" s="190">
        <v>176393</v>
      </c>
      <c r="B2892" s="606" t="s">
        <v>2952</v>
      </c>
      <c r="C2892" s="606" t="s">
        <v>6</v>
      </c>
      <c r="D2892" s="606" t="s">
        <v>154</v>
      </c>
      <c r="E2892" s="606"/>
      <c r="F2892" s="606"/>
      <c r="H2892" s="607"/>
    </row>
    <row r="2893" spans="1:8" s="113" customFormat="1" x14ac:dyDescent="0.25">
      <c r="A2893" s="141">
        <v>176393</v>
      </c>
      <c r="B2893" s="190" t="s">
        <v>2952</v>
      </c>
      <c r="C2893" s="190" t="s">
        <v>6</v>
      </c>
      <c r="D2893" s="148" t="s">
        <v>154</v>
      </c>
      <c r="E2893" s="190"/>
      <c r="F2893" s="190"/>
    </row>
    <row r="2894" spans="1:8" s="113" customFormat="1" x14ac:dyDescent="0.25">
      <c r="A2894" s="301">
        <v>176393</v>
      </c>
      <c r="B2894" s="608" t="s">
        <v>2952</v>
      </c>
      <c r="C2894" s="608" t="s">
        <v>6</v>
      </c>
      <c r="D2894" s="608" t="s">
        <v>154</v>
      </c>
      <c r="E2894" s="608"/>
      <c r="F2894" s="608"/>
    </row>
    <row r="2895" spans="1:8" s="113" customFormat="1" x14ac:dyDescent="0.25">
      <c r="A2895" s="190">
        <v>177054</v>
      </c>
      <c r="B2895" s="188" t="s">
        <v>2559</v>
      </c>
      <c r="C2895" s="187" t="s">
        <v>32</v>
      </c>
      <c r="D2895" s="244" t="s">
        <v>242</v>
      </c>
      <c r="E2895" s="187"/>
      <c r="F2895" s="187"/>
    </row>
    <row r="2896" spans="1:8" s="113" customFormat="1" x14ac:dyDescent="0.25">
      <c r="A2896" s="141">
        <v>177061</v>
      </c>
      <c r="B2896" s="142" t="s">
        <v>1150</v>
      </c>
      <c r="C2896" s="143" t="s">
        <v>73</v>
      </c>
      <c r="D2896" s="143" t="s">
        <v>242</v>
      </c>
      <c r="E2896" s="142"/>
      <c r="F2896" s="142"/>
      <c r="G2896" s="607"/>
      <c r="H2896" s="607"/>
    </row>
    <row r="2897" spans="1:8" s="113" customFormat="1" x14ac:dyDescent="0.25">
      <c r="A2897" s="141">
        <v>177363</v>
      </c>
      <c r="B2897" s="142" t="s">
        <v>1181</v>
      </c>
      <c r="C2897" s="143" t="s">
        <v>9</v>
      </c>
      <c r="D2897" s="143" t="s">
        <v>1105</v>
      </c>
      <c r="E2897" s="142"/>
      <c r="F2897" s="142"/>
    </row>
    <row r="2898" spans="1:8" s="113" customFormat="1" ht="26.25" x14ac:dyDescent="0.25">
      <c r="A2898" s="141">
        <v>177670</v>
      </c>
      <c r="B2898" s="142" t="s">
        <v>1182</v>
      </c>
      <c r="C2898" s="143" t="s">
        <v>27</v>
      </c>
      <c r="D2898" s="143" t="s">
        <v>154</v>
      </c>
      <c r="E2898" s="142"/>
      <c r="F2898" s="142"/>
    </row>
    <row r="2899" spans="1:8" s="113" customFormat="1" x14ac:dyDescent="0.25">
      <c r="A2899" s="141">
        <v>177921</v>
      </c>
      <c r="B2899" s="142" t="s">
        <v>2477</v>
      </c>
      <c r="C2899" s="143" t="s">
        <v>24</v>
      </c>
      <c r="D2899" s="143" t="s">
        <v>37</v>
      </c>
      <c r="E2899" s="142"/>
      <c r="F2899" s="142"/>
    </row>
    <row r="2900" spans="1:8" s="113" customFormat="1" x14ac:dyDescent="0.25">
      <c r="A2900" s="187">
        <v>177999</v>
      </c>
      <c r="B2900" s="606" t="s">
        <v>2627</v>
      </c>
      <c r="C2900" s="606" t="s">
        <v>120</v>
      </c>
      <c r="D2900" s="148" t="s">
        <v>242</v>
      </c>
      <c r="E2900" s="606"/>
      <c r="F2900" s="187"/>
      <c r="H2900" s="607"/>
    </row>
    <row r="2901" spans="1:8" s="113" customFormat="1" ht="26.25" x14ac:dyDescent="0.25">
      <c r="A2901" s="141">
        <v>178292</v>
      </c>
      <c r="B2901" s="142" t="s">
        <v>2478</v>
      </c>
      <c r="C2901" s="143" t="s">
        <v>65</v>
      </c>
      <c r="D2901" s="143" t="s">
        <v>302</v>
      </c>
      <c r="E2901" s="142"/>
      <c r="F2901" s="142"/>
    </row>
    <row r="2902" spans="1:8" s="113" customFormat="1" x14ac:dyDescent="0.25">
      <c r="A2902" s="195">
        <v>178345</v>
      </c>
      <c r="B2902" s="188" t="s">
        <v>3007</v>
      </c>
      <c r="C2902" s="146" t="s">
        <v>38</v>
      </c>
      <c r="D2902" s="148" t="s">
        <v>148</v>
      </c>
      <c r="E2902" s="606"/>
      <c r="F2902" s="187"/>
    </row>
    <row r="2903" spans="1:8" s="113" customFormat="1" x14ac:dyDescent="0.25">
      <c r="A2903" s="141">
        <v>178555</v>
      </c>
      <c r="B2903" s="142" t="s">
        <v>2658</v>
      </c>
      <c r="C2903" s="143" t="s">
        <v>140</v>
      </c>
      <c r="D2903" s="143" t="s">
        <v>453</v>
      </c>
      <c r="E2903" s="250"/>
      <c r="F2903" s="250"/>
    </row>
    <row r="2904" spans="1:8" s="113" customFormat="1" x14ac:dyDescent="0.25">
      <c r="A2904" s="187">
        <v>178576</v>
      </c>
      <c r="B2904" s="188" t="s">
        <v>2795</v>
      </c>
      <c r="C2904" s="146" t="s">
        <v>1455</v>
      </c>
      <c r="D2904" s="148" t="s">
        <v>415</v>
      </c>
      <c r="E2904" s="606"/>
      <c r="F2904" s="606"/>
    </row>
    <row r="2905" spans="1:8" s="113" customFormat="1" x14ac:dyDescent="0.25">
      <c r="A2905" s="141">
        <v>178784</v>
      </c>
      <c r="B2905" s="142" t="s">
        <v>1183</v>
      </c>
      <c r="C2905" s="143" t="s">
        <v>12</v>
      </c>
      <c r="D2905" s="143" t="s">
        <v>150</v>
      </c>
      <c r="E2905" s="142"/>
      <c r="F2905" s="142"/>
    </row>
    <row r="2906" spans="1:8" s="113" customFormat="1" x14ac:dyDescent="0.25">
      <c r="A2906" s="141">
        <v>178958</v>
      </c>
      <c r="B2906" s="142" t="s">
        <v>1033</v>
      </c>
      <c r="C2906" s="143" t="s">
        <v>47</v>
      </c>
      <c r="D2906" s="143" t="s">
        <v>7</v>
      </c>
      <c r="E2906" s="142"/>
      <c r="F2906" s="142"/>
    </row>
    <row r="2907" spans="1:8" s="113" customFormat="1" ht="26.25" x14ac:dyDescent="0.25">
      <c r="A2907" s="195">
        <v>179063</v>
      </c>
      <c r="B2907" s="188" t="s">
        <v>3010</v>
      </c>
      <c r="C2907" s="146" t="s">
        <v>16</v>
      </c>
      <c r="D2907" s="148" t="s">
        <v>302</v>
      </c>
      <c r="E2907" s="606"/>
      <c r="F2907" s="187"/>
    </row>
    <row r="2908" spans="1:8" s="113" customFormat="1" x14ac:dyDescent="0.25">
      <c r="A2908" s="187">
        <v>179188</v>
      </c>
      <c r="B2908" s="188" t="s">
        <v>2717</v>
      </c>
      <c r="C2908" s="146" t="s">
        <v>67</v>
      </c>
      <c r="D2908" s="148" t="s">
        <v>551</v>
      </c>
      <c r="E2908" s="606"/>
      <c r="F2908" s="606"/>
    </row>
    <row r="2909" spans="1:8" s="113" customFormat="1" ht="26.25" x14ac:dyDescent="0.25">
      <c r="A2909" s="141">
        <v>179213</v>
      </c>
      <c r="B2909" s="142" t="s">
        <v>1034</v>
      </c>
      <c r="C2909" s="143" t="s">
        <v>6</v>
      </c>
      <c r="D2909" s="251" t="s">
        <v>7</v>
      </c>
      <c r="E2909" s="142"/>
      <c r="F2909" s="142"/>
    </row>
    <row r="2910" spans="1:8" s="113" customFormat="1" x14ac:dyDescent="0.25">
      <c r="A2910" s="141">
        <v>179304</v>
      </c>
      <c r="B2910" s="142" t="s">
        <v>2479</v>
      </c>
      <c r="C2910" s="143" t="s">
        <v>41</v>
      </c>
      <c r="D2910" s="143" t="s">
        <v>242</v>
      </c>
      <c r="E2910" s="142"/>
      <c r="F2910" s="142"/>
    </row>
    <row r="2911" spans="1:8" s="113" customFormat="1" x14ac:dyDescent="0.25">
      <c r="A2911" s="141">
        <v>179693</v>
      </c>
      <c r="B2911" s="190" t="s">
        <v>3013</v>
      </c>
      <c r="C2911" s="190" t="s">
        <v>16</v>
      </c>
      <c r="D2911" s="190" t="s">
        <v>242</v>
      </c>
      <c r="E2911" s="190"/>
      <c r="F2911" s="190"/>
    </row>
    <row r="2912" spans="1:8" s="113" customFormat="1" x14ac:dyDescent="0.25">
      <c r="A2912" s="141">
        <v>179693</v>
      </c>
      <c r="B2912" s="190" t="s">
        <v>3013</v>
      </c>
      <c r="C2912" s="190" t="s">
        <v>16</v>
      </c>
      <c r="D2912" s="190" t="s">
        <v>242</v>
      </c>
      <c r="E2912" s="190"/>
      <c r="F2912" s="190"/>
      <c r="H2912" s="607"/>
    </row>
    <row r="2913" spans="1:7" s="113" customFormat="1" x14ac:dyDescent="0.25">
      <c r="A2913" s="187">
        <v>179812</v>
      </c>
      <c r="B2913" s="187" t="s">
        <v>3627</v>
      </c>
      <c r="C2913" s="187" t="s">
        <v>1478</v>
      </c>
      <c r="D2913" s="187" t="s">
        <v>173</v>
      </c>
      <c r="E2913" s="187"/>
      <c r="F2913" s="187"/>
    </row>
    <row r="2914" spans="1:7" s="113" customFormat="1" ht="26.25" x14ac:dyDescent="0.25">
      <c r="A2914" s="141">
        <v>179909</v>
      </c>
      <c r="B2914" s="142" t="s">
        <v>1368</v>
      </c>
      <c r="C2914" s="143" t="s">
        <v>120</v>
      </c>
      <c r="D2914" s="143" t="s">
        <v>11</v>
      </c>
      <c r="E2914" s="142"/>
      <c r="F2914" s="142"/>
    </row>
    <row r="2915" spans="1:7" s="113" customFormat="1" x14ac:dyDescent="0.25">
      <c r="A2915" s="261">
        <v>179913</v>
      </c>
      <c r="B2915" s="188" t="s">
        <v>2610</v>
      </c>
      <c r="C2915" s="146" t="s">
        <v>1455</v>
      </c>
      <c r="D2915" s="187" t="s">
        <v>415</v>
      </c>
      <c r="E2915" s="189"/>
      <c r="F2915" s="187"/>
    </row>
    <row r="2916" spans="1:7" s="113" customFormat="1" x14ac:dyDescent="0.25">
      <c r="A2916" s="190">
        <v>179966</v>
      </c>
      <c r="B2916" s="606" t="s">
        <v>2901</v>
      </c>
      <c r="C2916" s="606" t="s">
        <v>64</v>
      </c>
      <c r="D2916" s="606" t="s">
        <v>504</v>
      </c>
      <c r="E2916" s="189"/>
      <c r="F2916" s="606"/>
    </row>
    <row r="2917" spans="1:7" s="113" customFormat="1" x14ac:dyDescent="0.25">
      <c r="A2917" s="195">
        <v>180278</v>
      </c>
      <c r="B2917" s="187" t="s">
        <v>3246</v>
      </c>
      <c r="C2917" s="187" t="s">
        <v>32</v>
      </c>
      <c r="D2917" s="146" t="s">
        <v>154</v>
      </c>
      <c r="E2917" s="606"/>
      <c r="F2917" s="187"/>
    </row>
    <row r="2918" spans="1:7" s="113" customFormat="1" ht="26.25" x14ac:dyDescent="0.25">
      <c r="A2918" s="195">
        <v>180542</v>
      </c>
      <c r="B2918" s="188" t="s">
        <v>2934</v>
      </c>
      <c r="C2918" s="146" t="s">
        <v>5</v>
      </c>
      <c r="D2918" s="146" t="s">
        <v>242</v>
      </c>
      <c r="E2918" s="606"/>
      <c r="F2918" s="187"/>
      <c r="G2918" s="607"/>
    </row>
    <row r="2919" spans="1:7" s="113" customFormat="1" x14ac:dyDescent="0.25">
      <c r="A2919" s="190">
        <v>180542</v>
      </c>
      <c r="B2919" s="606" t="s">
        <v>2934</v>
      </c>
      <c r="C2919" s="606" t="s">
        <v>5</v>
      </c>
      <c r="D2919" s="606" t="s">
        <v>242</v>
      </c>
      <c r="E2919" s="606"/>
      <c r="F2919" s="606"/>
    </row>
    <row r="2920" spans="1:7" s="113" customFormat="1" x14ac:dyDescent="0.25">
      <c r="A2920" s="187">
        <v>180571</v>
      </c>
      <c r="B2920" s="187" t="s">
        <v>3655</v>
      </c>
      <c r="C2920" s="187" t="s">
        <v>10</v>
      </c>
      <c r="D2920" s="146" t="s">
        <v>242</v>
      </c>
      <c r="E2920" s="606"/>
      <c r="F2920" s="187"/>
    </row>
    <row r="2921" spans="1:7" s="113" customFormat="1" x14ac:dyDescent="0.25">
      <c r="A2921" s="187">
        <v>180614</v>
      </c>
      <c r="B2921" s="187" t="s">
        <v>3626</v>
      </c>
      <c r="C2921" s="187" t="s">
        <v>10</v>
      </c>
      <c r="D2921" s="187" t="s">
        <v>7</v>
      </c>
      <c r="E2921" s="187"/>
      <c r="F2921" s="187"/>
    </row>
    <row r="2922" spans="1:7" s="113" customFormat="1" ht="26.25" x14ac:dyDescent="0.25">
      <c r="A2922" s="141">
        <v>180716</v>
      </c>
      <c r="B2922" s="142" t="s">
        <v>1118</v>
      </c>
      <c r="C2922" s="143" t="s">
        <v>49</v>
      </c>
      <c r="D2922" s="143" t="s">
        <v>154</v>
      </c>
      <c r="E2922" s="142"/>
      <c r="F2922" s="142"/>
    </row>
    <row r="2923" spans="1:7" s="113" customFormat="1" ht="26.25" x14ac:dyDescent="0.25">
      <c r="A2923" s="141">
        <v>180883</v>
      </c>
      <c r="B2923" s="142" t="s">
        <v>3139</v>
      </c>
      <c r="C2923" s="143" t="s">
        <v>144</v>
      </c>
      <c r="D2923" s="143" t="s">
        <v>173</v>
      </c>
      <c r="E2923" s="142"/>
      <c r="F2923" s="142"/>
    </row>
    <row r="2924" spans="1:7" s="113" customFormat="1" x14ac:dyDescent="0.25">
      <c r="A2924" s="162">
        <v>181242</v>
      </c>
      <c r="B2924" s="250" t="s">
        <v>1409</v>
      </c>
      <c r="C2924" s="143" t="s">
        <v>17</v>
      </c>
      <c r="D2924" s="143" t="s">
        <v>242</v>
      </c>
      <c r="E2924" s="250"/>
      <c r="F2924" s="250"/>
    </row>
    <row r="2925" spans="1:7" s="113" customFormat="1" x14ac:dyDescent="0.25">
      <c r="A2925" s="247">
        <v>181642</v>
      </c>
      <c r="B2925" s="250" t="s">
        <v>1371</v>
      </c>
      <c r="C2925" s="143" t="s">
        <v>12</v>
      </c>
      <c r="D2925" s="260" t="s">
        <v>540</v>
      </c>
      <c r="E2925" s="250"/>
      <c r="F2925" s="250"/>
    </row>
    <row r="2926" spans="1:7" s="113" customFormat="1" ht="26.25" x14ac:dyDescent="0.25">
      <c r="A2926" s="141">
        <v>181812</v>
      </c>
      <c r="B2926" s="142" t="s">
        <v>1481</v>
      </c>
      <c r="C2926" s="143" t="s">
        <v>144</v>
      </c>
      <c r="D2926" s="143" t="s">
        <v>171</v>
      </c>
      <c r="E2926" s="250"/>
      <c r="F2926" s="250"/>
    </row>
    <row r="2927" spans="1:7" s="113" customFormat="1" x14ac:dyDescent="0.25">
      <c r="A2927" s="141">
        <v>181933</v>
      </c>
      <c r="B2927" s="142" t="s">
        <v>1446</v>
      </c>
      <c r="C2927" s="143" t="s">
        <v>17</v>
      </c>
      <c r="D2927" s="143" t="s">
        <v>832</v>
      </c>
      <c r="E2927" s="250"/>
      <c r="F2927" s="250"/>
    </row>
    <row r="2928" spans="1:7" s="113" customFormat="1" x14ac:dyDescent="0.25">
      <c r="A2928" s="141">
        <v>182112</v>
      </c>
      <c r="B2928" s="142" t="s">
        <v>1232</v>
      </c>
      <c r="C2928" s="143" t="s">
        <v>64</v>
      </c>
      <c r="D2928" s="143" t="s">
        <v>1133</v>
      </c>
      <c r="E2928" s="250"/>
      <c r="F2928" s="250"/>
    </row>
    <row r="2929" spans="1:7" s="113" customFormat="1" x14ac:dyDescent="0.25">
      <c r="A2929" s="195">
        <v>182665</v>
      </c>
      <c r="B2929" s="187" t="s">
        <v>3513</v>
      </c>
      <c r="C2929" s="187" t="s">
        <v>16</v>
      </c>
      <c r="D2929" s="148" t="s">
        <v>302</v>
      </c>
      <c r="E2929" s="189"/>
      <c r="F2929" s="187"/>
    </row>
    <row r="2930" spans="1:7" s="113" customFormat="1" x14ac:dyDescent="0.25">
      <c r="A2930" s="195">
        <v>182665</v>
      </c>
      <c r="B2930" s="187" t="s">
        <v>3513</v>
      </c>
      <c r="C2930" s="187" t="s">
        <v>16</v>
      </c>
      <c r="D2930" s="148" t="s">
        <v>302</v>
      </c>
      <c r="E2930" s="189"/>
      <c r="F2930" s="187"/>
    </row>
    <row r="2931" spans="1:7" s="113" customFormat="1" x14ac:dyDescent="0.25">
      <c r="A2931" s="187">
        <v>182832</v>
      </c>
      <c r="B2931" s="606" t="s">
        <v>2631</v>
      </c>
      <c r="C2931" s="606" t="s">
        <v>64</v>
      </c>
      <c r="D2931" s="606" t="s">
        <v>237</v>
      </c>
      <c r="E2931" s="606"/>
      <c r="F2931" s="187"/>
    </row>
    <row r="2932" spans="1:7" s="113" customFormat="1" ht="26.25" x14ac:dyDescent="0.25">
      <c r="A2932" s="187">
        <v>182849</v>
      </c>
      <c r="B2932" s="188" t="s">
        <v>2796</v>
      </c>
      <c r="C2932" s="146" t="s">
        <v>16</v>
      </c>
      <c r="D2932" s="148" t="s">
        <v>302</v>
      </c>
      <c r="E2932" s="606"/>
      <c r="F2932" s="606"/>
    </row>
    <row r="2933" spans="1:7" s="113" customFormat="1" x14ac:dyDescent="0.25">
      <c r="A2933" s="187">
        <v>182864</v>
      </c>
      <c r="B2933" s="188" t="s">
        <v>2957</v>
      </c>
      <c r="C2933" s="146" t="s">
        <v>167</v>
      </c>
      <c r="D2933" s="148" t="s">
        <v>173</v>
      </c>
      <c r="E2933" s="606"/>
      <c r="F2933" s="606"/>
    </row>
    <row r="2934" spans="1:7" s="113" customFormat="1" x14ac:dyDescent="0.25">
      <c r="A2934" s="195">
        <v>182864</v>
      </c>
      <c r="B2934" s="188" t="s">
        <v>2957</v>
      </c>
      <c r="C2934" s="146" t="s">
        <v>167</v>
      </c>
      <c r="D2934" s="146" t="s">
        <v>173</v>
      </c>
      <c r="E2934" s="606"/>
      <c r="F2934" s="187"/>
    </row>
    <row r="2935" spans="1:7" s="113" customFormat="1" ht="26.25" x14ac:dyDescent="0.25">
      <c r="A2935" s="247">
        <v>183329</v>
      </c>
      <c r="B2935" s="250" t="s">
        <v>1211</v>
      </c>
      <c r="C2935" s="143" t="s">
        <v>120</v>
      </c>
      <c r="D2935" s="260" t="s">
        <v>415</v>
      </c>
      <c r="E2935" s="250"/>
      <c r="F2935" s="250"/>
    </row>
    <row r="2936" spans="1:7" s="113" customFormat="1" ht="26.25" x14ac:dyDescent="0.25">
      <c r="A2936" s="187">
        <v>184399</v>
      </c>
      <c r="B2936" s="188" t="s">
        <v>2797</v>
      </c>
      <c r="C2936" s="146" t="s">
        <v>16</v>
      </c>
      <c r="D2936" s="148" t="s">
        <v>302</v>
      </c>
      <c r="E2936" s="606"/>
      <c r="F2936" s="606"/>
    </row>
    <row r="2937" spans="1:7" s="113" customFormat="1" x14ac:dyDescent="0.25">
      <c r="A2937" s="301">
        <v>184433</v>
      </c>
      <c r="B2937" s="608" t="s">
        <v>3360</v>
      </c>
      <c r="C2937" s="608" t="s">
        <v>140</v>
      </c>
      <c r="D2937" s="608" t="s">
        <v>453</v>
      </c>
      <c r="E2937" s="608"/>
      <c r="F2937" s="608"/>
    </row>
    <row r="2938" spans="1:7" s="113" customFormat="1" x14ac:dyDescent="0.25">
      <c r="A2938" s="141">
        <v>184462</v>
      </c>
      <c r="B2938" s="142" t="s">
        <v>2480</v>
      </c>
      <c r="C2938" s="143" t="s">
        <v>101</v>
      </c>
      <c r="D2938" s="143" t="s">
        <v>504</v>
      </c>
      <c r="E2938" s="142"/>
      <c r="F2938" s="142"/>
    </row>
    <row r="2939" spans="1:7" s="113" customFormat="1" x14ac:dyDescent="0.25">
      <c r="A2939" s="141">
        <v>184610</v>
      </c>
      <c r="B2939" s="142" t="s">
        <v>1035</v>
      </c>
      <c r="C2939" s="143" t="s">
        <v>38</v>
      </c>
      <c r="D2939" s="143" t="s">
        <v>148</v>
      </c>
      <c r="E2939" s="142"/>
      <c r="F2939" s="142"/>
    </row>
    <row r="2940" spans="1:7" s="113" customFormat="1" x14ac:dyDescent="0.25">
      <c r="A2940" s="190">
        <v>184615</v>
      </c>
      <c r="B2940" s="187" t="s">
        <v>2895</v>
      </c>
      <c r="C2940" s="606" t="s">
        <v>64</v>
      </c>
      <c r="D2940" s="606" t="s">
        <v>37</v>
      </c>
      <c r="E2940" s="606"/>
      <c r="F2940" s="606"/>
      <c r="G2940" s="607"/>
    </row>
    <row r="2941" spans="1:7" s="113" customFormat="1" x14ac:dyDescent="0.25">
      <c r="A2941" s="173">
        <v>184615</v>
      </c>
      <c r="B2941" s="606" t="s">
        <v>2895</v>
      </c>
      <c r="C2941" s="606" t="s">
        <v>64</v>
      </c>
      <c r="D2941" s="606" t="s">
        <v>37</v>
      </c>
      <c r="E2941" s="606"/>
      <c r="F2941" s="606"/>
    </row>
    <row r="2942" spans="1:7" s="113" customFormat="1" x14ac:dyDescent="0.25">
      <c r="A2942" s="190">
        <v>184615</v>
      </c>
      <c r="B2942" s="606" t="s">
        <v>2895</v>
      </c>
      <c r="C2942" s="606" t="s">
        <v>64</v>
      </c>
      <c r="D2942" s="606" t="s">
        <v>37</v>
      </c>
      <c r="E2942" s="189"/>
      <c r="F2942" s="606"/>
    </row>
    <row r="2943" spans="1:7" s="113" customFormat="1" x14ac:dyDescent="0.25">
      <c r="A2943" s="247">
        <v>184651</v>
      </c>
      <c r="B2943" s="250" t="s">
        <v>1582</v>
      </c>
      <c r="C2943" s="143" t="s">
        <v>38</v>
      </c>
      <c r="D2943" s="148" t="s">
        <v>453</v>
      </c>
      <c r="E2943" s="250"/>
      <c r="F2943" s="250"/>
    </row>
    <row r="2944" spans="1:7" s="113" customFormat="1" x14ac:dyDescent="0.25">
      <c r="A2944" s="195">
        <v>184669</v>
      </c>
      <c r="B2944" s="187" t="s">
        <v>3510</v>
      </c>
      <c r="C2944" s="187" t="s">
        <v>5</v>
      </c>
      <c r="D2944" s="148" t="s">
        <v>242</v>
      </c>
      <c r="E2944" s="606"/>
      <c r="F2944" s="187"/>
    </row>
    <row r="2945" spans="1:8" s="113" customFormat="1" x14ac:dyDescent="0.25">
      <c r="A2945" s="195">
        <v>184669</v>
      </c>
      <c r="B2945" s="187" t="s">
        <v>3510</v>
      </c>
      <c r="C2945" s="187" t="s">
        <v>5</v>
      </c>
      <c r="D2945" s="146" t="s">
        <v>242</v>
      </c>
      <c r="E2945" s="606"/>
      <c r="F2945" s="187"/>
      <c r="G2945" s="607"/>
    </row>
    <row r="2946" spans="1:8" s="113" customFormat="1" x14ac:dyDescent="0.25">
      <c r="A2946" s="187">
        <v>184669</v>
      </c>
      <c r="B2946" s="187" t="s">
        <v>3510</v>
      </c>
      <c r="C2946" s="187" t="s">
        <v>5</v>
      </c>
      <c r="D2946" s="187" t="s">
        <v>3329</v>
      </c>
      <c r="E2946" s="187"/>
      <c r="F2946" s="187"/>
    </row>
    <row r="2947" spans="1:8" s="113" customFormat="1" x14ac:dyDescent="0.25">
      <c r="A2947" s="195">
        <v>185049</v>
      </c>
      <c r="B2947" s="187" t="s">
        <v>3528</v>
      </c>
      <c r="C2947" s="187" t="s">
        <v>22</v>
      </c>
      <c r="D2947" s="146" t="s">
        <v>7</v>
      </c>
      <c r="E2947" s="189"/>
      <c r="F2947" s="187"/>
    </row>
    <row r="2948" spans="1:8" s="113" customFormat="1" x14ac:dyDescent="0.25">
      <c r="A2948" s="190">
        <v>185149</v>
      </c>
      <c r="B2948" s="188" t="s">
        <v>2804</v>
      </c>
      <c r="C2948" s="606" t="s">
        <v>63</v>
      </c>
      <c r="D2948" s="606" t="s">
        <v>154</v>
      </c>
      <c r="E2948" s="606"/>
      <c r="F2948" s="606"/>
    </row>
    <row r="2949" spans="1:8" s="113" customFormat="1" x14ac:dyDescent="0.25">
      <c r="A2949" s="195">
        <v>185149</v>
      </c>
      <c r="B2949" s="188" t="s">
        <v>2994</v>
      </c>
      <c r="C2949" s="146" t="s">
        <v>63</v>
      </c>
      <c r="D2949" s="146" t="s">
        <v>154</v>
      </c>
      <c r="E2949" s="606"/>
      <c r="F2949" s="187"/>
    </row>
    <row r="2950" spans="1:8" s="113" customFormat="1" x14ac:dyDescent="0.25">
      <c r="A2950" s="195">
        <v>185164</v>
      </c>
      <c r="B2950" s="188" t="s">
        <v>2932</v>
      </c>
      <c r="C2950" s="146" t="s">
        <v>38</v>
      </c>
      <c r="D2950" s="146" t="s">
        <v>143</v>
      </c>
      <c r="E2950" s="606"/>
      <c r="F2950" s="187"/>
    </row>
    <row r="2951" spans="1:8" s="113" customFormat="1" x14ac:dyDescent="0.25">
      <c r="A2951" s="141">
        <v>185269</v>
      </c>
      <c r="B2951" s="142" t="s">
        <v>1331</v>
      </c>
      <c r="C2951" s="143" t="s">
        <v>17</v>
      </c>
      <c r="D2951" s="143" t="s">
        <v>154</v>
      </c>
      <c r="E2951" s="250"/>
      <c r="F2951" s="250"/>
    </row>
    <row r="2952" spans="1:8" s="113" customFormat="1" x14ac:dyDescent="0.25">
      <c r="A2952" s="141">
        <v>185307</v>
      </c>
      <c r="B2952" s="190" t="s">
        <v>3038</v>
      </c>
      <c r="C2952" s="190" t="s">
        <v>10</v>
      </c>
      <c r="D2952" s="146" t="s">
        <v>21</v>
      </c>
      <c r="E2952" s="190"/>
      <c r="F2952" s="190"/>
    </row>
    <row r="2953" spans="1:8" s="113" customFormat="1" ht="26.25" x14ac:dyDescent="0.25">
      <c r="A2953" s="187">
        <v>185307</v>
      </c>
      <c r="B2953" s="187" t="s">
        <v>3038</v>
      </c>
      <c r="C2953" s="187" t="s">
        <v>10</v>
      </c>
      <c r="D2953" s="146" t="s">
        <v>3291</v>
      </c>
      <c r="E2953" s="606"/>
      <c r="F2953" s="187"/>
      <c r="H2953" s="607"/>
    </row>
    <row r="2954" spans="1:8" s="113" customFormat="1" x14ac:dyDescent="0.25">
      <c r="A2954" s="190">
        <v>185456</v>
      </c>
      <c r="B2954" s="187" t="s">
        <v>3489</v>
      </c>
      <c r="C2954" s="187" t="s">
        <v>49</v>
      </c>
      <c r="D2954" s="187" t="s">
        <v>11</v>
      </c>
      <c r="E2954" s="606"/>
      <c r="F2954" s="606"/>
    </row>
    <row r="2955" spans="1:8" s="113" customFormat="1" x14ac:dyDescent="0.25">
      <c r="A2955" s="187">
        <v>185456</v>
      </c>
      <c r="B2955" s="187" t="s">
        <v>3489</v>
      </c>
      <c r="C2955" s="187" t="s">
        <v>49</v>
      </c>
      <c r="D2955" s="187" t="s">
        <v>11</v>
      </c>
      <c r="E2955" s="187"/>
      <c r="F2955" s="187"/>
    </row>
    <row r="2956" spans="1:8" s="113" customFormat="1" ht="26.25" x14ac:dyDescent="0.25">
      <c r="A2956" s="141">
        <v>185557</v>
      </c>
      <c r="B2956" s="142" t="s">
        <v>1330</v>
      </c>
      <c r="C2956" s="143" t="s">
        <v>22</v>
      </c>
      <c r="D2956" s="143" t="s">
        <v>501</v>
      </c>
      <c r="E2956" s="250"/>
      <c r="F2956" s="250"/>
    </row>
    <row r="2957" spans="1:8" s="113" customFormat="1" x14ac:dyDescent="0.25">
      <c r="A2957" s="195">
        <v>185614</v>
      </c>
      <c r="B2957" s="187" t="s">
        <v>3114</v>
      </c>
      <c r="C2957" s="187" t="s">
        <v>20</v>
      </c>
      <c r="D2957" s="146" t="s">
        <v>1231</v>
      </c>
      <c r="E2957" s="606"/>
      <c r="F2957" s="187"/>
    </row>
    <row r="2958" spans="1:8" s="113" customFormat="1" x14ac:dyDescent="0.25">
      <c r="A2958" s="190">
        <v>185676</v>
      </c>
      <c r="B2958" s="606" t="s">
        <v>3193</v>
      </c>
      <c r="C2958" s="606" t="s">
        <v>599</v>
      </c>
      <c r="D2958" s="606" t="s">
        <v>242</v>
      </c>
      <c r="E2958" s="606"/>
      <c r="F2958" s="606"/>
      <c r="G2958" s="607"/>
    </row>
    <row r="2959" spans="1:8" s="113" customFormat="1" x14ac:dyDescent="0.25">
      <c r="A2959" s="190">
        <v>185676</v>
      </c>
      <c r="B2959" s="606" t="s">
        <v>3193</v>
      </c>
      <c r="C2959" s="606" t="s">
        <v>599</v>
      </c>
      <c r="D2959" s="606" t="s">
        <v>3329</v>
      </c>
      <c r="E2959" s="606"/>
      <c r="F2959" s="606"/>
    </row>
    <row r="2960" spans="1:8" s="113" customFormat="1" x14ac:dyDescent="0.25">
      <c r="A2960" s="247">
        <v>185739</v>
      </c>
      <c r="B2960" s="250" t="s">
        <v>1550</v>
      </c>
      <c r="C2960" s="143" t="s">
        <v>36</v>
      </c>
      <c r="D2960" s="260" t="s">
        <v>967</v>
      </c>
      <c r="E2960" s="250"/>
      <c r="F2960" s="250"/>
    </row>
    <row r="2961" spans="1:8" s="113" customFormat="1" x14ac:dyDescent="0.25">
      <c r="A2961" s="141">
        <v>185861</v>
      </c>
      <c r="B2961" s="142" t="s">
        <v>1036</v>
      </c>
      <c r="C2961" s="143" t="s">
        <v>64</v>
      </c>
      <c r="D2961" s="143" t="s">
        <v>11</v>
      </c>
      <c r="E2961" s="142"/>
      <c r="F2961" s="142"/>
      <c r="G2961" s="229"/>
    </row>
    <row r="2962" spans="1:8" s="113" customFormat="1" ht="26.25" x14ac:dyDescent="0.25">
      <c r="A2962" s="141">
        <v>186008</v>
      </c>
      <c r="B2962" s="142" t="s">
        <v>2481</v>
      </c>
      <c r="C2962" s="143" t="s">
        <v>5</v>
      </c>
      <c r="D2962" s="143" t="s">
        <v>154</v>
      </c>
      <c r="E2962" s="142"/>
      <c r="F2962" s="142"/>
      <c r="G2962" s="607"/>
      <c r="H2962" s="229"/>
    </row>
    <row r="2963" spans="1:8" s="113" customFormat="1" x14ac:dyDescent="0.25">
      <c r="A2963" s="141">
        <v>186043</v>
      </c>
      <c r="B2963" s="142" t="s">
        <v>2482</v>
      </c>
      <c r="C2963" s="143" t="s">
        <v>64</v>
      </c>
      <c r="D2963" s="143" t="s">
        <v>228</v>
      </c>
      <c r="E2963" s="142"/>
      <c r="F2963" s="142"/>
      <c r="H2963" s="607"/>
    </row>
    <row r="2964" spans="1:8" s="113" customFormat="1" x14ac:dyDescent="0.25">
      <c r="A2964" s="141">
        <v>186062</v>
      </c>
      <c r="B2964" s="142" t="s">
        <v>1445</v>
      </c>
      <c r="C2964" s="143" t="s">
        <v>36</v>
      </c>
      <c r="D2964" s="143" t="s">
        <v>242</v>
      </c>
      <c r="E2964" s="250"/>
      <c r="F2964" s="250"/>
    </row>
    <row r="2965" spans="1:8" s="113" customFormat="1" x14ac:dyDescent="0.25">
      <c r="A2965" s="190">
        <v>186149</v>
      </c>
      <c r="B2965" s="606" t="s">
        <v>3197</v>
      </c>
      <c r="C2965" s="606" t="s">
        <v>914</v>
      </c>
      <c r="D2965" s="606" t="s">
        <v>242</v>
      </c>
      <c r="E2965" s="606"/>
      <c r="F2965" s="606"/>
    </row>
    <row r="2966" spans="1:8" s="113" customFormat="1" x14ac:dyDescent="0.25">
      <c r="A2966" s="195">
        <v>186487</v>
      </c>
      <c r="B2966" s="187" t="s">
        <v>3500</v>
      </c>
      <c r="C2966" s="187" t="s">
        <v>64</v>
      </c>
      <c r="D2966" s="146" t="s">
        <v>45</v>
      </c>
      <c r="E2966" s="606"/>
      <c r="F2966" s="187"/>
    </row>
    <row r="2967" spans="1:8" s="113" customFormat="1" x14ac:dyDescent="0.25">
      <c r="A2967" s="190">
        <v>186487</v>
      </c>
      <c r="B2967" s="187" t="s">
        <v>3500</v>
      </c>
      <c r="C2967" s="187" t="s">
        <v>64</v>
      </c>
      <c r="D2967" s="606" t="s">
        <v>45</v>
      </c>
      <c r="E2967" s="606"/>
      <c r="F2967" s="606"/>
    </row>
    <row r="2968" spans="1:8" s="113" customFormat="1" ht="26.25" x14ac:dyDescent="0.25">
      <c r="A2968" s="141">
        <v>186582</v>
      </c>
      <c r="B2968" s="142" t="s">
        <v>1574</v>
      </c>
      <c r="C2968" s="143" t="s">
        <v>20</v>
      </c>
      <c r="D2968" s="143" t="s">
        <v>302</v>
      </c>
      <c r="E2968" s="250"/>
      <c r="F2968" s="250"/>
    </row>
    <row r="2969" spans="1:8" s="113" customFormat="1" x14ac:dyDescent="0.25">
      <c r="A2969" s="187">
        <v>187007</v>
      </c>
      <c r="B2969" s="187" t="s">
        <v>3571</v>
      </c>
      <c r="C2969" s="187" t="s">
        <v>8</v>
      </c>
      <c r="D2969" s="187" t="s">
        <v>3329</v>
      </c>
      <c r="E2969" s="187"/>
      <c r="F2969" s="187"/>
      <c r="G2969" s="607"/>
      <c r="H2969" s="607"/>
    </row>
    <row r="2970" spans="1:8" s="113" customFormat="1" x14ac:dyDescent="0.25">
      <c r="A2970" s="187">
        <v>187007</v>
      </c>
      <c r="B2970" s="187" t="s">
        <v>3641</v>
      </c>
      <c r="C2970" s="187" t="s">
        <v>8</v>
      </c>
      <c r="D2970" s="187" t="s">
        <v>242</v>
      </c>
      <c r="E2970" s="187"/>
      <c r="F2970" s="187"/>
    </row>
    <row r="2971" spans="1:8" s="113" customFormat="1" x14ac:dyDescent="0.25">
      <c r="A2971" s="187">
        <v>187328</v>
      </c>
      <c r="B2971" s="188" t="s">
        <v>2753</v>
      </c>
      <c r="C2971" s="146" t="s">
        <v>12</v>
      </c>
      <c r="D2971" s="146" t="s">
        <v>1696</v>
      </c>
      <c r="E2971" s="606"/>
      <c r="F2971" s="606"/>
      <c r="G2971" s="194"/>
      <c r="H2971" s="194"/>
    </row>
    <row r="2972" spans="1:8" s="113" customFormat="1" ht="26.25" x14ac:dyDescent="0.25">
      <c r="A2972" s="187">
        <v>187463</v>
      </c>
      <c r="B2972" s="188" t="s">
        <v>2776</v>
      </c>
      <c r="C2972" s="146" t="s">
        <v>16</v>
      </c>
      <c r="D2972" s="146" t="s">
        <v>242</v>
      </c>
      <c r="E2972" s="606"/>
      <c r="F2972" s="606"/>
    </row>
    <row r="2973" spans="1:8" s="113" customFormat="1" ht="26.25" x14ac:dyDescent="0.25">
      <c r="A2973" s="187">
        <v>187463</v>
      </c>
      <c r="B2973" s="188" t="s">
        <v>2776</v>
      </c>
      <c r="C2973" s="146" t="s">
        <v>16</v>
      </c>
      <c r="D2973" s="148" t="s">
        <v>242</v>
      </c>
      <c r="E2973" s="606"/>
      <c r="F2973" s="606"/>
    </row>
    <row r="2974" spans="1:8" s="113" customFormat="1" ht="26.25" x14ac:dyDescent="0.25">
      <c r="A2974" s="141">
        <v>187617</v>
      </c>
      <c r="B2974" s="142" t="s">
        <v>1226</v>
      </c>
      <c r="C2974" s="143" t="s">
        <v>20</v>
      </c>
      <c r="D2974" s="143" t="s">
        <v>302</v>
      </c>
      <c r="E2974" s="250"/>
      <c r="F2974" s="250"/>
    </row>
    <row r="2975" spans="1:8" s="113" customFormat="1" x14ac:dyDescent="0.25">
      <c r="A2975" s="187">
        <v>187828</v>
      </c>
      <c r="B2975" s="188" t="s">
        <v>3079</v>
      </c>
      <c r="C2975" s="146" t="s">
        <v>10</v>
      </c>
      <c r="D2975" s="148" t="s">
        <v>154</v>
      </c>
      <c r="E2975" s="606"/>
      <c r="F2975" s="606"/>
    </row>
    <row r="2976" spans="1:8" s="113" customFormat="1" x14ac:dyDescent="0.25">
      <c r="A2976" s="195">
        <v>187828</v>
      </c>
      <c r="B2976" s="187" t="s">
        <v>3128</v>
      </c>
      <c r="C2976" s="187" t="s">
        <v>10</v>
      </c>
      <c r="D2976" s="146" t="s">
        <v>2841</v>
      </c>
      <c r="E2976" s="189"/>
      <c r="F2976" s="187"/>
    </row>
    <row r="2977" spans="1:8" s="113" customFormat="1" x14ac:dyDescent="0.25">
      <c r="A2977" s="190">
        <v>187882</v>
      </c>
      <c r="B2977" s="188" t="s">
        <v>2555</v>
      </c>
      <c r="C2977" s="187" t="s">
        <v>12</v>
      </c>
      <c r="D2977" s="187" t="s">
        <v>1460</v>
      </c>
      <c r="E2977" s="189"/>
      <c r="F2977" s="606"/>
    </row>
    <row r="2978" spans="1:8" s="113" customFormat="1" x14ac:dyDescent="0.25">
      <c r="A2978" s="190">
        <v>187914</v>
      </c>
      <c r="B2978" s="606" t="s">
        <v>3148</v>
      </c>
      <c r="C2978" s="606" t="s">
        <v>27</v>
      </c>
      <c r="D2978" s="606" t="s">
        <v>7</v>
      </c>
      <c r="E2978" s="606"/>
      <c r="F2978" s="606"/>
    </row>
    <row r="2979" spans="1:8" s="113" customFormat="1" x14ac:dyDescent="0.25">
      <c r="A2979" s="195">
        <v>187914</v>
      </c>
      <c r="B2979" s="187" t="s">
        <v>3148</v>
      </c>
      <c r="C2979" s="187" t="s">
        <v>27</v>
      </c>
      <c r="D2979" s="146" t="s">
        <v>7</v>
      </c>
      <c r="E2979" s="606"/>
      <c r="F2979" s="606"/>
    </row>
    <row r="2980" spans="1:8" s="113" customFormat="1" x14ac:dyDescent="0.25">
      <c r="A2980" s="195">
        <v>188057</v>
      </c>
      <c r="B2980" s="187" t="s">
        <v>3059</v>
      </c>
      <c r="C2980" s="187" t="s">
        <v>17</v>
      </c>
      <c r="D2980" s="146" t="s">
        <v>242</v>
      </c>
      <c r="E2980" s="606"/>
      <c r="F2980" s="187"/>
      <c r="H2980" s="607"/>
    </row>
    <row r="2981" spans="1:8" s="113" customFormat="1" x14ac:dyDescent="0.25">
      <c r="A2981" s="141">
        <v>188221</v>
      </c>
      <c r="B2981" s="142" t="s">
        <v>1037</v>
      </c>
      <c r="C2981" s="143" t="s">
        <v>32</v>
      </c>
      <c r="D2981" s="143" t="s">
        <v>154</v>
      </c>
      <c r="E2981" s="142"/>
      <c r="F2981" s="142"/>
    </row>
    <row r="2982" spans="1:8" s="113" customFormat="1" ht="26.25" x14ac:dyDescent="0.25">
      <c r="A2982" s="141">
        <v>188357</v>
      </c>
      <c r="B2982" s="142" t="s">
        <v>1038</v>
      </c>
      <c r="C2982" s="143" t="s">
        <v>16</v>
      </c>
      <c r="D2982" s="143" t="s">
        <v>154</v>
      </c>
      <c r="E2982" s="142"/>
      <c r="F2982" s="142"/>
    </row>
    <row r="2983" spans="1:8" s="113" customFormat="1" ht="26.25" x14ac:dyDescent="0.25">
      <c r="A2983" s="187">
        <v>188385</v>
      </c>
      <c r="B2983" s="188" t="s">
        <v>3496</v>
      </c>
      <c r="C2983" s="146" t="s">
        <v>914</v>
      </c>
      <c r="D2983" s="146" t="s">
        <v>242</v>
      </c>
      <c r="E2983" s="606"/>
      <c r="F2983" s="606"/>
      <c r="G2983" s="194"/>
      <c r="H2983" s="194"/>
    </row>
    <row r="2984" spans="1:8" s="113" customFormat="1" ht="26.25" x14ac:dyDescent="0.25">
      <c r="A2984" s="195">
        <v>188385</v>
      </c>
      <c r="B2984" s="188" t="s">
        <v>2766</v>
      </c>
      <c r="C2984" s="146" t="s">
        <v>914</v>
      </c>
      <c r="D2984" s="146" t="s">
        <v>242</v>
      </c>
      <c r="E2984" s="606"/>
      <c r="F2984" s="606"/>
    </row>
    <row r="2985" spans="1:8" s="113" customFormat="1" x14ac:dyDescent="0.25">
      <c r="A2985" s="195">
        <v>188419</v>
      </c>
      <c r="B2985" s="187" t="s">
        <v>3134</v>
      </c>
      <c r="C2985" s="187" t="s">
        <v>65</v>
      </c>
      <c r="D2985" s="146" t="s">
        <v>2841</v>
      </c>
      <c r="E2985" s="606"/>
      <c r="F2985" s="187"/>
    </row>
    <row r="2986" spans="1:8" s="113" customFormat="1" x14ac:dyDescent="0.25">
      <c r="A2986" s="193">
        <v>188661</v>
      </c>
      <c r="B2986" s="188" t="s">
        <v>2805</v>
      </c>
      <c r="C2986" s="146" t="s">
        <v>1455</v>
      </c>
      <c r="D2986" s="146" t="s">
        <v>415</v>
      </c>
      <c r="E2986" s="606"/>
      <c r="F2986" s="187"/>
    </row>
    <row r="2987" spans="1:8" s="113" customFormat="1" x14ac:dyDescent="0.25">
      <c r="A2987" s="190">
        <v>188661</v>
      </c>
      <c r="B2987" s="188" t="s">
        <v>2805</v>
      </c>
      <c r="C2987" s="606" t="s">
        <v>2806</v>
      </c>
      <c r="D2987" s="606" t="s">
        <v>2807</v>
      </c>
      <c r="E2987" s="189"/>
      <c r="F2987" s="606"/>
    </row>
    <row r="2988" spans="1:8" s="113" customFormat="1" x14ac:dyDescent="0.25">
      <c r="A2988" s="190">
        <v>188681</v>
      </c>
      <c r="B2988" s="606" t="s">
        <v>3172</v>
      </c>
      <c r="C2988" s="606" t="s">
        <v>16</v>
      </c>
      <c r="D2988" s="606" t="s">
        <v>116</v>
      </c>
      <c r="E2988" s="606"/>
      <c r="F2988" s="606"/>
    </row>
    <row r="2989" spans="1:8" s="113" customFormat="1" x14ac:dyDescent="0.25">
      <c r="A2989" s="195">
        <v>188823</v>
      </c>
      <c r="B2989" s="187" t="s">
        <v>3060</v>
      </c>
      <c r="C2989" s="187" t="s">
        <v>16</v>
      </c>
      <c r="D2989" s="146" t="s">
        <v>242</v>
      </c>
      <c r="E2989" s="606"/>
      <c r="F2989" s="187"/>
      <c r="G2989" s="607"/>
      <c r="H2989" s="607"/>
    </row>
    <row r="2990" spans="1:8" s="113" customFormat="1" x14ac:dyDescent="0.25">
      <c r="A2990" s="190">
        <v>188921</v>
      </c>
      <c r="B2990" s="188" t="s">
        <v>2613</v>
      </c>
      <c r="C2990" s="146" t="s">
        <v>38</v>
      </c>
      <c r="D2990" s="187" t="s">
        <v>143</v>
      </c>
      <c r="E2990" s="606"/>
      <c r="F2990" s="606"/>
    </row>
    <row r="2991" spans="1:8" s="113" customFormat="1" x14ac:dyDescent="0.25">
      <c r="A2991" s="247">
        <v>189932</v>
      </c>
      <c r="B2991" s="250" t="s">
        <v>1515</v>
      </c>
      <c r="C2991" s="149" t="s">
        <v>67</v>
      </c>
      <c r="D2991" s="260" t="s">
        <v>302</v>
      </c>
      <c r="E2991" s="250"/>
      <c r="F2991" s="250"/>
    </row>
    <row r="2992" spans="1:8" s="113" customFormat="1" x14ac:dyDescent="0.25">
      <c r="A2992" s="301">
        <v>189987</v>
      </c>
      <c r="B2992" s="608" t="s">
        <v>3349</v>
      </c>
      <c r="C2992" s="608" t="s">
        <v>120</v>
      </c>
      <c r="D2992" s="608" t="s">
        <v>237</v>
      </c>
      <c r="E2992" s="608"/>
      <c r="F2992" s="608"/>
    </row>
    <row r="2993" spans="1:8" s="113" customFormat="1" ht="26.25" x14ac:dyDescent="0.25">
      <c r="A2993" s="187">
        <v>190027</v>
      </c>
      <c r="B2993" s="188" t="s">
        <v>2965</v>
      </c>
      <c r="C2993" s="146" t="s">
        <v>417</v>
      </c>
      <c r="D2993" s="148" t="s">
        <v>501</v>
      </c>
      <c r="E2993" s="606"/>
      <c r="F2993" s="606"/>
    </row>
    <row r="2994" spans="1:8" s="113" customFormat="1" x14ac:dyDescent="0.25">
      <c r="A2994" s="195">
        <v>190027</v>
      </c>
      <c r="B2994" s="187" t="s">
        <v>2965</v>
      </c>
      <c r="C2994" s="187" t="s">
        <v>417</v>
      </c>
      <c r="D2994" s="146" t="s">
        <v>415</v>
      </c>
      <c r="E2994" s="606"/>
      <c r="F2994" s="187"/>
    </row>
    <row r="2995" spans="1:8" s="113" customFormat="1" x14ac:dyDescent="0.25">
      <c r="A2995" s="190">
        <v>190034</v>
      </c>
      <c r="B2995" s="606" t="s">
        <v>3200</v>
      </c>
      <c r="C2995" s="606" t="s">
        <v>16</v>
      </c>
      <c r="D2995" s="606" t="s">
        <v>302</v>
      </c>
      <c r="E2995" s="606"/>
      <c r="F2995" s="606"/>
    </row>
    <row r="2996" spans="1:8" s="113" customFormat="1" x14ac:dyDescent="0.25">
      <c r="A2996" s="141">
        <v>190194</v>
      </c>
      <c r="B2996" s="142" t="s">
        <v>2483</v>
      </c>
      <c r="C2996" s="143" t="s">
        <v>10</v>
      </c>
      <c r="D2996" s="143" t="s">
        <v>242</v>
      </c>
      <c r="E2996" s="142"/>
      <c r="F2996" s="142"/>
    </row>
    <row r="2997" spans="1:8" s="113" customFormat="1" x14ac:dyDescent="0.25">
      <c r="A2997" s="190">
        <v>190224</v>
      </c>
      <c r="B2997" s="188" t="s">
        <v>2574</v>
      </c>
      <c r="C2997" s="187" t="s">
        <v>24</v>
      </c>
      <c r="D2997" s="244" t="s">
        <v>37</v>
      </c>
      <c r="E2997" s="606"/>
      <c r="F2997" s="606"/>
    </row>
    <row r="2998" spans="1:8" s="113" customFormat="1" x14ac:dyDescent="0.25">
      <c r="A2998" s="141">
        <v>190447</v>
      </c>
      <c r="B2998" s="190" t="s">
        <v>3016</v>
      </c>
      <c r="C2998" s="190" t="s">
        <v>5</v>
      </c>
      <c r="D2998" s="148" t="s">
        <v>242</v>
      </c>
      <c r="E2998" s="190"/>
      <c r="F2998" s="190"/>
    </row>
    <row r="2999" spans="1:8" s="113" customFormat="1" x14ac:dyDescent="0.25">
      <c r="A2999" s="187">
        <v>190447</v>
      </c>
      <c r="B2999" s="187" t="s">
        <v>3016</v>
      </c>
      <c r="C2999" s="187" t="s">
        <v>3296</v>
      </c>
      <c r="D2999" s="146" t="s">
        <v>242</v>
      </c>
      <c r="E2999" s="606"/>
      <c r="F2999" s="187"/>
    </row>
    <row r="3000" spans="1:8" s="113" customFormat="1" x14ac:dyDescent="0.25">
      <c r="A3000" s="247">
        <v>190453</v>
      </c>
      <c r="B3000" s="250" t="s">
        <v>1382</v>
      </c>
      <c r="C3000" s="143" t="s">
        <v>63</v>
      </c>
      <c r="D3000" s="143" t="s">
        <v>242</v>
      </c>
      <c r="E3000" s="250"/>
      <c r="F3000" s="250"/>
    </row>
    <row r="3001" spans="1:8" s="113" customFormat="1" x14ac:dyDescent="0.25">
      <c r="A3001" s="190">
        <v>190736</v>
      </c>
      <c r="B3001" s="606" t="s">
        <v>3153</v>
      </c>
      <c r="C3001" s="606" t="s">
        <v>63</v>
      </c>
      <c r="D3001" s="606" t="s">
        <v>150</v>
      </c>
      <c r="E3001" s="606"/>
      <c r="F3001" s="606"/>
    </row>
    <row r="3002" spans="1:8" s="113" customFormat="1" ht="26.25" x14ac:dyDescent="0.25">
      <c r="A3002" s="247">
        <v>190807</v>
      </c>
      <c r="B3002" s="250" t="s">
        <v>2484</v>
      </c>
      <c r="C3002" s="143" t="s">
        <v>3039</v>
      </c>
      <c r="D3002" s="260" t="s">
        <v>242</v>
      </c>
      <c r="E3002" s="250"/>
      <c r="F3002" s="250"/>
    </row>
    <row r="3003" spans="1:8" s="113" customFormat="1" x14ac:dyDescent="0.25">
      <c r="A3003" s="247">
        <v>190850</v>
      </c>
      <c r="B3003" s="250" t="s">
        <v>1482</v>
      </c>
      <c r="C3003" s="143" t="s">
        <v>1455</v>
      </c>
      <c r="D3003" s="260" t="s">
        <v>415</v>
      </c>
      <c r="E3003" s="250"/>
      <c r="F3003" s="250"/>
    </row>
    <row r="3004" spans="1:8" s="113" customFormat="1" x14ac:dyDescent="0.25">
      <c r="A3004" s="187">
        <v>190945</v>
      </c>
      <c r="B3004" s="187" t="s">
        <v>3600</v>
      </c>
      <c r="C3004" s="187" t="s">
        <v>2110</v>
      </c>
      <c r="D3004" s="187" t="s">
        <v>3359</v>
      </c>
      <c r="E3004" s="187"/>
      <c r="F3004" s="187"/>
    </row>
    <row r="3005" spans="1:8" s="113" customFormat="1" x14ac:dyDescent="0.25">
      <c r="A3005" s="187">
        <v>191071</v>
      </c>
      <c r="B3005" s="188" t="s">
        <v>2760</v>
      </c>
      <c r="C3005" s="146" t="s">
        <v>53</v>
      </c>
      <c r="D3005" s="146"/>
      <c r="E3005" s="606"/>
      <c r="F3005" s="606"/>
    </row>
    <row r="3006" spans="1:8" s="113" customFormat="1" x14ac:dyDescent="0.25">
      <c r="A3006" s="187">
        <v>191071</v>
      </c>
      <c r="B3006" s="188" t="s">
        <v>2760</v>
      </c>
      <c r="C3006" s="146" t="s">
        <v>53</v>
      </c>
      <c r="D3006" s="148" t="s">
        <v>242</v>
      </c>
      <c r="E3006" s="189"/>
      <c r="F3006" s="189"/>
    </row>
    <row r="3007" spans="1:8" s="194" customFormat="1" ht="26.25" x14ac:dyDescent="0.25">
      <c r="A3007" s="247">
        <v>191237</v>
      </c>
      <c r="B3007" s="250" t="s">
        <v>1434</v>
      </c>
      <c r="C3007" s="143" t="s">
        <v>65</v>
      </c>
      <c r="D3007" s="260" t="s">
        <v>302</v>
      </c>
      <c r="E3007" s="250"/>
      <c r="F3007" s="250"/>
      <c r="G3007" s="113"/>
      <c r="H3007" s="113"/>
    </row>
    <row r="3008" spans="1:8" s="194" customFormat="1" ht="39" x14ac:dyDescent="0.25">
      <c r="A3008" s="187">
        <v>191271</v>
      </c>
      <c r="B3008" s="188" t="s">
        <v>2798</v>
      </c>
      <c r="C3008" s="146" t="s">
        <v>1529</v>
      </c>
      <c r="D3008" s="148" t="s">
        <v>173</v>
      </c>
      <c r="E3008" s="606"/>
      <c r="F3008" s="606"/>
      <c r="G3008" s="607"/>
      <c r="H3008" s="113"/>
    </row>
    <row r="3009" spans="1:8" s="194" customFormat="1" x14ac:dyDescent="0.25">
      <c r="A3009" s="187">
        <v>191311</v>
      </c>
      <c r="B3009" s="188" t="s">
        <v>2749</v>
      </c>
      <c r="C3009" s="146" t="s">
        <v>47</v>
      </c>
      <c r="D3009" s="146" t="s">
        <v>159</v>
      </c>
      <c r="E3009" s="606"/>
      <c r="F3009" s="606"/>
      <c r="G3009" s="113"/>
      <c r="H3009" s="113"/>
    </row>
    <row r="3010" spans="1:8" s="194" customFormat="1" x14ac:dyDescent="0.25">
      <c r="A3010" s="195">
        <v>191311</v>
      </c>
      <c r="B3010" s="188" t="s">
        <v>2749</v>
      </c>
      <c r="C3010" s="146" t="s">
        <v>47</v>
      </c>
      <c r="D3010" s="148" t="s">
        <v>159</v>
      </c>
      <c r="E3010" s="606"/>
      <c r="F3010" s="187"/>
      <c r="G3010" s="113"/>
      <c r="H3010" s="113"/>
    </row>
    <row r="3011" spans="1:8" s="194" customFormat="1" x14ac:dyDescent="0.25">
      <c r="A3011" s="141">
        <v>191361</v>
      </c>
      <c r="B3011" s="142" t="s">
        <v>1144</v>
      </c>
      <c r="C3011" s="143" t="s">
        <v>17</v>
      </c>
      <c r="D3011" s="143" t="s">
        <v>154</v>
      </c>
      <c r="E3011" s="142"/>
      <c r="F3011" s="142"/>
      <c r="G3011" s="113"/>
      <c r="H3011" s="113"/>
    </row>
    <row r="3012" spans="1:8" s="194" customFormat="1" ht="26.25" x14ac:dyDescent="0.25">
      <c r="A3012" s="247">
        <v>191507</v>
      </c>
      <c r="B3012" s="250" t="s">
        <v>2485</v>
      </c>
      <c r="C3012" s="143" t="s">
        <v>120</v>
      </c>
      <c r="D3012" s="260" t="s">
        <v>11</v>
      </c>
      <c r="E3012" s="250"/>
      <c r="F3012" s="250"/>
      <c r="G3012" s="113"/>
      <c r="H3012" s="113"/>
    </row>
    <row r="3013" spans="1:8" s="194" customFormat="1" x14ac:dyDescent="0.25">
      <c r="A3013" s="187">
        <v>191804</v>
      </c>
      <c r="B3013" s="187" t="s">
        <v>3404</v>
      </c>
      <c r="C3013" s="187" t="s">
        <v>3405</v>
      </c>
      <c r="D3013" s="187" t="s">
        <v>154</v>
      </c>
      <c r="E3013" s="187"/>
      <c r="F3013" s="187"/>
      <c r="G3013" s="113"/>
      <c r="H3013" s="113"/>
    </row>
    <row r="3014" spans="1:8" s="194" customFormat="1" x14ac:dyDescent="0.25">
      <c r="A3014" s="187">
        <v>191804</v>
      </c>
      <c r="B3014" s="187" t="s">
        <v>3404</v>
      </c>
      <c r="C3014" s="187" t="s">
        <v>914</v>
      </c>
      <c r="D3014" s="187" t="s">
        <v>154</v>
      </c>
      <c r="E3014" s="187"/>
      <c r="F3014" s="187"/>
      <c r="G3014" s="113"/>
      <c r="H3014"/>
    </row>
    <row r="3015" spans="1:8" x14ac:dyDescent="0.25">
      <c r="A3015" s="247">
        <v>191942</v>
      </c>
      <c r="B3015" s="250" t="s">
        <v>1441</v>
      </c>
      <c r="C3015" s="143" t="s">
        <v>73</v>
      </c>
      <c r="D3015" s="260" t="s">
        <v>967</v>
      </c>
      <c r="E3015" s="250"/>
      <c r="F3015" s="250"/>
      <c r="G3015" s="607"/>
    </row>
    <row r="3016" spans="1:8" x14ac:dyDescent="0.25">
      <c r="A3016" s="190">
        <v>192001</v>
      </c>
      <c r="B3016" s="606" t="s">
        <v>3161</v>
      </c>
      <c r="C3016" s="606" t="s">
        <v>3162</v>
      </c>
      <c r="D3016" s="606" t="s">
        <v>242</v>
      </c>
      <c r="E3016" s="606"/>
      <c r="F3016" s="606"/>
      <c r="G3016" s="113"/>
    </row>
    <row r="3017" spans="1:8" x14ac:dyDescent="0.25">
      <c r="A3017" s="195">
        <v>192001</v>
      </c>
      <c r="B3017" s="187" t="s">
        <v>3161</v>
      </c>
      <c r="C3017" s="187" t="s">
        <v>17</v>
      </c>
      <c r="D3017" s="146" t="s">
        <v>154</v>
      </c>
      <c r="E3017" s="606"/>
      <c r="F3017" s="187"/>
      <c r="G3017" s="113"/>
      <c r="H3017" s="229"/>
    </row>
    <row r="3018" spans="1:8" ht="26.25" x14ac:dyDescent="0.25">
      <c r="A3018" s="247">
        <v>192081</v>
      </c>
      <c r="B3018" s="250" t="s">
        <v>2486</v>
      </c>
      <c r="C3018" s="143" t="s">
        <v>8</v>
      </c>
      <c r="D3018" s="148" t="s">
        <v>242</v>
      </c>
      <c r="E3018" s="250"/>
      <c r="F3018" s="250"/>
      <c r="G3018" s="113"/>
      <c r="H3018" s="229"/>
    </row>
    <row r="3019" spans="1:8" x14ac:dyDescent="0.25">
      <c r="A3019" s="247">
        <v>192101</v>
      </c>
      <c r="B3019" s="250" t="s">
        <v>1570</v>
      </c>
      <c r="C3019" s="143" t="s">
        <v>47</v>
      </c>
      <c r="D3019" s="148" t="s">
        <v>179</v>
      </c>
      <c r="E3019" s="250"/>
      <c r="F3019" s="250"/>
      <c r="G3019" s="607"/>
      <c r="H3019" s="229"/>
    </row>
    <row r="3020" spans="1:8" x14ac:dyDescent="0.25">
      <c r="A3020" s="141">
        <v>192258</v>
      </c>
      <c r="B3020" s="144" t="s">
        <v>1039</v>
      </c>
      <c r="C3020" s="143" t="s">
        <v>64</v>
      </c>
      <c r="D3020" s="146" t="s">
        <v>504</v>
      </c>
      <c r="E3020" s="142"/>
      <c r="F3020" s="142"/>
      <c r="G3020" s="113"/>
      <c r="H3020" s="229"/>
    </row>
    <row r="3021" spans="1:8" x14ac:dyDescent="0.25">
      <c r="A3021" s="141">
        <v>192358</v>
      </c>
      <c r="B3021" s="142" t="s">
        <v>1040</v>
      </c>
      <c r="C3021" s="143" t="s">
        <v>24</v>
      </c>
      <c r="D3021" s="143" t="s">
        <v>268</v>
      </c>
      <c r="E3021" s="142"/>
      <c r="F3021" s="142"/>
      <c r="G3021" s="113"/>
      <c r="H3021" s="229"/>
    </row>
    <row r="3022" spans="1:8" x14ac:dyDescent="0.25">
      <c r="A3022" s="141">
        <v>192373</v>
      </c>
      <c r="B3022" s="147" t="s">
        <v>1233</v>
      </c>
      <c r="C3022" s="143" t="s">
        <v>47</v>
      </c>
      <c r="D3022" s="148" t="s">
        <v>159</v>
      </c>
      <c r="E3022" s="147"/>
      <c r="F3022" s="147"/>
      <c r="G3022" s="113"/>
      <c r="H3022" s="229"/>
    </row>
    <row r="3023" spans="1:8" x14ac:dyDescent="0.25">
      <c r="A3023" s="190">
        <v>192412</v>
      </c>
      <c r="B3023" s="188" t="s">
        <v>2987</v>
      </c>
      <c r="C3023" s="146" t="s">
        <v>2988</v>
      </c>
      <c r="D3023" s="146" t="s">
        <v>116</v>
      </c>
      <c r="E3023" s="606"/>
      <c r="F3023" s="606"/>
      <c r="G3023" s="113"/>
      <c r="H3023" s="229"/>
    </row>
    <row r="3024" spans="1:8" x14ac:dyDescent="0.25">
      <c r="A3024" s="686">
        <v>192458</v>
      </c>
      <c r="B3024" s="398" t="s">
        <v>2743</v>
      </c>
      <c r="C3024" s="398" t="s">
        <v>36</v>
      </c>
      <c r="D3024" s="398" t="s">
        <v>116</v>
      </c>
      <c r="E3024" s="398"/>
      <c r="F3024" s="398"/>
      <c r="G3024" s="113"/>
      <c r="H3024" s="229"/>
    </row>
    <row r="3025" spans="1:8" ht="26.25" x14ac:dyDescent="0.25">
      <c r="A3025" s="141">
        <v>192637</v>
      </c>
      <c r="B3025" s="147" t="s">
        <v>1041</v>
      </c>
      <c r="C3025" s="143" t="s">
        <v>144</v>
      </c>
      <c r="D3025" s="148" t="s">
        <v>171</v>
      </c>
      <c r="E3025" s="147"/>
      <c r="F3025" s="147"/>
      <c r="G3025" s="113"/>
      <c r="H3025" s="229"/>
    </row>
    <row r="3026" spans="1:8" x14ac:dyDescent="0.25">
      <c r="A3026" s="190">
        <v>192987</v>
      </c>
      <c r="B3026" s="606" t="s">
        <v>2849</v>
      </c>
      <c r="C3026" s="606" t="s">
        <v>44</v>
      </c>
      <c r="D3026" s="606" t="s">
        <v>2850</v>
      </c>
      <c r="E3026" s="606"/>
      <c r="F3026" s="606"/>
      <c r="G3026" s="113"/>
      <c r="H3026" s="229"/>
    </row>
    <row r="3027" spans="1:8" x14ac:dyDescent="0.25">
      <c r="A3027" s="685">
        <v>192987</v>
      </c>
      <c r="B3027" s="202" t="s">
        <v>2849</v>
      </c>
      <c r="C3027" s="606" t="s">
        <v>44</v>
      </c>
      <c r="D3027" s="606" t="s">
        <v>551</v>
      </c>
      <c r="E3027" s="606"/>
      <c r="F3027" s="606"/>
      <c r="G3027" s="113"/>
      <c r="H3027" s="229"/>
    </row>
    <row r="3028" spans="1:8" x14ac:dyDescent="0.25">
      <c r="A3028" s="195">
        <v>192987</v>
      </c>
      <c r="B3028" s="188" t="s">
        <v>2849</v>
      </c>
      <c r="C3028" s="146" t="s">
        <v>44</v>
      </c>
      <c r="D3028" s="146" t="s">
        <v>504</v>
      </c>
      <c r="E3028" s="606"/>
      <c r="F3028" s="187"/>
      <c r="G3028" s="113"/>
      <c r="H3028" s="229"/>
    </row>
    <row r="3029" spans="1:8" x14ac:dyDescent="0.25">
      <c r="A3029" s="301">
        <v>193125</v>
      </c>
      <c r="B3029" s="608" t="s">
        <v>3358</v>
      </c>
      <c r="C3029" s="608" t="s">
        <v>12</v>
      </c>
      <c r="D3029" s="608" t="s">
        <v>3359</v>
      </c>
      <c r="E3029" s="608"/>
      <c r="F3029" s="608"/>
      <c r="G3029" s="607"/>
      <c r="H3029" s="229"/>
    </row>
    <row r="3030" spans="1:8" x14ac:dyDescent="0.25">
      <c r="A3030" s="141">
        <v>193241</v>
      </c>
      <c r="B3030" s="147" t="s">
        <v>2683</v>
      </c>
      <c r="C3030" s="143" t="s">
        <v>140</v>
      </c>
      <c r="D3030" s="148" t="s">
        <v>453</v>
      </c>
      <c r="E3030" s="147"/>
      <c r="F3030" s="147"/>
      <c r="G3030" s="113"/>
      <c r="H3030" s="229"/>
    </row>
    <row r="3031" spans="1:8" x14ac:dyDescent="0.25">
      <c r="A3031" s="190">
        <v>193272</v>
      </c>
      <c r="B3031" s="188" t="s">
        <v>2924</v>
      </c>
      <c r="C3031" s="146" t="s">
        <v>64</v>
      </c>
      <c r="D3031" s="187" t="s">
        <v>37</v>
      </c>
      <c r="E3031" s="606"/>
      <c r="F3031" s="606"/>
      <c r="G3031" s="113"/>
      <c r="H3031" s="607"/>
    </row>
    <row r="3032" spans="1:8" x14ac:dyDescent="0.25">
      <c r="A3032" s="141">
        <v>193478</v>
      </c>
      <c r="B3032" s="147" t="s">
        <v>2487</v>
      </c>
      <c r="C3032" s="143" t="s">
        <v>10</v>
      </c>
      <c r="D3032" s="148" t="s">
        <v>242</v>
      </c>
      <c r="E3032" s="147"/>
      <c r="F3032" s="147"/>
      <c r="G3032" s="113"/>
      <c r="H3032" s="113"/>
    </row>
    <row r="3033" spans="1:8" x14ac:dyDescent="0.25">
      <c r="A3033" s="195">
        <v>193542</v>
      </c>
      <c r="B3033" s="606" t="s">
        <v>3061</v>
      </c>
      <c r="C3033" s="606" t="s">
        <v>32</v>
      </c>
      <c r="D3033" s="146" t="s">
        <v>242</v>
      </c>
      <c r="E3033" s="606"/>
      <c r="F3033" s="187"/>
      <c r="G3033" s="113"/>
      <c r="H3033" s="229"/>
    </row>
    <row r="3034" spans="1:8" ht="26.25" x14ac:dyDescent="0.25">
      <c r="A3034" s="141">
        <v>193854</v>
      </c>
      <c r="B3034" s="147" t="s">
        <v>1042</v>
      </c>
      <c r="C3034" s="143" t="s">
        <v>914</v>
      </c>
      <c r="D3034" s="148" t="s">
        <v>242</v>
      </c>
      <c r="E3034" s="147"/>
      <c r="F3034" s="147"/>
      <c r="G3034" s="113"/>
      <c r="H3034" s="229"/>
    </row>
    <row r="3035" spans="1:8" x14ac:dyDescent="0.25">
      <c r="A3035" s="190">
        <v>193861</v>
      </c>
      <c r="B3035" s="606" t="s">
        <v>3302</v>
      </c>
      <c r="C3035" s="143" t="s">
        <v>32</v>
      </c>
      <c r="D3035" s="606" t="s">
        <v>154</v>
      </c>
      <c r="E3035" s="606"/>
      <c r="F3035" s="606"/>
      <c r="G3035" s="229"/>
      <c r="H3035" s="229"/>
    </row>
    <row r="3036" spans="1:8" x14ac:dyDescent="0.25">
      <c r="A3036" s="187">
        <v>193861</v>
      </c>
      <c r="B3036" s="187" t="s">
        <v>3302</v>
      </c>
      <c r="C3036" s="187" t="s">
        <v>32</v>
      </c>
      <c r="D3036" s="187" t="s">
        <v>154</v>
      </c>
      <c r="E3036" s="187"/>
      <c r="F3036" s="187"/>
      <c r="G3036" s="607"/>
      <c r="H3036" s="229"/>
    </row>
    <row r="3037" spans="1:8" x14ac:dyDescent="0.25">
      <c r="A3037" s="247">
        <v>193982</v>
      </c>
      <c r="B3037" s="248" t="s">
        <v>1496</v>
      </c>
      <c r="C3037" s="143" t="s">
        <v>36</v>
      </c>
      <c r="D3037" s="148" t="s">
        <v>242</v>
      </c>
      <c r="E3037" s="248"/>
      <c r="F3037" s="248"/>
      <c r="G3037" s="113"/>
      <c r="H3037" s="229"/>
    </row>
    <row r="3038" spans="1:8" ht="26.25" x14ac:dyDescent="0.25">
      <c r="A3038" s="141">
        <v>194211</v>
      </c>
      <c r="B3038" s="147" t="s">
        <v>1043</v>
      </c>
      <c r="C3038" s="143" t="s">
        <v>16</v>
      </c>
      <c r="D3038" s="148" t="s">
        <v>154</v>
      </c>
      <c r="E3038" s="147"/>
      <c r="F3038" s="147"/>
      <c r="G3038" s="113"/>
      <c r="H3038" s="229"/>
    </row>
    <row r="3039" spans="1:8" x14ac:dyDescent="0.25">
      <c r="A3039" s="247">
        <v>194316</v>
      </c>
      <c r="B3039" s="250" t="s">
        <v>1376</v>
      </c>
      <c r="C3039" s="143" t="s">
        <v>53</v>
      </c>
      <c r="D3039" s="148" t="s">
        <v>242</v>
      </c>
      <c r="E3039" s="250"/>
      <c r="F3039" s="250"/>
      <c r="G3039" s="113"/>
      <c r="H3039" s="229"/>
    </row>
    <row r="3040" spans="1:8" ht="26.25" x14ac:dyDescent="0.25">
      <c r="A3040" s="187">
        <v>194461</v>
      </c>
      <c r="B3040" s="188" t="s">
        <v>2872</v>
      </c>
      <c r="C3040" s="146" t="s">
        <v>914</v>
      </c>
      <c r="D3040" s="148" t="s">
        <v>116</v>
      </c>
      <c r="E3040" s="606"/>
      <c r="F3040" s="606"/>
      <c r="G3040" s="229"/>
      <c r="H3040" s="229"/>
    </row>
    <row r="3041" spans="1:8" ht="26.25" x14ac:dyDescent="0.25">
      <c r="A3041" s="195">
        <v>194461</v>
      </c>
      <c r="B3041" s="188" t="s">
        <v>2872</v>
      </c>
      <c r="C3041" s="146" t="s">
        <v>914</v>
      </c>
      <c r="D3041" s="148" t="s">
        <v>116</v>
      </c>
      <c r="E3041" s="606"/>
      <c r="F3041" s="187"/>
      <c r="G3041" s="607"/>
      <c r="H3041" s="229"/>
    </row>
    <row r="3042" spans="1:8" s="113" customFormat="1" ht="26.25" x14ac:dyDescent="0.25">
      <c r="A3042" s="141">
        <v>194583</v>
      </c>
      <c r="B3042" s="147" t="s">
        <v>2488</v>
      </c>
      <c r="C3042" s="143" t="s">
        <v>22</v>
      </c>
      <c r="D3042" s="148" t="s">
        <v>154</v>
      </c>
      <c r="E3042" s="147"/>
      <c r="F3042" s="147"/>
      <c r="H3042" s="229"/>
    </row>
    <row r="3043" spans="1:8" s="113" customFormat="1" x14ac:dyDescent="0.25">
      <c r="A3043" s="141">
        <v>194701</v>
      </c>
      <c r="B3043" s="147" t="s">
        <v>2489</v>
      </c>
      <c r="C3043" s="143" t="s">
        <v>140</v>
      </c>
      <c r="D3043" s="148" t="s">
        <v>143</v>
      </c>
      <c r="E3043" s="147"/>
      <c r="F3043" s="147"/>
      <c r="H3043" s="229"/>
    </row>
    <row r="3044" spans="1:8" s="113" customFormat="1" x14ac:dyDescent="0.25">
      <c r="A3044" s="684">
        <v>194703</v>
      </c>
      <c r="B3044" s="687" t="s">
        <v>1433</v>
      </c>
      <c r="C3044" s="276" t="s">
        <v>36</v>
      </c>
      <c r="D3044" s="633" t="s">
        <v>242</v>
      </c>
      <c r="E3044" s="691"/>
      <c r="F3044" s="691"/>
      <c r="H3044"/>
    </row>
    <row r="3045" spans="1:8" s="113" customFormat="1" x14ac:dyDescent="0.25">
      <c r="A3045" s="195">
        <v>194750</v>
      </c>
      <c r="B3045" s="188" t="s">
        <v>3004</v>
      </c>
      <c r="C3045" s="146" t="s">
        <v>9</v>
      </c>
      <c r="D3045" s="146" t="s">
        <v>1105</v>
      </c>
      <c r="E3045" s="606"/>
      <c r="F3045" s="187"/>
      <c r="H3045" s="229"/>
    </row>
    <row r="3046" spans="1:8" s="113" customFormat="1" ht="26.25" x14ac:dyDescent="0.25">
      <c r="A3046" s="141">
        <v>194862</v>
      </c>
      <c r="B3046" s="147" t="s">
        <v>1119</v>
      </c>
      <c r="C3046" s="143" t="s">
        <v>49</v>
      </c>
      <c r="D3046" s="148" t="s">
        <v>116</v>
      </c>
      <c r="E3046" s="147"/>
      <c r="F3046" s="147"/>
      <c r="H3046" s="229"/>
    </row>
    <row r="3047" spans="1:8" s="113" customFormat="1" ht="26.25" x14ac:dyDescent="0.25">
      <c r="A3047" s="187">
        <v>194918</v>
      </c>
      <c r="B3047" s="188" t="s">
        <v>2799</v>
      </c>
      <c r="C3047" s="146" t="s">
        <v>120</v>
      </c>
      <c r="D3047" s="148" t="s">
        <v>415</v>
      </c>
      <c r="E3047" s="606"/>
      <c r="F3047" s="606"/>
      <c r="H3047" s="229"/>
    </row>
    <row r="3048" spans="1:8" s="113" customFormat="1" ht="26.25" x14ac:dyDescent="0.25">
      <c r="A3048" s="141">
        <v>194924</v>
      </c>
      <c r="B3048" s="147" t="s">
        <v>3030</v>
      </c>
      <c r="C3048" s="143" t="s">
        <v>144</v>
      </c>
      <c r="D3048" s="148" t="s">
        <v>171</v>
      </c>
      <c r="E3048" s="147"/>
      <c r="F3048" s="147"/>
      <c r="G3048" s="229"/>
      <c r="H3048" s="229"/>
    </row>
    <row r="3049" spans="1:8" s="113" customFormat="1" x14ac:dyDescent="0.25">
      <c r="A3049" s="141">
        <v>195322</v>
      </c>
      <c r="B3049" s="147" t="s">
        <v>1053</v>
      </c>
      <c r="C3049" s="143" t="s">
        <v>64</v>
      </c>
      <c r="D3049" s="148" t="s">
        <v>7</v>
      </c>
      <c r="E3049" s="147"/>
      <c r="F3049" s="147"/>
      <c r="G3049" s="607"/>
      <c r="H3049" s="229"/>
    </row>
    <row r="3050" spans="1:8" s="113" customFormat="1" ht="26.25" x14ac:dyDescent="0.25">
      <c r="A3050" s="141">
        <v>195383</v>
      </c>
      <c r="B3050" s="147" t="s">
        <v>1225</v>
      </c>
      <c r="C3050" s="143" t="s">
        <v>914</v>
      </c>
      <c r="D3050" s="148" t="s">
        <v>68</v>
      </c>
      <c r="E3050" s="147"/>
      <c r="F3050" s="147"/>
      <c r="H3050" s="229"/>
    </row>
    <row r="3051" spans="1:8" s="113" customFormat="1" x14ac:dyDescent="0.25">
      <c r="A3051" s="187">
        <v>195713</v>
      </c>
      <c r="B3051" s="187" t="s">
        <v>3565</v>
      </c>
      <c r="C3051" s="187" t="s">
        <v>24</v>
      </c>
      <c r="D3051" s="187" t="s">
        <v>3566</v>
      </c>
      <c r="E3051" s="187"/>
      <c r="F3051" s="187"/>
      <c r="H3051" s="229"/>
    </row>
    <row r="3052" spans="1:8" s="113" customFormat="1" x14ac:dyDescent="0.25">
      <c r="A3052" s="187">
        <v>195713</v>
      </c>
      <c r="B3052" s="187" t="s">
        <v>3565</v>
      </c>
      <c r="C3052" s="187" t="s">
        <v>24</v>
      </c>
      <c r="D3052" s="187" t="s">
        <v>3566</v>
      </c>
      <c r="E3052" s="187"/>
      <c r="F3052" s="187"/>
      <c r="H3052" s="607"/>
    </row>
    <row r="3053" spans="1:8" s="113" customFormat="1" x14ac:dyDescent="0.25">
      <c r="A3053" s="190">
        <v>196152</v>
      </c>
      <c r="B3053" s="263" t="s">
        <v>2644</v>
      </c>
      <c r="C3053" s="606" t="s">
        <v>9</v>
      </c>
      <c r="D3053" s="606" t="s">
        <v>7</v>
      </c>
      <c r="E3053" s="606"/>
      <c r="F3053" s="606"/>
    </row>
    <row r="3054" spans="1:8" s="113" customFormat="1" x14ac:dyDescent="0.25">
      <c r="A3054" s="195">
        <v>196271</v>
      </c>
      <c r="B3054" s="188" t="s">
        <v>2971</v>
      </c>
      <c r="C3054" s="146" t="s">
        <v>1455</v>
      </c>
      <c r="D3054" s="146" t="s">
        <v>415</v>
      </c>
      <c r="E3054" s="606"/>
      <c r="F3054" s="606"/>
      <c r="H3054" s="229"/>
    </row>
    <row r="3055" spans="1:8" s="113" customFormat="1" x14ac:dyDescent="0.25">
      <c r="A3055" s="141">
        <v>196392</v>
      </c>
      <c r="B3055" s="147" t="s">
        <v>1044</v>
      </c>
      <c r="C3055" s="143" t="s">
        <v>101</v>
      </c>
      <c r="D3055" s="148" t="s">
        <v>504</v>
      </c>
      <c r="E3055" s="147"/>
      <c r="F3055" s="147"/>
      <c r="H3055" s="229"/>
    </row>
    <row r="3056" spans="1:8" s="113" customFormat="1" ht="26.25" x14ac:dyDescent="0.25">
      <c r="A3056" s="141">
        <v>196597</v>
      </c>
      <c r="B3056" s="147" t="s">
        <v>1483</v>
      </c>
      <c r="C3056" s="143" t="s">
        <v>1478</v>
      </c>
      <c r="D3056" s="148" t="s">
        <v>173</v>
      </c>
      <c r="E3056" s="248"/>
      <c r="F3056" s="248"/>
      <c r="H3056" s="607"/>
    </row>
    <row r="3057" spans="1:8" s="113" customFormat="1" ht="26.25" x14ac:dyDescent="0.25">
      <c r="A3057" s="141">
        <v>196690</v>
      </c>
      <c r="B3057" s="147" t="s">
        <v>1045</v>
      </c>
      <c r="C3057" s="143" t="s">
        <v>20</v>
      </c>
      <c r="D3057" s="148" t="s">
        <v>150</v>
      </c>
      <c r="E3057" s="147"/>
      <c r="F3057" s="147"/>
    </row>
    <row r="3058" spans="1:8" s="113" customFormat="1" x14ac:dyDescent="0.25">
      <c r="A3058" s="190">
        <v>196694</v>
      </c>
      <c r="B3058" s="188" t="s">
        <v>2538</v>
      </c>
      <c r="C3058" s="146" t="s">
        <v>384</v>
      </c>
      <c r="D3058" s="262" t="s">
        <v>415</v>
      </c>
      <c r="E3058" s="187"/>
      <c r="F3058" s="187"/>
      <c r="H3058" s="229"/>
    </row>
    <row r="3059" spans="1:8" s="113" customFormat="1" x14ac:dyDescent="0.25">
      <c r="A3059" s="195">
        <v>196794</v>
      </c>
      <c r="B3059" s="187" t="s">
        <v>3129</v>
      </c>
      <c r="C3059" s="187" t="s">
        <v>34</v>
      </c>
      <c r="D3059" s="148" t="s">
        <v>116</v>
      </c>
      <c r="E3059" s="606"/>
      <c r="F3059" s="187"/>
      <c r="H3059" s="229"/>
    </row>
    <row r="3060" spans="1:8" s="113" customFormat="1" x14ac:dyDescent="0.25">
      <c r="A3060" s="190">
        <v>196944</v>
      </c>
      <c r="B3060" s="263" t="s">
        <v>2656</v>
      </c>
      <c r="C3060" s="263" t="s">
        <v>417</v>
      </c>
      <c r="D3060" s="263" t="s">
        <v>504</v>
      </c>
      <c r="E3060" s="606"/>
      <c r="F3060" s="606"/>
      <c r="H3060" s="229"/>
    </row>
    <row r="3061" spans="1:8" s="113" customFormat="1" x14ac:dyDescent="0.25">
      <c r="A3061" s="190">
        <v>196999</v>
      </c>
      <c r="B3061" s="606" t="s">
        <v>2982</v>
      </c>
      <c r="C3061" s="606" t="s">
        <v>63</v>
      </c>
      <c r="D3061" s="606" t="s">
        <v>242</v>
      </c>
      <c r="E3061" s="606"/>
      <c r="F3061" s="606"/>
      <c r="H3061" s="229"/>
    </row>
    <row r="3062" spans="1:8" s="113" customFormat="1" x14ac:dyDescent="0.25">
      <c r="A3062" s="195">
        <v>197192</v>
      </c>
      <c r="B3062" s="187" t="s">
        <v>3551</v>
      </c>
      <c r="C3062" s="187" t="s">
        <v>22</v>
      </c>
      <c r="D3062" s="146" t="s">
        <v>3329</v>
      </c>
      <c r="E3062" s="189"/>
      <c r="F3062" s="187"/>
      <c r="H3062" s="229"/>
    </row>
    <row r="3063" spans="1:8" s="113" customFormat="1" x14ac:dyDescent="0.25">
      <c r="A3063" s="247">
        <v>197464</v>
      </c>
      <c r="B3063" s="250" t="s">
        <v>1319</v>
      </c>
      <c r="C3063" s="143" t="s">
        <v>38</v>
      </c>
      <c r="D3063" s="148" t="s">
        <v>143</v>
      </c>
      <c r="E3063" s="250"/>
      <c r="F3063" s="250"/>
      <c r="H3063" s="607"/>
    </row>
    <row r="3064" spans="1:8" s="113" customFormat="1" x14ac:dyDescent="0.25">
      <c r="A3064" s="606">
        <v>197503</v>
      </c>
      <c r="B3064" s="606" t="s">
        <v>2728</v>
      </c>
      <c r="C3064" s="606" t="s">
        <v>16</v>
      </c>
      <c r="D3064" s="606" t="s">
        <v>154</v>
      </c>
      <c r="E3064" s="606"/>
      <c r="F3064" s="606"/>
    </row>
    <row r="3065" spans="1:8" s="113" customFormat="1" ht="26.25" x14ac:dyDescent="0.25">
      <c r="A3065" s="187">
        <v>197503</v>
      </c>
      <c r="B3065" s="188" t="s">
        <v>2728</v>
      </c>
      <c r="C3065" s="146" t="s">
        <v>16</v>
      </c>
      <c r="D3065" s="148" t="s">
        <v>154</v>
      </c>
      <c r="E3065" s="606"/>
      <c r="F3065" s="606"/>
      <c r="H3065" s="229"/>
    </row>
    <row r="3066" spans="1:8" s="113" customFormat="1" ht="26.25" x14ac:dyDescent="0.25">
      <c r="A3066" s="187">
        <v>197503</v>
      </c>
      <c r="B3066" s="188" t="s">
        <v>2728</v>
      </c>
      <c r="C3066" s="146" t="s">
        <v>16</v>
      </c>
      <c r="D3066" s="148" t="s">
        <v>154</v>
      </c>
      <c r="E3066" s="606"/>
      <c r="F3066" s="606"/>
      <c r="H3066" s="229"/>
    </row>
    <row r="3067" spans="1:8" s="113" customFormat="1" x14ac:dyDescent="0.25">
      <c r="A3067" s="141">
        <v>197603</v>
      </c>
      <c r="B3067" s="147" t="s">
        <v>1395</v>
      </c>
      <c r="C3067" s="143" t="s">
        <v>64</v>
      </c>
      <c r="D3067" s="148" t="s">
        <v>228</v>
      </c>
      <c r="E3067" s="147"/>
      <c r="F3067" s="147"/>
      <c r="H3067" s="229"/>
    </row>
    <row r="3068" spans="1:8" s="113" customFormat="1" ht="30" x14ac:dyDescent="0.25">
      <c r="A3068" s="190">
        <v>197709</v>
      </c>
      <c r="B3068" s="606" t="s">
        <v>2896</v>
      </c>
      <c r="C3068" s="210" t="s">
        <v>2583</v>
      </c>
      <c r="D3068" s="606" t="s">
        <v>504</v>
      </c>
      <c r="E3068" s="606"/>
      <c r="F3068" s="606"/>
      <c r="H3068" s="607"/>
    </row>
    <row r="3069" spans="1:8" s="113" customFormat="1" ht="26.25" x14ac:dyDescent="0.25">
      <c r="A3069" s="195">
        <v>197709</v>
      </c>
      <c r="B3069" s="188" t="s">
        <v>2950</v>
      </c>
      <c r="C3069" s="146" t="s">
        <v>2583</v>
      </c>
      <c r="D3069" s="146" t="s">
        <v>504</v>
      </c>
      <c r="E3069" s="606"/>
      <c r="F3069" s="187"/>
      <c r="G3069" s="194"/>
      <c r="H3069" s="194"/>
    </row>
    <row r="3070" spans="1:8" s="113" customFormat="1" ht="26.25" x14ac:dyDescent="0.25">
      <c r="A3070" s="141">
        <v>197740</v>
      </c>
      <c r="B3070" s="147" t="s">
        <v>2639</v>
      </c>
      <c r="C3070" s="143" t="s">
        <v>157</v>
      </c>
      <c r="D3070" s="148" t="s">
        <v>242</v>
      </c>
      <c r="E3070" s="147"/>
      <c r="F3070" s="147"/>
      <c r="H3070" s="229"/>
    </row>
    <row r="3071" spans="1:8" s="113" customFormat="1" ht="39" x14ac:dyDescent="0.25">
      <c r="A3071" s="247">
        <v>197916</v>
      </c>
      <c r="B3071" s="248" t="s">
        <v>1414</v>
      </c>
      <c r="C3071" s="143" t="s">
        <v>1398</v>
      </c>
      <c r="D3071" s="244" t="s">
        <v>148</v>
      </c>
      <c r="E3071" s="248"/>
      <c r="F3071" s="248"/>
      <c r="G3071" s="607"/>
      <c r="H3071" s="229"/>
    </row>
    <row r="3072" spans="1:8" x14ac:dyDescent="0.25">
      <c r="A3072" s="173">
        <v>198127</v>
      </c>
      <c r="B3072" s="606" t="s">
        <v>3097</v>
      </c>
      <c r="C3072" s="606" t="s">
        <v>41</v>
      </c>
      <c r="D3072" s="606" t="s">
        <v>242</v>
      </c>
      <c r="E3072" s="606"/>
      <c r="F3072" s="606"/>
      <c r="G3072" s="113"/>
      <c r="H3072" s="229"/>
    </row>
    <row r="3073" spans="1:8" x14ac:dyDescent="0.25">
      <c r="A3073" s="187">
        <v>198178</v>
      </c>
      <c r="B3073" s="187" t="s">
        <v>2678</v>
      </c>
      <c r="C3073" s="187" t="s">
        <v>144</v>
      </c>
      <c r="D3073" s="244" t="s">
        <v>171</v>
      </c>
      <c r="E3073" s="606"/>
      <c r="F3073" s="187"/>
      <c r="G3073" s="113"/>
      <c r="H3073" s="229"/>
    </row>
    <row r="3074" spans="1:8" x14ac:dyDescent="0.25">
      <c r="A3074" s="190">
        <v>198507</v>
      </c>
      <c r="B3074" s="606" t="s">
        <v>3428</v>
      </c>
      <c r="C3074" s="606" t="s">
        <v>10</v>
      </c>
      <c r="D3074" s="606" t="s">
        <v>154</v>
      </c>
      <c r="E3074" s="606"/>
      <c r="F3074" s="606"/>
      <c r="G3074" s="113"/>
      <c r="H3074" s="229"/>
    </row>
    <row r="3075" spans="1:8" ht="26.25" x14ac:dyDescent="0.25">
      <c r="A3075" s="247">
        <v>198718</v>
      </c>
      <c r="B3075" s="248" t="s">
        <v>2490</v>
      </c>
      <c r="C3075" s="143" t="s">
        <v>20</v>
      </c>
      <c r="D3075" s="244" t="s">
        <v>302</v>
      </c>
      <c r="E3075" s="248"/>
      <c r="F3075" s="248"/>
      <c r="G3075" s="113"/>
      <c r="H3075" s="229"/>
    </row>
    <row r="3076" spans="1:8" x14ac:dyDescent="0.25">
      <c r="A3076" s="190">
        <v>198782</v>
      </c>
      <c r="B3076" s="606" t="s">
        <v>3395</v>
      </c>
      <c r="C3076" s="606" t="s">
        <v>32</v>
      </c>
      <c r="D3076" s="606" t="s">
        <v>154</v>
      </c>
      <c r="E3076" s="606"/>
      <c r="F3076" s="606"/>
      <c r="G3076" s="113"/>
      <c r="H3076" s="229"/>
    </row>
    <row r="3077" spans="1:8" x14ac:dyDescent="0.25">
      <c r="A3077" s="187">
        <v>198782</v>
      </c>
      <c r="B3077" s="187" t="s">
        <v>3395</v>
      </c>
      <c r="C3077" s="187" t="s">
        <v>32</v>
      </c>
      <c r="D3077" s="187" t="s">
        <v>154</v>
      </c>
      <c r="E3077" s="187"/>
      <c r="F3077" s="187"/>
      <c r="G3077" s="113"/>
      <c r="H3077" s="229"/>
    </row>
    <row r="3078" spans="1:8" x14ac:dyDescent="0.25">
      <c r="A3078" s="141">
        <v>198815</v>
      </c>
      <c r="B3078" s="147" t="s">
        <v>1046</v>
      </c>
      <c r="C3078" s="143" t="s">
        <v>47</v>
      </c>
      <c r="D3078" s="148" t="s">
        <v>159</v>
      </c>
      <c r="E3078" s="147"/>
      <c r="F3078" s="147"/>
      <c r="G3078" s="113"/>
    </row>
    <row r="3079" spans="1:8" x14ac:dyDescent="0.25">
      <c r="A3079" s="187">
        <v>198931</v>
      </c>
      <c r="B3079" s="187" t="s">
        <v>3290</v>
      </c>
      <c r="C3079" s="187" t="s">
        <v>140</v>
      </c>
      <c r="D3079" s="146" t="s">
        <v>109</v>
      </c>
      <c r="E3079" s="606"/>
      <c r="F3079" s="187"/>
      <c r="H3079" s="229"/>
    </row>
    <row r="3080" spans="1:8" x14ac:dyDescent="0.25">
      <c r="A3080" s="190">
        <v>198960</v>
      </c>
      <c r="B3080" s="606" t="s">
        <v>2936</v>
      </c>
      <c r="C3080" s="606" t="s">
        <v>16</v>
      </c>
      <c r="D3080" s="146" t="s">
        <v>154</v>
      </c>
      <c r="E3080" s="606"/>
      <c r="F3080" s="606"/>
      <c r="H3080" s="229"/>
    </row>
    <row r="3081" spans="1:8" x14ac:dyDescent="0.25">
      <c r="A3081" s="195">
        <v>198960</v>
      </c>
      <c r="B3081" s="187" t="s">
        <v>2936</v>
      </c>
      <c r="C3081" s="187" t="s">
        <v>16</v>
      </c>
      <c r="D3081" s="146" t="s">
        <v>2841</v>
      </c>
      <c r="E3081" s="606"/>
      <c r="F3081" s="187"/>
      <c r="G3081" s="229"/>
      <c r="H3081" s="229"/>
    </row>
    <row r="3082" spans="1:8" x14ac:dyDescent="0.25">
      <c r="A3082" s="247">
        <v>199147</v>
      </c>
      <c r="B3082" s="248" t="s">
        <v>1435</v>
      </c>
      <c r="C3082" s="143" t="s">
        <v>64</v>
      </c>
      <c r="D3082" s="244" t="s">
        <v>37</v>
      </c>
      <c r="E3082" s="248"/>
      <c r="F3082" s="248"/>
      <c r="H3082" s="229"/>
    </row>
    <row r="3083" spans="1:8" x14ac:dyDescent="0.25">
      <c r="A3083" s="187">
        <v>199279</v>
      </c>
      <c r="B3083" s="187" t="s">
        <v>3314</v>
      </c>
      <c r="C3083" s="187" t="s">
        <v>22</v>
      </c>
      <c r="D3083" s="187" t="s">
        <v>116</v>
      </c>
      <c r="E3083" s="187"/>
      <c r="F3083" s="187"/>
      <c r="G3083" s="229"/>
      <c r="H3083" s="229"/>
    </row>
    <row r="3084" spans="1:8" x14ac:dyDescent="0.25">
      <c r="A3084" s="190">
        <v>199614</v>
      </c>
      <c r="B3084" s="606" t="s">
        <v>3396</v>
      </c>
      <c r="C3084" s="606" t="s">
        <v>10</v>
      </c>
      <c r="D3084" s="606" t="s">
        <v>154</v>
      </c>
      <c r="E3084" s="606"/>
      <c r="F3084" s="606"/>
      <c r="G3084" s="229"/>
      <c r="H3084" s="229"/>
    </row>
    <row r="3085" spans="1:8" x14ac:dyDescent="0.25">
      <c r="A3085" s="190">
        <v>199614</v>
      </c>
      <c r="B3085" s="606" t="s">
        <v>3396</v>
      </c>
      <c r="C3085" s="606" t="s">
        <v>10</v>
      </c>
      <c r="D3085" s="606" t="s">
        <v>154</v>
      </c>
      <c r="E3085" s="606"/>
      <c r="F3085" s="606"/>
      <c r="H3085" s="229"/>
    </row>
    <row r="3086" spans="1:8" x14ac:dyDescent="0.25">
      <c r="A3086" s="190">
        <v>199792</v>
      </c>
      <c r="B3086" s="606" t="s">
        <v>3378</v>
      </c>
      <c r="C3086" s="606" t="s">
        <v>16</v>
      </c>
      <c r="D3086" s="606" t="s">
        <v>302</v>
      </c>
      <c r="E3086" s="606"/>
      <c r="F3086" s="606"/>
      <c r="G3086" s="229"/>
      <c r="H3086" s="229"/>
    </row>
    <row r="3087" spans="1:8" x14ac:dyDescent="0.25">
      <c r="A3087" s="190">
        <v>199792</v>
      </c>
      <c r="B3087" s="606" t="s">
        <v>3391</v>
      </c>
      <c r="C3087" s="606" t="s">
        <v>16</v>
      </c>
      <c r="D3087" s="606" t="s">
        <v>302</v>
      </c>
      <c r="E3087" s="606"/>
      <c r="F3087" s="606"/>
      <c r="G3087" s="229"/>
      <c r="H3087" s="229"/>
    </row>
    <row r="3088" spans="1:8" ht="26.25" x14ac:dyDescent="0.25">
      <c r="A3088" s="247">
        <v>199890</v>
      </c>
      <c r="B3088" s="250" t="s">
        <v>1311</v>
      </c>
      <c r="C3088" s="143" t="s">
        <v>20</v>
      </c>
      <c r="D3088" s="260" t="s">
        <v>302</v>
      </c>
      <c r="E3088" s="250"/>
      <c r="F3088" s="250"/>
      <c r="G3088" s="229"/>
      <c r="H3088" s="229"/>
    </row>
    <row r="3089" spans="1:8" x14ac:dyDescent="0.25">
      <c r="A3089" s="190">
        <v>199893</v>
      </c>
      <c r="B3089" s="606" t="s">
        <v>3171</v>
      </c>
      <c r="C3089" s="606" t="s">
        <v>17</v>
      </c>
      <c r="D3089" s="606" t="s">
        <v>11</v>
      </c>
      <c r="E3089" s="606"/>
      <c r="F3089" s="606"/>
      <c r="G3089" s="229"/>
      <c r="H3089" s="229"/>
    </row>
    <row r="3090" spans="1:8" x14ac:dyDescent="0.25">
      <c r="A3090" s="187">
        <v>199893</v>
      </c>
      <c r="B3090" s="187" t="s">
        <v>3171</v>
      </c>
      <c r="C3090" s="187" t="s">
        <v>17</v>
      </c>
      <c r="D3090" s="146" t="s">
        <v>11</v>
      </c>
      <c r="E3090" s="606"/>
      <c r="F3090" s="187"/>
      <c r="G3090" s="607"/>
      <c r="H3090" s="607"/>
    </row>
    <row r="3091" spans="1:8" x14ac:dyDescent="0.25">
      <c r="A3091" s="190">
        <v>200178</v>
      </c>
      <c r="B3091" s="606" t="s">
        <v>3170</v>
      </c>
      <c r="C3091" s="606" t="s">
        <v>8</v>
      </c>
      <c r="D3091" s="606" t="s">
        <v>242</v>
      </c>
      <c r="E3091" s="606"/>
      <c r="F3091" s="606"/>
      <c r="G3091" s="113"/>
      <c r="H3091" s="113"/>
    </row>
    <row r="3092" spans="1:8" x14ac:dyDescent="0.25">
      <c r="A3092" s="187">
        <v>200178</v>
      </c>
      <c r="B3092" s="187" t="s">
        <v>3170</v>
      </c>
      <c r="C3092" s="187" t="s">
        <v>8</v>
      </c>
      <c r="D3092" s="187" t="s">
        <v>3329</v>
      </c>
      <c r="E3092" s="187"/>
      <c r="F3092" s="187"/>
      <c r="H3092" s="229"/>
    </row>
    <row r="3093" spans="1:8" x14ac:dyDescent="0.25">
      <c r="A3093" s="195">
        <v>200300</v>
      </c>
      <c r="B3093" s="275" t="s">
        <v>3135</v>
      </c>
      <c r="C3093" s="275" t="s">
        <v>64</v>
      </c>
      <c r="D3093" s="146" t="s">
        <v>2841</v>
      </c>
      <c r="E3093" s="608"/>
      <c r="F3093" s="275"/>
      <c r="G3093" s="229"/>
      <c r="H3093" s="229"/>
    </row>
    <row r="3094" spans="1:8" ht="26.25" x14ac:dyDescent="0.25">
      <c r="A3094" s="247">
        <v>200311</v>
      </c>
      <c r="B3094" s="250" t="s">
        <v>1447</v>
      </c>
      <c r="C3094" s="143" t="s">
        <v>5</v>
      </c>
      <c r="D3094" s="260" t="s">
        <v>242</v>
      </c>
      <c r="E3094" s="250"/>
      <c r="F3094" s="250"/>
      <c r="G3094" s="607"/>
      <c r="H3094" s="229"/>
    </row>
    <row r="3095" spans="1:8" ht="26.25" x14ac:dyDescent="0.25">
      <c r="A3095" s="141">
        <v>200352</v>
      </c>
      <c r="B3095" s="147" t="s">
        <v>1184</v>
      </c>
      <c r="C3095" s="143" t="s">
        <v>16</v>
      </c>
      <c r="D3095" s="148" t="s">
        <v>302</v>
      </c>
      <c r="E3095" s="147"/>
      <c r="F3095" s="147"/>
      <c r="G3095" s="113"/>
      <c r="H3095" s="229"/>
    </row>
    <row r="3096" spans="1:8" x14ac:dyDescent="0.25">
      <c r="A3096" s="190">
        <v>200372</v>
      </c>
      <c r="B3096" s="606" t="s">
        <v>3201</v>
      </c>
      <c r="C3096" s="606" t="s">
        <v>32</v>
      </c>
      <c r="D3096" s="606" t="s">
        <v>242</v>
      </c>
      <c r="E3096" s="606"/>
      <c r="F3096" s="606"/>
      <c r="G3096" s="113"/>
      <c r="H3096" s="229"/>
    </row>
    <row r="3097" spans="1:8" x14ac:dyDescent="0.25">
      <c r="A3097" s="190">
        <v>200607</v>
      </c>
      <c r="B3097" s="606" t="s">
        <v>3267</v>
      </c>
      <c r="C3097" s="606" t="s">
        <v>17</v>
      </c>
      <c r="D3097" s="606" t="s">
        <v>242</v>
      </c>
      <c r="E3097" s="606"/>
      <c r="F3097" s="606"/>
      <c r="G3097" s="229"/>
      <c r="H3097" s="229"/>
    </row>
    <row r="3098" spans="1:8" x14ac:dyDescent="0.25">
      <c r="A3098" s="190">
        <v>200607</v>
      </c>
      <c r="B3098" s="606" t="s">
        <v>3267</v>
      </c>
      <c r="C3098" s="606" t="s">
        <v>17</v>
      </c>
      <c r="D3098" s="606" t="s">
        <v>3329</v>
      </c>
      <c r="E3098" s="606"/>
      <c r="F3098" s="606"/>
      <c r="G3098" s="229"/>
      <c r="H3098" s="229"/>
    </row>
    <row r="3099" spans="1:8" x14ac:dyDescent="0.25">
      <c r="A3099" s="190">
        <v>200607</v>
      </c>
      <c r="B3099" s="606" t="s">
        <v>3267</v>
      </c>
      <c r="C3099" s="606" t="s">
        <v>17</v>
      </c>
      <c r="D3099" s="606" t="s">
        <v>242</v>
      </c>
      <c r="E3099" s="606"/>
      <c r="F3099" s="606"/>
      <c r="H3099" s="229"/>
    </row>
    <row r="3100" spans="1:8" x14ac:dyDescent="0.25">
      <c r="A3100" s="190">
        <v>200632</v>
      </c>
      <c r="B3100" s="606" t="s">
        <v>3165</v>
      </c>
      <c r="C3100" s="606" t="s">
        <v>16</v>
      </c>
      <c r="D3100" s="606" t="s">
        <v>242</v>
      </c>
      <c r="E3100" s="606"/>
      <c r="F3100" s="606"/>
      <c r="H3100" s="229"/>
    </row>
    <row r="3101" spans="1:8" x14ac:dyDescent="0.25">
      <c r="A3101" s="301">
        <v>200632</v>
      </c>
      <c r="B3101" s="608" t="s">
        <v>3344</v>
      </c>
      <c r="C3101" s="608" t="s">
        <v>16</v>
      </c>
      <c r="D3101" s="608" t="s">
        <v>242</v>
      </c>
      <c r="E3101" s="608"/>
      <c r="F3101" s="608"/>
      <c r="H3101" s="229"/>
    </row>
    <row r="3102" spans="1:8" x14ac:dyDescent="0.25">
      <c r="A3102" s="141">
        <v>200760</v>
      </c>
      <c r="B3102" s="147" t="s">
        <v>2491</v>
      </c>
      <c r="C3102" s="143" t="s">
        <v>47</v>
      </c>
      <c r="D3102" s="148" t="s">
        <v>179</v>
      </c>
      <c r="E3102" s="147"/>
      <c r="F3102" s="147"/>
      <c r="G3102" s="229"/>
      <c r="H3102" s="229"/>
    </row>
    <row r="3103" spans="1:8" x14ac:dyDescent="0.25">
      <c r="A3103" s="190">
        <v>200925</v>
      </c>
      <c r="B3103" s="187" t="s">
        <v>2634</v>
      </c>
      <c r="C3103" s="187" t="s">
        <v>32</v>
      </c>
      <c r="D3103" s="148" t="s">
        <v>242</v>
      </c>
      <c r="E3103" s="606"/>
      <c r="F3103" s="606"/>
      <c r="G3103" s="229"/>
      <c r="H3103" s="229"/>
    </row>
    <row r="3104" spans="1:8" ht="26.25" x14ac:dyDescent="0.25">
      <c r="A3104" s="247">
        <v>201604</v>
      </c>
      <c r="B3104" s="248" t="s">
        <v>1318</v>
      </c>
      <c r="C3104" s="143" t="s">
        <v>1652</v>
      </c>
      <c r="D3104" s="260" t="s">
        <v>302</v>
      </c>
      <c r="E3104" s="248"/>
      <c r="F3104" s="248" t="s">
        <v>114</v>
      </c>
      <c r="H3104" s="229"/>
    </row>
    <row r="3105" spans="1:8" x14ac:dyDescent="0.25">
      <c r="A3105" s="190">
        <v>201777</v>
      </c>
      <c r="B3105" s="187" t="s">
        <v>3525</v>
      </c>
      <c r="C3105" s="187" t="s">
        <v>38</v>
      </c>
      <c r="D3105" s="187" t="s">
        <v>148</v>
      </c>
      <c r="E3105" s="606"/>
      <c r="F3105" s="606"/>
      <c r="H3105" s="229"/>
    </row>
    <row r="3106" spans="1:8" x14ac:dyDescent="0.25">
      <c r="A3106" s="187">
        <v>201777</v>
      </c>
      <c r="B3106" s="187" t="s">
        <v>3525</v>
      </c>
      <c r="C3106" s="187" t="s">
        <v>38</v>
      </c>
      <c r="D3106" s="187" t="s">
        <v>148</v>
      </c>
      <c r="E3106" s="187"/>
      <c r="F3106" s="187"/>
      <c r="G3106" s="229"/>
      <c r="H3106" s="229"/>
    </row>
    <row r="3107" spans="1:8" x14ac:dyDescent="0.25">
      <c r="A3107" s="247">
        <v>202072</v>
      </c>
      <c r="B3107" s="250" t="s">
        <v>2492</v>
      </c>
      <c r="C3107" s="143" t="s">
        <v>140</v>
      </c>
      <c r="D3107" s="260" t="s">
        <v>453</v>
      </c>
      <c r="E3107" s="250"/>
      <c r="F3107" s="250"/>
      <c r="G3107" s="229"/>
      <c r="H3107" s="229"/>
    </row>
    <row r="3108" spans="1:8" x14ac:dyDescent="0.25">
      <c r="A3108" s="247">
        <v>202077</v>
      </c>
      <c r="B3108" s="248" t="s">
        <v>1457</v>
      </c>
      <c r="C3108" s="143" t="s">
        <v>36</v>
      </c>
      <c r="D3108" s="244" t="s">
        <v>466</v>
      </c>
      <c r="E3108" s="248"/>
      <c r="F3108" s="248"/>
      <c r="H3108" s="229"/>
    </row>
    <row r="3109" spans="1:8" ht="26.25" x14ac:dyDescent="0.25">
      <c r="A3109" s="141">
        <v>202145</v>
      </c>
      <c r="B3109" s="147" t="s">
        <v>1250</v>
      </c>
      <c r="C3109" s="143" t="s">
        <v>6</v>
      </c>
      <c r="D3109" s="244" t="s">
        <v>242</v>
      </c>
      <c r="E3109" s="147"/>
      <c r="F3109" s="147"/>
      <c r="G3109" s="229"/>
      <c r="H3109" s="229"/>
    </row>
    <row r="3110" spans="1:8" x14ac:dyDescent="0.25">
      <c r="A3110" s="301">
        <v>202206</v>
      </c>
      <c r="B3110" s="608" t="s">
        <v>3332</v>
      </c>
      <c r="C3110" s="608" t="s">
        <v>3259</v>
      </c>
      <c r="D3110" s="608" t="s">
        <v>154</v>
      </c>
      <c r="E3110" s="608"/>
      <c r="F3110" s="608"/>
      <c r="G3110" s="607"/>
      <c r="H3110" s="229"/>
    </row>
    <row r="3111" spans="1:8" x14ac:dyDescent="0.25">
      <c r="A3111" s="190">
        <v>202206</v>
      </c>
      <c r="B3111" s="606" t="s">
        <v>3410</v>
      </c>
      <c r="C3111" s="606" t="s">
        <v>154</v>
      </c>
      <c r="D3111" s="606" t="s">
        <v>3259</v>
      </c>
      <c r="E3111" s="606"/>
      <c r="F3111" s="606"/>
      <c r="G3111" s="113"/>
      <c r="H3111" s="607"/>
    </row>
    <row r="3112" spans="1:8" x14ac:dyDescent="0.25">
      <c r="A3112" s="187">
        <v>202537</v>
      </c>
      <c r="B3112" s="188" t="s">
        <v>2724</v>
      </c>
      <c r="C3112" s="146" t="s">
        <v>140</v>
      </c>
      <c r="D3112" s="148" t="s">
        <v>453</v>
      </c>
      <c r="E3112" s="606"/>
      <c r="F3112" s="606"/>
      <c r="G3112" s="113"/>
      <c r="H3112" s="113"/>
    </row>
    <row r="3113" spans="1:8" x14ac:dyDescent="0.25">
      <c r="A3113" s="141">
        <v>202562</v>
      </c>
      <c r="B3113" s="147" t="s">
        <v>1314</v>
      </c>
      <c r="C3113" s="143" t="s">
        <v>140</v>
      </c>
      <c r="D3113" s="148" t="s">
        <v>453</v>
      </c>
      <c r="E3113" s="147"/>
      <c r="F3113" s="147"/>
      <c r="H3113" s="229"/>
    </row>
    <row r="3114" spans="1:8" x14ac:dyDescent="0.25">
      <c r="A3114" s="190">
        <v>202903</v>
      </c>
      <c r="B3114" s="188" t="s">
        <v>2867</v>
      </c>
      <c r="C3114" s="146" t="s">
        <v>64</v>
      </c>
      <c r="D3114" s="146" t="s">
        <v>37</v>
      </c>
      <c r="E3114" s="606"/>
      <c r="F3114" s="606"/>
      <c r="H3114" s="229"/>
    </row>
    <row r="3115" spans="1:8" x14ac:dyDescent="0.25">
      <c r="A3115" s="187">
        <v>203261</v>
      </c>
      <c r="B3115" s="187" t="s">
        <v>3605</v>
      </c>
      <c r="C3115" s="187" t="s">
        <v>144</v>
      </c>
      <c r="D3115" s="187" t="s">
        <v>11</v>
      </c>
      <c r="E3115" s="187"/>
      <c r="F3115" s="187"/>
      <c r="G3115" s="229"/>
      <c r="H3115" s="229"/>
    </row>
    <row r="3116" spans="1:8" ht="26.25" x14ac:dyDescent="0.25">
      <c r="A3116" s="141">
        <v>203378</v>
      </c>
      <c r="B3116" s="147" t="s">
        <v>2493</v>
      </c>
      <c r="C3116" s="143" t="s">
        <v>49</v>
      </c>
      <c r="D3116" s="148" t="s">
        <v>242</v>
      </c>
      <c r="E3116" s="147"/>
      <c r="F3116" s="147"/>
      <c r="H3116" s="607"/>
    </row>
    <row r="3117" spans="1:8" x14ac:dyDescent="0.25">
      <c r="A3117" s="190">
        <v>203509</v>
      </c>
      <c r="B3117" s="188" t="s">
        <v>2556</v>
      </c>
      <c r="C3117" s="187" t="s">
        <v>36</v>
      </c>
      <c r="D3117" s="187" t="s">
        <v>154</v>
      </c>
      <c r="E3117" s="606"/>
      <c r="F3117" s="606"/>
      <c r="G3117" s="607"/>
      <c r="H3117" s="113"/>
    </row>
    <row r="3118" spans="1:8" x14ac:dyDescent="0.25">
      <c r="A3118" s="141">
        <v>203885</v>
      </c>
      <c r="B3118" s="147" t="s">
        <v>1047</v>
      </c>
      <c r="C3118" s="143" t="s">
        <v>30</v>
      </c>
      <c r="D3118" s="148" t="s">
        <v>242</v>
      </c>
      <c r="E3118" s="147"/>
      <c r="F3118" s="147"/>
      <c r="G3118" s="113"/>
      <c r="H3118" s="113"/>
    </row>
    <row r="3119" spans="1:8" x14ac:dyDescent="0.25">
      <c r="A3119" s="159">
        <v>203995</v>
      </c>
      <c r="B3119" s="248" t="s">
        <v>2494</v>
      </c>
      <c r="C3119" s="143" t="s">
        <v>12</v>
      </c>
      <c r="D3119" s="244" t="s">
        <v>1460</v>
      </c>
      <c r="E3119" s="248"/>
      <c r="F3119" s="248"/>
      <c r="G3119" s="194"/>
      <c r="H3119" s="194"/>
    </row>
    <row r="3120" spans="1:8" x14ac:dyDescent="0.25">
      <c r="A3120" s="141">
        <v>204329</v>
      </c>
      <c r="B3120" s="190" t="s">
        <v>3025</v>
      </c>
      <c r="C3120" s="190" t="s">
        <v>10</v>
      </c>
      <c r="D3120" s="148" t="s">
        <v>154</v>
      </c>
      <c r="E3120" s="190"/>
      <c r="F3120" s="190"/>
      <c r="H3120" s="229"/>
    </row>
    <row r="3121" spans="1:8" x14ac:dyDescent="0.25">
      <c r="A3121" s="195">
        <v>204385</v>
      </c>
      <c r="B3121" s="187" t="s">
        <v>3530</v>
      </c>
      <c r="C3121" s="187" t="s">
        <v>64</v>
      </c>
      <c r="D3121" s="146" t="s">
        <v>154</v>
      </c>
      <c r="E3121" s="606"/>
      <c r="F3121" s="187"/>
      <c r="H3121" s="229"/>
    </row>
    <row r="3122" spans="1:8" x14ac:dyDescent="0.25">
      <c r="A3122" s="195">
        <v>204385</v>
      </c>
      <c r="B3122" s="187" t="s">
        <v>3530</v>
      </c>
      <c r="C3122" s="187" t="s">
        <v>64</v>
      </c>
      <c r="D3122" s="146" t="s">
        <v>154</v>
      </c>
      <c r="E3122" s="606"/>
      <c r="F3122" s="187"/>
      <c r="G3122" s="229"/>
      <c r="H3122" s="229"/>
    </row>
    <row r="3123" spans="1:8" x14ac:dyDescent="0.25">
      <c r="A3123" s="141">
        <v>204425</v>
      </c>
      <c r="B3123" s="147" t="s">
        <v>2495</v>
      </c>
      <c r="C3123" s="143" t="s">
        <v>38</v>
      </c>
      <c r="D3123" s="148" t="s">
        <v>453</v>
      </c>
      <c r="E3123" s="147"/>
      <c r="F3123" s="147"/>
      <c r="G3123" s="229"/>
      <c r="H3123" s="229"/>
    </row>
    <row r="3124" spans="1:8" x14ac:dyDescent="0.25">
      <c r="A3124" s="187">
        <v>204448</v>
      </c>
      <c r="B3124" s="187" t="s">
        <v>3716</v>
      </c>
      <c r="C3124" s="187" t="s">
        <v>5</v>
      </c>
      <c r="D3124" s="187" t="s">
        <v>242</v>
      </c>
      <c r="E3124" s="187"/>
      <c r="F3124" s="187"/>
      <c r="G3124" s="607"/>
      <c r="H3124" s="229"/>
    </row>
    <row r="3125" spans="1:8" x14ac:dyDescent="0.25">
      <c r="A3125" s="187">
        <v>204529</v>
      </c>
      <c r="B3125" s="188" t="s">
        <v>3106</v>
      </c>
      <c r="C3125" s="146" t="s">
        <v>10</v>
      </c>
      <c r="D3125" s="148" t="s">
        <v>154</v>
      </c>
      <c r="E3125" s="606"/>
      <c r="F3125" s="606"/>
      <c r="G3125" s="113"/>
      <c r="H3125" s="229"/>
    </row>
    <row r="3126" spans="1:8" x14ac:dyDescent="0.25">
      <c r="A3126" s="187">
        <v>204529</v>
      </c>
      <c r="B3126" s="187" t="s">
        <v>3106</v>
      </c>
      <c r="C3126" s="187" t="s">
        <v>10</v>
      </c>
      <c r="D3126" s="187" t="s">
        <v>154</v>
      </c>
      <c r="E3126" s="187"/>
      <c r="F3126" s="187"/>
      <c r="G3126" s="113"/>
      <c r="H3126" s="229"/>
    </row>
    <row r="3127" spans="1:8" x14ac:dyDescent="0.25">
      <c r="A3127" s="247">
        <v>204743</v>
      </c>
      <c r="B3127" s="250" t="s">
        <v>1393</v>
      </c>
      <c r="C3127" s="143" t="s">
        <v>90</v>
      </c>
      <c r="D3127" s="244" t="s">
        <v>109</v>
      </c>
      <c r="E3127" s="250"/>
      <c r="F3127" s="250"/>
      <c r="H3127" s="229"/>
    </row>
    <row r="3128" spans="1:8" x14ac:dyDescent="0.25">
      <c r="A3128" s="190">
        <v>204889</v>
      </c>
      <c r="B3128" s="188" t="s">
        <v>2571</v>
      </c>
      <c r="C3128" s="187" t="s">
        <v>140</v>
      </c>
      <c r="D3128" s="244" t="s">
        <v>453</v>
      </c>
      <c r="E3128" s="187"/>
      <c r="F3128" s="187"/>
      <c r="G3128" s="229"/>
      <c r="H3128" s="229"/>
    </row>
    <row r="3129" spans="1:8" x14ac:dyDescent="0.25">
      <c r="A3129" s="129">
        <v>204918</v>
      </c>
      <c r="B3129" s="606" t="s">
        <v>3098</v>
      </c>
      <c r="C3129" s="606" t="s">
        <v>3</v>
      </c>
      <c r="D3129" s="606" t="s">
        <v>116</v>
      </c>
      <c r="E3129" s="606"/>
      <c r="F3129" s="606"/>
      <c r="G3129" s="229"/>
      <c r="H3129" s="229"/>
    </row>
    <row r="3130" spans="1:8" x14ac:dyDescent="0.25">
      <c r="A3130" s="195">
        <v>204968</v>
      </c>
      <c r="B3130" s="187" t="s">
        <v>3251</v>
      </c>
      <c r="C3130" s="187" t="s">
        <v>38</v>
      </c>
      <c r="D3130" s="148" t="s">
        <v>453</v>
      </c>
      <c r="E3130" s="606"/>
      <c r="F3130" s="187"/>
      <c r="G3130" s="607"/>
      <c r="H3130" s="607"/>
    </row>
    <row r="3131" spans="1:8" x14ac:dyDescent="0.25">
      <c r="A3131" s="190">
        <v>205137</v>
      </c>
      <c r="B3131" s="606" t="s">
        <v>3091</v>
      </c>
      <c r="C3131" s="606" t="s">
        <v>16</v>
      </c>
      <c r="D3131" s="606" t="s">
        <v>3092</v>
      </c>
      <c r="E3131" s="606"/>
      <c r="F3131" s="606"/>
      <c r="G3131" s="194"/>
      <c r="H3131" s="194"/>
    </row>
    <row r="3132" spans="1:8" ht="26.25" x14ac:dyDescent="0.25">
      <c r="A3132" s="195">
        <v>205345</v>
      </c>
      <c r="B3132" s="188" t="s">
        <v>2976</v>
      </c>
      <c r="C3132" s="146" t="s">
        <v>16</v>
      </c>
      <c r="D3132" s="146" t="s">
        <v>154</v>
      </c>
      <c r="E3132" s="606"/>
      <c r="F3132" s="606"/>
      <c r="G3132" s="229"/>
      <c r="H3132" s="229"/>
    </row>
    <row r="3133" spans="1:8" x14ac:dyDescent="0.25">
      <c r="A3133" s="187">
        <v>205356</v>
      </c>
      <c r="B3133" s="187" t="s">
        <v>3572</v>
      </c>
      <c r="C3133" s="187" t="s">
        <v>16</v>
      </c>
      <c r="D3133" s="187" t="s">
        <v>302</v>
      </c>
      <c r="E3133" s="187"/>
      <c r="F3133" s="187"/>
      <c r="G3133" s="229"/>
      <c r="H3133" s="229"/>
    </row>
    <row r="3134" spans="1:8" ht="26.25" x14ac:dyDescent="0.25">
      <c r="A3134" s="190">
        <v>205378</v>
      </c>
      <c r="B3134" s="606" t="s">
        <v>2824</v>
      </c>
      <c r="C3134" s="146" t="s">
        <v>2825</v>
      </c>
      <c r="D3134" s="148" t="s">
        <v>109</v>
      </c>
      <c r="E3134" s="189"/>
      <c r="F3134" s="606"/>
      <c r="H3134" s="229"/>
    </row>
    <row r="3135" spans="1:8" x14ac:dyDescent="0.25">
      <c r="A3135" s="141">
        <v>205446</v>
      </c>
      <c r="B3135" s="147" t="s">
        <v>2496</v>
      </c>
      <c r="C3135" s="143" t="s">
        <v>140</v>
      </c>
      <c r="D3135" s="148" t="s">
        <v>453</v>
      </c>
      <c r="E3135" s="248"/>
      <c r="F3135" s="248"/>
      <c r="H3135" s="607"/>
    </row>
    <row r="3136" spans="1:8" x14ac:dyDescent="0.25">
      <c r="A3136" s="245">
        <v>205486</v>
      </c>
      <c r="B3136" s="246" t="s">
        <v>2586</v>
      </c>
      <c r="C3136" s="246" t="s">
        <v>36</v>
      </c>
      <c r="D3136" s="246" t="s">
        <v>242</v>
      </c>
      <c r="E3136" s="246"/>
      <c r="F3136" s="246"/>
      <c r="G3136" s="229"/>
      <c r="H3136" s="113"/>
    </row>
    <row r="3137" spans="1:8" ht="26.25" x14ac:dyDescent="0.25">
      <c r="A3137" s="195">
        <v>205520</v>
      </c>
      <c r="B3137" s="188" t="s">
        <v>2837</v>
      </c>
      <c r="C3137" s="146" t="s">
        <v>20</v>
      </c>
      <c r="D3137" s="146" t="s">
        <v>302</v>
      </c>
      <c r="E3137" s="606"/>
      <c r="F3137" s="606"/>
      <c r="H3137" s="113"/>
    </row>
    <row r="3138" spans="1:8" x14ac:dyDescent="0.25">
      <c r="A3138" s="187">
        <v>205599</v>
      </c>
      <c r="B3138" s="188" t="s">
        <v>2765</v>
      </c>
      <c r="C3138" s="146" t="s">
        <v>47</v>
      </c>
      <c r="D3138" s="146" t="s">
        <v>159</v>
      </c>
      <c r="E3138" s="606"/>
      <c r="F3138" s="606"/>
      <c r="G3138" s="607"/>
      <c r="H3138" s="113"/>
    </row>
    <row r="3139" spans="1:8" x14ac:dyDescent="0.25">
      <c r="A3139" s="190">
        <v>205651</v>
      </c>
      <c r="B3139" s="606" t="s">
        <v>2740</v>
      </c>
      <c r="C3139" s="606" t="s">
        <v>32</v>
      </c>
      <c r="D3139" s="606" t="s">
        <v>242</v>
      </c>
      <c r="E3139" s="606"/>
      <c r="F3139" s="606"/>
      <c r="G3139" s="229"/>
      <c r="H3139" s="113"/>
    </row>
    <row r="3140" spans="1:8" x14ac:dyDescent="0.25">
      <c r="A3140" s="187">
        <v>205938</v>
      </c>
      <c r="B3140" s="187" t="s">
        <v>3576</v>
      </c>
      <c r="C3140" s="187" t="s">
        <v>38</v>
      </c>
      <c r="D3140" s="187" t="s">
        <v>109</v>
      </c>
      <c r="E3140" s="187"/>
      <c r="F3140" s="187"/>
      <c r="G3140" s="229"/>
      <c r="H3140" s="113"/>
    </row>
    <row r="3141" spans="1:8" s="229" customFormat="1" ht="24.75" customHeight="1" x14ac:dyDescent="0.25">
      <c r="A3141" s="190">
        <v>205949</v>
      </c>
      <c r="B3141" s="606" t="s">
        <v>2784</v>
      </c>
      <c r="C3141" s="606" t="s">
        <v>2785</v>
      </c>
      <c r="D3141" s="606" t="s">
        <v>242</v>
      </c>
      <c r="E3141" s="606"/>
      <c r="F3141" s="606"/>
      <c r="H3141" s="113"/>
    </row>
    <row r="3142" spans="1:8" s="229" customFormat="1" ht="26.25" x14ac:dyDescent="0.25">
      <c r="A3142" s="141">
        <v>206823</v>
      </c>
      <c r="B3142" s="147" t="s">
        <v>1230</v>
      </c>
      <c r="C3142" s="143" t="s">
        <v>20</v>
      </c>
      <c r="D3142" s="148" t="s">
        <v>1231</v>
      </c>
      <c r="E3142" s="248"/>
      <c r="F3142" s="248"/>
      <c r="H3142" s="113"/>
    </row>
    <row r="3143" spans="1:8" x14ac:dyDescent="0.25">
      <c r="A3143" s="190">
        <v>206890</v>
      </c>
      <c r="B3143" s="606" t="s">
        <v>2981</v>
      </c>
      <c r="C3143" s="606" t="s">
        <v>12</v>
      </c>
      <c r="D3143" s="606" t="s">
        <v>811</v>
      </c>
      <c r="E3143" s="606"/>
      <c r="F3143" s="606"/>
      <c r="G3143" s="229"/>
      <c r="H3143" s="113"/>
    </row>
    <row r="3144" spans="1:8" s="229" customFormat="1" ht="24.75" customHeight="1" x14ac:dyDescent="0.25">
      <c r="A3144" s="187">
        <v>206890</v>
      </c>
      <c r="B3144" s="187" t="s">
        <v>2981</v>
      </c>
      <c r="C3144" s="187" t="s">
        <v>12</v>
      </c>
      <c r="D3144" s="187" t="s">
        <v>811</v>
      </c>
      <c r="E3144" s="187"/>
      <c r="F3144" s="187"/>
      <c r="H3144" s="113"/>
    </row>
    <row r="3145" spans="1:8" x14ac:dyDescent="0.25">
      <c r="A3145" s="190">
        <v>207099</v>
      </c>
      <c r="B3145" s="606" t="s">
        <v>3182</v>
      </c>
      <c r="C3145" s="606" t="s">
        <v>144</v>
      </c>
      <c r="D3145" s="606" t="s">
        <v>173</v>
      </c>
      <c r="E3145" s="189"/>
      <c r="F3145" s="606"/>
      <c r="G3145" s="229"/>
      <c r="H3145" s="229"/>
    </row>
    <row r="3146" spans="1:8" x14ac:dyDescent="0.25">
      <c r="A3146" s="141">
        <v>207281</v>
      </c>
      <c r="B3146" s="147" t="s">
        <v>1246</v>
      </c>
      <c r="C3146" s="143" t="s">
        <v>73</v>
      </c>
      <c r="D3146" s="148" t="s">
        <v>302</v>
      </c>
      <c r="E3146" s="147"/>
      <c r="F3146" s="147"/>
      <c r="G3146" s="229"/>
      <c r="H3146" s="113"/>
    </row>
    <row r="3147" spans="1:8" x14ac:dyDescent="0.25">
      <c r="A3147" s="195">
        <v>207312</v>
      </c>
      <c r="B3147" s="187" t="s">
        <v>3503</v>
      </c>
      <c r="C3147" s="187" t="s">
        <v>417</v>
      </c>
      <c r="D3147" s="146" t="s">
        <v>504</v>
      </c>
      <c r="E3147" s="606"/>
      <c r="F3147" s="187"/>
      <c r="G3147" s="229"/>
      <c r="H3147" s="113"/>
    </row>
    <row r="3148" spans="1:8" ht="26.25" x14ac:dyDescent="0.25">
      <c r="A3148" s="187">
        <v>207451</v>
      </c>
      <c r="B3148" s="188" t="s">
        <v>2800</v>
      </c>
      <c r="C3148" s="146" t="s">
        <v>16</v>
      </c>
      <c r="D3148" s="148" t="s">
        <v>154</v>
      </c>
      <c r="E3148" s="606"/>
      <c r="F3148" s="606"/>
      <c r="G3148" s="229"/>
      <c r="H3148" s="113"/>
    </row>
    <row r="3149" spans="1:8" ht="26.25" x14ac:dyDescent="0.25">
      <c r="A3149" s="141">
        <v>207513</v>
      </c>
      <c r="B3149" s="147" t="s">
        <v>1332</v>
      </c>
      <c r="C3149" s="143" t="s">
        <v>20</v>
      </c>
      <c r="D3149" s="148" t="s">
        <v>302</v>
      </c>
      <c r="E3149" s="248"/>
      <c r="F3149" s="248"/>
      <c r="G3149" s="229"/>
      <c r="H3149" s="113"/>
    </row>
    <row r="3150" spans="1:8" x14ac:dyDescent="0.25">
      <c r="A3150" s="141">
        <v>207755</v>
      </c>
      <c r="B3150" s="147" t="s">
        <v>1102</v>
      </c>
      <c r="C3150" s="143" t="s">
        <v>44</v>
      </c>
      <c r="D3150" s="148" t="s">
        <v>116</v>
      </c>
      <c r="E3150" s="147"/>
      <c r="F3150" s="147"/>
      <c r="G3150" s="113"/>
      <c r="H3150" s="113"/>
    </row>
    <row r="3151" spans="1:8" x14ac:dyDescent="0.25">
      <c r="A3151" s="190">
        <v>207847</v>
      </c>
      <c r="B3151" s="606" t="s">
        <v>3216</v>
      </c>
      <c r="C3151" s="606" t="s">
        <v>3217</v>
      </c>
      <c r="D3151" s="606" t="s">
        <v>3206</v>
      </c>
      <c r="E3151" s="189"/>
      <c r="F3151" s="606"/>
      <c r="G3151" s="229"/>
      <c r="H3151" s="113"/>
    </row>
    <row r="3152" spans="1:8" x14ac:dyDescent="0.25">
      <c r="A3152" s="190">
        <v>207955</v>
      </c>
      <c r="B3152" s="606" t="s">
        <v>2786</v>
      </c>
      <c r="C3152" s="606" t="s">
        <v>2787</v>
      </c>
      <c r="D3152" s="606" t="s">
        <v>2788</v>
      </c>
      <c r="E3152" s="606"/>
      <c r="F3152" s="606"/>
      <c r="G3152" s="229"/>
      <c r="H3152" s="113"/>
    </row>
    <row r="3153" spans="1:8" s="229" customFormat="1" ht="24.75" customHeight="1" x14ac:dyDescent="0.25">
      <c r="A3153" s="129">
        <v>207993</v>
      </c>
      <c r="B3153" s="606" t="s">
        <v>3144</v>
      </c>
      <c r="C3153" s="606" t="s">
        <v>49</v>
      </c>
      <c r="D3153" s="606" t="s">
        <v>154</v>
      </c>
      <c r="E3153" s="606"/>
      <c r="F3153" s="606"/>
      <c r="H3153" s="113"/>
    </row>
    <row r="3154" spans="1:8" x14ac:dyDescent="0.25">
      <c r="A3154" s="195">
        <v>207993</v>
      </c>
      <c r="B3154" s="187" t="s">
        <v>3144</v>
      </c>
      <c r="C3154" s="187" t="s">
        <v>49</v>
      </c>
      <c r="D3154" s="146" t="s">
        <v>7</v>
      </c>
      <c r="E3154" s="606"/>
      <c r="F3154" s="187"/>
      <c r="G3154" s="229"/>
      <c r="H3154" s="113"/>
    </row>
    <row r="3155" spans="1:8" s="229" customFormat="1" ht="24.75" customHeight="1" x14ac:dyDescent="0.25">
      <c r="A3155" s="187">
        <v>208068</v>
      </c>
      <c r="B3155" s="188" t="s">
        <v>3105</v>
      </c>
      <c r="C3155" s="146" t="s">
        <v>17</v>
      </c>
      <c r="D3155" s="148" t="s">
        <v>154</v>
      </c>
      <c r="E3155" s="606"/>
      <c r="F3155" s="606"/>
      <c r="H3155" s="113"/>
    </row>
    <row r="3156" spans="1:8" x14ac:dyDescent="0.25">
      <c r="A3156" s="190">
        <v>208068</v>
      </c>
      <c r="B3156" s="606" t="s">
        <v>3105</v>
      </c>
      <c r="C3156" s="606" t="s">
        <v>17</v>
      </c>
      <c r="D3156" s="606" t="s">
        <v>154</v>
      </c>
      <c r="E3156" s="189"/>
      <c r="F3156" s="606"/>
      <c r="G3156" s="113"/>
      <c r="H3156" s="113"/>
    </row>
    <row r="3157" spans="1:8" x14ac:dyDescent="0.25">
      <c r="A3157" s="195">
        <v>208068</v>
      </c>
      <c r="B3157" s="187" t="s">
        <v>3105</v>
      </c>
      <c r="C3157" s="187" t="s">
        <v>17</v>
      </c>
      <c r="D3157" s="146" t="s">
        <v>154</v>
      </c>
      <c r="E3157" s="606"/>
      <c r="F3157" s="187"/>
      <c r="G3157" s="229"/>
      <c r="H3157" s="113"/>
    </row>
    <row r="3158" spans="1:8" ht="26.25" x14ac:dyDescent="0.25">
      <c r="A3158" s="187">
        <v>208100</v>
      </c>
      <c r="B3158" s="188" t="s">
        <v>2733</v>
      </c>
      <c r="C3158" s="146" t="s">
        <v>16</v>
      </c>
      <c r="D3158" s="146" t="s">
        <v>154</v>
      </c>
      <c r="E3158" s="606"/>
      <c r="F3158" s="606"/>
      <c r="G3158" s="229"/>
      <c r="H3158" s="113"/>
    </row>
    <row r="3159" spans="1:8" s="113" customFormat="1" x14ac:dyDescent="0.25">
      <c r="A3159" s="195">
        <v>208552</v>
      </c>
      <c r="B3159" s="187" t="s">
        <v>3547</v>
      </c>
      <c r="C3159" s="187" t="s">
        <v>1590</v>
      </c>
      <c r="D3159" s="146" t="s">
        <v>302</v>
      </c>
      <c r="E3159" s="189"/>
      <c r="F3159" s="187"/>
      <c r="G3159" s="229"/>
      <c r="H3159" s="229"/>
    </row>
    <row r="3160" spans="1:8" x14ac:dyDescent="0.25">
      <c r="A3160" s="187">
        <v>208552</v>
      </c>
      <c r="B3160" s="187" t="s">
        <v>3547</v>
      </c>
      <c r="C3160" s="187" t="s">
        <v>1590</v>
      </c>
      <c r="D3160" s="187" t="s">
        <v>242</v>
      </c>
      <c r="E3160" s="187"/>
      <c r="F3160" s="187"/>
      <c r="G3160" s="229"/>
      <c r="H3160" s="113"/>
    </row>
    <row r="3161" spans="1:8" x14ac:dyDescent="0.25">
      <c r="A3161" s="195">
        <v>210050</v>
      </c>
      <c r="B3161" s="187" t="s">
        <v>3482</v>
      </c>
      <c r="C3161" s="187" t="s">
        <v>44</v>
      </c>
      <c r="D3161" s="146" t="s">
        <v>415</v>
      </c>
      <c r="E3161" s="189"/>
      <c r="F3161" s="187"/>
      <c r="G3161" s="229"/>
      <c r="H3161" s="229"/>
    </row>
    <row r="3162" spans="1:8" s="229" customFormat="1" x14ac:dyDescent="0.25">
      <c r="A3162" s="190">
        <v>210186</v>
      </c>
      <c r="B3162" s="606" t="s">
        <v>3234</v>
      </c>
      <c r="C3162" s="606" t="s">
        <v>1455</v>
      </c>
      <c r="D3162" s="606" t="s">
        <v>415</v>
      </c>
      <c r="E3162" s="606"/>
      <c r="F3162" s="606"/>
      <c r="H3162" s="113"/>
    </row>
    <row r="3163" spans="1:8" s="229" customFormat="1" x14ac:dyDescent="0.25">
      <c r="A3163" s="187">
        <v>210186</v>
      </c>
      <c r="B3163" s="187" t="s">
        <v>3234</v>
      </c>
      <c r="C3163" s="187" t="s">
        <v>1455</v>
      </c>
      <c r="D3163" s="146" t="s">
        <v>415</v>
      </c>
      <c r="E3163" s="189"/>
      <c r="F3163" s="187"/>
      <c r="H3163" s="113"/>
    </row>
    <row r="3164" spans="1:8" s="229" customFormat="1" x14ac:dyDescent="0.25">
      <c r="A3164" s="190">
        <v>210199</v>
      </c>
      <c r="B3164" s="189" t="s">
        <v>3270</v>
      </c>
      <c r="C3164" s="189" t="s">
        <v>16</v>
      </c>
      <c r="D3164" s="189" t="s">
        <v>302</v>
      </c>
      <c r="E3164" s="189"/>
      <c r="F3164" s="189"/>
      <c r="H3164" s="113"/>
    </row>
    <row r="3165" spans="1:8" s="229" customFormat="1" x14ac:dyDescent="0.25">
      <c r="A3165" s="190">
        <v>210396</v>
      </c>
      <c r="B3165" s="188" t="s">
        <v>2576</v>
      </c>
      <c r="C3165" s="187" t="s">
        <v>36</v>
      </c>
      <c r="D3165" s="244" t="s">
        <v>242</v>
      </c>
      <c r="E3165" s="606"/>
      <c r="F3165" s="606"/>
      <c r="H3165" s="113"/>
    </row>
    <row r="3166" spans="1:8" s="229" customFormat="1" x14ac:dyDescent="0.25">
      <c r="A3166" s="190">
        <v>210404</v>
      </c>
      <c r="B3166" s="606" t="s">
        <v>3680</v>
      </c>
      <c r="C3166" s="606" t="s">
        <v>140</v>
      </c>
      <c r="D3166" s="606" t="s">
        <v>143</v>
      </c>
      <c r="E3166" s="189"/>
      <c r="F3166" s="189"/>
    </row>
    <row r="3167" spans="1:8" x14ac:dyDescent="0.25">
      <c r="A3167" s="190">
        <v>210499</v>
      </c>
      <c r="B3167" s="606" t="s">
        <v>3185</v>
      </c>
      <c r="C3167" s="606" t="s">
        <v>17</v>
      </c>
      <c r="D3167" s="606" t="s">
        <v>242</v>
      </c>
      <c r="E3167" s="606"/>
      <c r="F3167" s="606"/>
      <c r="G3167" s="229"/>
      <c r="H3167" s="229"/>
    </row>
    <row r="3168" spans="1:8" x14ac:dyDescent="0.25">
      <c r="A3168" s="187">
        <v>210847</v>
      </c>
      <c r="B3168" s="187" t="s">
        <v>3575</v>
      </c>
      <c r="C3168" s="187" t="s">
        <v>49</v>
      </c>
      <c r="D3168" s="187" t="s">
        <v>116</v>
      </c>
      <c r="E3168" s="187"/>
      <c r="F3168" s="187"/>
      <c r="G3168" s="229"/>
      <c r="H3168" s="113"/>
    </row>
    <row r="3169" spans="1:8" x14ac:dyDescent="0.25">
      <c r="A3169" s="190">
        <v>210982</v>
      </c>
      <c r="B3169" s="203" t="s">
        <v>2862</v>
      </c>
      <c r="C3169" s="187" t="s">
        <v>36</v>
      </c>
      <c r="D3169" s="187" t="s">
        <v>242</v>
      </c>
      <c r="E3169" s="606"/>
      <c r="F3169" s="606"/>
      <c r="G3169" s="229"/>
      <c r="H3169" s="113"/>
    </row>
    <row r="3170" spans="1:8" x14ac:dyDescent="0.25">
      <c r="A3170" s="195">
        <v>211080</v>
      </c>
      <c r="B3170" s="606" t="s">
        <v>3229</v>
      </c>
      <c r="C3170" s="606" t="s">
        <v>44</v>
      </c>
      <c r="D3170" s="606" t="s">
        <v>501</v>
      </c>
      <c r="E3170" s="606"/>
      <c r="F3170" s="187"/>
      <c r="G3170" s="229"/>
      <c r="H3170" s="113"/>
    </row>
    <row r="3171" spans="1:8" ht="26.25" x14ac:dyDescent="0.25">
      <c r="A3171" s="190">
        <v>211104</v>
      </c>
      <c r="B3171" s="188" t="s">
        <v>2521</v>
      </c>
      <c r="C3171" s="146" t="s">
        <v>5</v>
      </c>
      <c r="D3171" s="244" t="s">
        <v>242</v>
      </c>
      <c r="E3171" s="187"/>
      <c r="F3171" s="187"/>
      <c r="G3171" s="229"/>
      <c r="H3171" s="113"/>
    </row>
    <row r="3172" spans="1:8" ht="26.25" x14ac:dyDescent="0.25">
      <c r="A3172" s="195">
        <v>211225</v>
      </c>
      <c r="B3172" s="188" t="s">
        <v>2944</v>
      </c>
      <c r="C3172" s="146" t="s">
        <v>20</v>
      </c>
      <c r="D3172" s="146" t="s">
        <v>302</v>
      </c>
      <c r="E3172" s="606"/>
      <c r="F3172" s="187"/>
      <c r="G3172" s="229"/>
      <c r="H3172" s="113"/>
    </row>
    <row r="3173" spans="1:8" s="113" customFormat="1" x14ac:dyDescent="0.25">
      <c r="A3173" s="187">
        <v>211648</v>
      </c>
      <c r="B3173" s="187" t="s">
        <v>3608</v>
      </c>
      <c r="C3173" s="187" t="s">
        <v>16</v>
      </c>
      <c r="D3173" s="187" t="s">
        <v>2788</v>
      </c>
      <c r="E3173" s="187"/>
      <c r="F3173" s="187"/>
      <c r="G3173" s="229"/>
    </row>
    <row r="3174" spans="1:8" s="113" customFormat="1" x14ac:dyDescent="0.25">
      <c r="A3174" s="141">
        <v>211699</v>
      </c>
      <c r="B3174" s="147" t="s">
        <v>2497</v>
      </c>
      <c r="C3174" s="143" t="s">
        <v>140</v>
      </c>
      <c r="D3174" s="143" t="s">
        <v>143</v>
      </c>
      <c r="E3174" s="147"/>
      <c r="F3174" s="147"/>
      <c r="G3174" s="229"/>
      <c r="H3174" s="229"/>
    </row>
    <row r="3175" spans="1:8" s="113" customFormat="1" x14ac:dyDescent="0.25">
      <c r="A3175" s="195">
        <v>211745</v>
      </c>
      <c r="B3175" s="187" t="s">
        <v>3062</v>
      </c>
      <c r="C3175" s="143" t="s">
        <v>63</v>
      </c>
      <c r="D3175" s="148" t="s">
        <v>116</v>
      </c>
      <c r="E3175" s="606"/>
      <c r="F3175" s="187"/>
      <c r="G3175" s="229"/>
    </row>
    <row r="3176" spans="1:8" s="113" customFormat="1" x14ac:dyDescent="0.25">
      <c r="A3176" s="190">
        <v>211786</v>
      </c>
      <c r="B3176" s="606" t="s">
        <v>3071</v>
      </c>
      <c r="C3176" s="606" t="s">
        <v>24</v>
      </c>
      <c r="D3176" s="606" t="s">
        <v>37</v>
      </c>
      <c r="E3176" s="606"/>
      <c r="F3176" s="606"/>
    </row>
    <row r="3177" spans="1:8" s="113" customFormat="1" x14ac:dyDescent="0.25">
      <c r="A3177" s="190">
        <v>212003</v>
      </c>
      <c r="B3177" s="202" t="s">
        <v>2863</v>
      </c>
      <c r="C3177" s="606" t="s">
        <v>9</v>
      </c>
      <c r="D3177" s="187" t="s">
        <v>116</v>
      </c>
      <c r="E3177" s="606"/>
      <c r="F3177" s="606"/>
      <c r="G3177" s="229"/>
    </row>
    <row r="3178" spans="1:8" s="113" customFormat="1" x14ac:dyDescent="0.25">
      <c r="A3178" s="187">
        <v>212439</v>
      </c>
      <c r="B3178" s="187" t="s">
        <v>3630</v>
      </c>
      <c r="C3178" s="187" t="s">
        <v>22</v>
      </c>
      <c r="D3178" s="187" t="s">
        <v>268</v>
      </c>
      <c r="E3178" s="187"/>
      <c r="F3178" s="187"/>
      <c r="G3178" s="229"/>
    </row>
    <row r="3179" spans="1:8" s="113" customFormat="1" x14ac:dyDescent="0.25">
      <c r="A3179" s="187">
        <v>212750</v>
      </c>
      <c r="B3179" s="187" t="s">
        <v>3751</v>
      </c>
      <c r="C3179" s="187"/>
      <c r="D3179" s="187" t="s">
        <v>154</v>
      </c>
      <c r="E3179" s="187"/>
      <c r="F3179" s="187"/>
      <c r="G3179" s="229"/>
    </row>
    <row r="3180" spans="1:8" s="113" customFormat="1" x14ac:dyDescent="0.25">
      <c r="A3180" s="141">
        <v>212944</v>
      </c>
      <c r="B3180" s="147" t="s">
        <v>2498</v>
      </c>
      <c r="C3180" s="143" t="s">
        <v>47</v>
      </c>
      <c r="D3180" s="148" t="s">
        <v>159</v>
      </c>
      <c r="E3180" s="248"/>
      <c r="F3180" s="248"/>
      <c r="G3180" s="229"/>
    </row>
    <row r="3181" spans="1:8" s="113" customFormat="1" x14ac:dyDescent="0.25">
      <c r="A3181" s="141">
        <v>213217</v>
      </c>
      <c r="B3181" s="147" t="s">
        <v>1583</v>
      </c>
      <c r="C3181" s="143" t="s">
        <v>64</v>
      </c>
      <c r="D3181" s="260" t="s">
        <v>237</v>
      </c>
      <c r="E3181" s="248"/>
      <c r="F3181" s="248"/>
      <c r="G3181" s="229"/>
    </row>
    <row r="3182" spans="1:8" s="113" customFormat="1" x14ac:dyDescent="0.25">
      <c r="A3182" s="195">
        <v>213253</v>
      </c>
      <c r="B3182" s="187" t="s">
        <v>3494</v>
      </c>
      <c r="C3182" s="187" t="s">
        <v>12</v>
      </c>
      <c r="D3182" s="146" t="s">
        <v>811</v>
      </c>
      <c r="E3182" s="606"/>
      <c r="F3182" s="187"/>
      <c r="G3182" s="229"/>
    </row>
    <row r="3183" spans="1:8" s="113" customFormat="1" x14ac:dyDescent="0.25">
      <c r="A3183" s="187">
        <v>213253</v>
      </c>
      <c r="B3183" s="187" t="s">
        <v>3494</v>
      </c>
      <c r="C3183" s="187" t="s">
        <v>12</v>
      </c>
      <c r="D3183" s="187" t="s">
        <v>811</v>
      </c>
      <c r="E3183" s="187"/>
      <c r="F3183" s="187"/>
      <c r="G3183" s="229"/>
    </row>
    <row r="3184" spans="1:8" s="113" customFormat="1" x14ac:dyDescent="0.25">
      <c r="A3184" s="190">
        <v>213253</v>
      </c>
      <c r="B3184" s="606" t="s">
        <v>3494</v>
      </c>
      <c r="C3184" s="606" t="s">
        <v>12</v>
      </c>
      <c r="D3184" s="606" t="s">
        <v>811</v>
      </c>
      <c r="E3184" s="189"/>
      <c r="F3184" s="606"/>
      <c r="G3184" s="229"/>
    </row>
    <row r="3185" spans="1:8" s="113" customFormat="1" x14ac:dyDescent="0.25">
      <c r="A3185" s="247">
        <v>213267</v>
      </c>
      <c r="B3185" s="250" t="s">
        <v>1532</v>
      </c>
      <c r="C3185" s="143" t="s">
        <v>140</v>
      </c>
      <c r="D3185" s="260" t="s">
        <v>148</v>
      </c>
      <c r="E3185" s="250"/>
      <c r="F3185" s="250"/>
      <c r="G3185" s="229"/>
    </row>
    <row r="3186" spans="1:8" s="113" customFormat="1" x14ac:dyDescent="0.25">
      <c r="A3186" s="141">
        <v>213458</v>
      </c>
      <c r="B3186" s="190" t="s">
        <v>3044</v>
      </c>
      <c r="C3186" s="190" t="s">
        <v>49</v>
      </c>
      <c r="D3186" s="146" t="s">
        <v>242</v>
      </c>
      <c r="E3186" s="190"/>
      <c r="F3186" s="190"/>
      <c r="G3186" s="229"/>
    </row>
    <row r="3187" spans="1:8" s="113" customFormat="1" x14ac:dyDescent="0.25">
      <c r="A3187" s="141">
        <v>213728</v>
      </c>
      <c r="B3187" s="147" t="s">
        <v>1459</v>
      </c>
      <c r="C3187" s="143" t="s">
        <v>36</v>
      </c>
      <c r="D3187" s="148" t="s">
        <v>116</v>
      </c>
      <c r="E3187" s="248"/>
      <c r="F3187" s="248"/>
    </row>
    <row r="3188" spans="1:8" s="113" customFormat="1" ht="26.25" x14ac:dyDescent="0.25">
      <c r="A3188" s="187">
        <v>213739</v>
      </c>
      <c r="B3188" s="188" t="s">
        <v>3081</v>
      </c>
      <c r="C3188" s="146" t="s">
        <v>8</v>
      </c>
      <c r="D3188" s="148" t="s">
        <v>116</v>
      </c>
      <c r="E3188" s="606"/>
      <c r="F3188" s="606"/>
      <c r="G3188" s="229"/>
    </row>
    <row r="3189" spans="1:8" s="113" customFormat="1" ht="26.25" x14ac:dyDescent="0.25">
      <c r="A3189" s="141">
        <v>213750</v>
      </c>
      <c r="B3189" s="147" t="s">
        <v>1154</v>
      </c>
      <c r="C3189" s="143" t="s">
        <v>20</v>
      </c>
      <c r="D3189" s="148" t="s">
        <v>302</v>
      </c>
      <c r="E3189" s="147"/>
      <c r="F3189" s="147"/>
      <c r="G3189" s="229"/>
    </row>
    <row r="3190" spans="1:8" s="113" customFormat="1" ht="39" x14ac:dyDescent="0.25">
      <c r="A3190" s="247">
        <v>213825</v>
      </c>
      <c r="B3190" s="248" t="s">
        <v>1397</v>
      </c>
      <c r="C3190" s="143" t="s">
        <v>1398</v>
      </c>
      <c r="D3190" s="244" t="s">
        <v>453</v>
      </c>
      <c r="E3190" s="248"/>
      <c r="F3190" s="248"/>
      <c r="G3190" s="229"/>
    </row>
    <row r="3191" spans="1:8" s="113" customFormat="1" x14ac:dyDescent="0.25">
      <c r="A3191" s="195">
        <v>214081</v>
      </c>
      <c r="B3191" s="188" t="s">
        <v>3001</v>
      </c>
      <c r="C3191" s="146" t="s">
        <v>2787</v>
      </c>
      <c r="D3191" s="148" t="s">
        <v>116</v>
      </c>
      <c r="E3191" s="189"/>
      <c r="F3191" s="187"/>
      <c r="G3191" s="229"/>
    </row>
    <row r="3192" spans="1:8" s="113" customFormat="1" ht="26.25" x14ac:dyDescent="0.25">
      <c r="A3192" s="247">
        <v>214197</v>
      </c>
      <c r="B3192" s="248" t="s">
        <v>1210</v>
      </c>
      <c r="C3192" s="143" t="s">
        <v>27</v>
      </c>
      <c r="D3192" s="244" t="s">
        <v>116</v>
      </c>
      <c r="E3192" s="248"/>
      <c r="F3192" s="248"/>
      <c r="G3192" s="229"/>
    </row>
    <row r="3193" spans="1:8" s="113" customFormat="1" x14ac:dyDescent="0.25">
      <c r="A3193" s="195">
        <v>214225</v>
      </c>
      <c r="B3193" s="187" t="s">
        <v>3502</v>
      </c>
      <c r="C3193" s="187" t="s">
        <v>16</v>
      </c>
      <c r="D3193" s="146" t="s">
        <v>242</v>
      </c>
      <c r="E3193" s="606"/>
      <c r="F3193" s="187"/>
      <c r="G3193" s="229"/>
    </row>
    <row r="3194" spans="1:8" s="113" customFormat="1" x14ac:dyDescent="0.25">
      <c r="A3194" s="187">
        <v>214225</v>
      </c>
      <c r="B3194" s="187" t="s">
        <v>3502</v>
      </c>
      <c r="C3194" s="187" t="s">
        <v>16</v>
      </c>
      <c r="D3194" s="187" t="s">
        <v>3329</v>
      </c>
      <c r="E3194" s="187"/>
      <c r="F3194" s="187"/>
      <c r="G3194" s="229"/>
      <c r="H3194" s="229"/>
    </row>
    <row r="3195" spans="1:8" s="113" customFormat="1" x14ac:dyDescent="0.25">
      <c r="A3195" s="195">
        <v>214465</v>
      </c>
      <c r="B3195" s="187" t="s">
        <v>3231</v>
      </c>
      <c r="C3195" s="187" t="s">
        <v>38</v>
      </c>
      <c r="D3195" s="146" t="s">
        <v>109</v>
      </c>
      <c r="E3195" s="606"/>
      <c r="F3195" s="187"/>
      <c r="G3195" s="229"/>
      <c r="H3195" s="229"/>
    </row>
    <row r="3196" spans="1:8" s="113" customFormat="1" x14ac:dyDescent="0.25">
      <c r="A3196" s="190">
        <v>214753</v>
      </c>
      <c r="B3196" s="606" t="s">
        <v>3665</v>
      </c>
      <c r="C3196" s="606" t="s">
        <v>38</v>
      </c>
      <c r="D3196" s="606" t="s">
        <v>148</v>
      </c>
      <c r="E3196" s="606"/>
      <c r="F3196" s="606"/>
    </row>
    <row r="3197" spans="1:8" s="113" customFormat="1" x14ac:dyDescent="0.25">
      <c r="A3197" s="190">
        <v>214977</v>
      </c>
      <c r="B3197" s="606" t="s">
        <v>3370</v>
      </c>
      <c r="C3197" s="606" t="s">
        <v>64</v>
      </c>
      <c r="D3197" s="606" t="s">
        <v>237</v>
      </c>
      <c r="E3197" s="606"/>
      <c r="F3197" s="606"/>
      <c r="G3197" s="229"/>
      <c r="H3197" s="194"/>
    </row>
    <row r="3198" spans="1:8" s="113" customFormat="1" x14ac:dyDescent="0.25">
      <c r="A3198" s="190">
        <v>214977</v>
      </c>
      <c r="B3198" s="606" t="s">
        <v>3370</v>
      </c>
      <c r="C3198" s="606" t="s">
        <v>64</v>
      </c>
      <c r="D3198" s="606" t="s">
        <v>237</v>
      </c>
      <c r="E3198" s="606"/>
      <c r="F3198" s="606"/>
      <c r="G3198" s="229"/>
      <c r="H3198" s="229"/>
    </row>
    <row r="3199" spans="1:8" s="113" customFormat="1" x14ac:dyDescent="0.25">
      <c r="A3199" s="187">
        <v>214977</v>
      </c>
      <c r="B3199" s="187" t="s">
        <v>3370</v>
      </c>
      <c r="C3199" s="187" t="s">
        <v>64</v>
      </c>
      <c r="D3199" s="187" t="s">
        <v>237</v>
      </c>
      <c r="E3199" s="187"/>
      <c r="F3199" s="187"/>
      <c r="G3199" s="229"/>
      <c r="H3199" s="194"/>
    </row>
    <row r="3200" spans="1:8" ht="26.25" x14ac:dyDescent="0.25">
      <c r="A3200" s="195">
        <v>215040</v>
      </c>
      <c r="B3200" s="188" t="s">
        <v>2974</v>
      </c>
      <c r="C3200" s="146" t="s">
        <v>914</v>
      </c>
      <c r="D3200" s="146" t="s">
        <v>302</v>
      </c>
      <c r="E3200" s="606"/>
      <c r="F3200" s="606"/>
      <c r="G3200" s="229"/>
      <c r="H3200" s="194"/>
    </row>
    <row r="3201" spans="1:8" s="113" customFormat="1" x14ac:dyDescent="0.25">
      <c r="A3201" s="187">
        <v>215167</v>
      </c>
      <c r="B3201" s="187" t="s">
        <v>3574</v>
      </c>
      <c r="C3201" s="187" t="s">
        <v>10</v>
      </c>
      <c r="D3201" s="187" t="s">
        <v>154</v>
      </c>
      <c r="E3201" s="187"/>
      <c r="F3201" s="187"/>
      <c r="G3201" s="194"/>
      <c r="H3201" s="229"/>
    </row>
    <row r="3202" spans="1:8" s="113" customFormat="1" x14ac:dyDescent="0.25">
      <c r="A3202" s="190">
        <v>215204</v>
      </c>
      <c r="B3202" s="188" t="s">
        <v>2595</v>
      </c>
      <c r="C3202" s="187" t="s">
        <v>16</v>
      </c>
      <c r="D3202" s="244" t="s">
        <v>302</v>
      </c>
      <c r="E3202" s="606"/>
      <c r="F3202" s="606"/>
      <c r="G3202" s="229"/>
      <c r="H3202" s="229"/>
    </row>
    <row r="3203" spans="1:8" s="113" customFormat="1" x14ac:dyDescent="0.25">
      <c r="A3203" s="247">
        <v>215947</v>
      </c>
      <c r="B3203" s="248" t="s">
        <v>2809</v>
      </c>
      <c r="C3203" s="143" t="s">
        <v>38</v>
      </c>
      <c r="D3203" s="148" t="s">
        <v>148</v>
      </c>
      <c r="E3203" s="248"/>
      <c r="F3203" s="248"/>
      <c r="G3203" s="229"/>
      <c r="H3203" s="229"/>
    </row>
    <row r="3204" spans="1:8" s="113" customFormat="1" x14ac:dyDescent="0.25">
      <c r="A3204" s="247">
        <v>216092</v>
      </c>
      <c r="B3204" s="248" t="s">
        <v>1416</v>
      </c>
      <c r="C3204" s="143" t="s">
        <v>140</v>
      </c>
      <c r="D3204" s="148" t="s">
        <v>453</v>
      </c>
      <c r="E3204" s="248"/>
      <c r="F3204" s="248"/>
      <c r="G3204" s="229"/>
      <c r="H3204" s="229"/>
    </row>
    <row r="3205" spans="1:8" s="113" customFormat="1" x14ac:dyDescent="0.25">
      <c r="A3205" s="190">
        <v>216151</v>
      </c>
      <c r="B3205" s="606" t="s">
        <v>3273</v>
      </c>
      <c r="C3205" s="606" t="s">
        <v>36</v>
      </c>
      <c r="D3205" s="606" t="s">
        <v>242</v>
      </c>
      <c r="E3205" s="606"/>
      <c r="F3205" s="606"/>
      <c r="G3205" s="229"/>
      <c r="H3205" s="229"/>
    </row>
    <row r="3206" spans="1:8" s="113" customFormat="1" x14ac:dyDescent="0.25">
      <c r="A3206" s="187">
        <v>216151</v>
      </c>
      <c r="B3206" s="187" t="s">
        <v>3436</v>
      </c>
      <c r="C3206" s="187" t="s">
        <v>36</v>
      </c>
      <c r="D3206" s="187" t="s">
        <v>242</v>
      </c>
      <c r="E3206" s="187"/>
      <c r="F3206" s="187"/>
      <c r="G3206" s="229"/>
      <c r="H3206" s="229"/>
    </row>
    <row r="3207" spans="1:8" s="113" customFormat="1" ht="26.25" x14ac:dyDescent="0.25">
      <c r="A3207" s="187">
        <v>216347</v>
      </c>
      <c r="B3207" s="188" t="s">
        <v>2602</v>
      </c>
      <c r="C3207" s="146" t="s">
        <v>108</v>
      </c>
      <c r="D3207" s="244" t="s">
        <v>2500</v>
      </c>
      <c r="E3207" s="606"/>
      <c r="F3207" s="187"/>
      <c r="G3207"/>
      <c r="H3207"/>
    </row>
    <row r="3208" spans="1:8" s="113" customFormat="1" x14ac:dyDescent="0.25">
      <c r="A3208" s="255">
        <v>216425</v>
      </c>
      <c r="B3208" s="256" t="s">
        <v>1549</v>
      </c>
      <c r="C3208" s="143" t="s">
        <v>17</v>
      </c>
      <c r="D3208" s="244" t="s">
        <v>242</v>
      </c>
      <c r="E3208" s="248"/>
      <c r="F3208" s="248"/>
      <c r="G3208"/>
      <c r="H3208"/>
    </row>
    <row r="3209" spans="1:8" s="113" customFormat="1" ht="26.25" x14ac:dyDescent="0.25">
      <c r="A3209" s="255">
        <v>216429</v>
      </c>
      <c r="B3209" s="256" t="s">
        <v>2499</v>
      </c>
      <c r="C3209" s="143" t="s">
        <v>16</v>
      </c>
      <c r="D3209" s="148" t="s">
        <v>302</v>
      </c>
      <c r="E3209" s="248"/>
      <c r="F3209" s="248"/>
      <c r="H3209"/>
    </row>
    <row r="3210" spans="1:8" s="113" customFormat="1" x14ac:dyDescent="0.25">
      <c r="A3210" s="141">
        <v>216875</v>
      </c>
      <c r="B3210" s="147" t="s">
        <v>1052</v>
      </c>
      <c r="C3210" s="143" t="s">
        <v>44</v>
      </c>
      <c r="D3210" s="148" t="s">
        <v>148</v>
      </c>
      <c r="E3210" s="147"/>
      <c r="F3210" s="147"/>
      <c r="G3210" s="229"/>
      <c r="H3210" s="229"/>
    </row>
    <row r="3211" spans="1:8" s="113" customFormat="1" x14ac:dyDescent="0.25">
      <c r="A3211" s="247">
        <v>216903</v>
      </c>
      <c r="B3211" s="250" t="s">
        <v>1522</v>
      </c>
      <c r="C3211" s="143" t="s">
        <v>64</v>
      </c>
      <c r="D3211" s="260" t="s">
        <v>37</v>
      </c>
      <c r="E3211" s="250"/>
      <c r="F3211" s="250"/>
    </row>
    <row r="3212" spans="1:8" s="113" customFormat="1" ht="26.25" x14ac:dyDescent="0.25">
      <c r="A3212" s="195">
        <v>216957</v>
      </c>
      <c r="B3212" s="188" t="s">
        <v>2969</v>
      </c>
      <c r="C3212" s="146" t="s">
        <v>1478</v>
      </c>
      <c r="D3212" s="146" t="s">
        <v>173</v>
      </c>
      <c r="E3212" s="189"/>
      <c r="F3212" s="606"/>
      <c r="G3212" s="194"/>
      <c r="H3212" s="194"/>
    </row>
    <row r="3213" spans="1:8" s="113" customFormat="1" ht="26.25" x14ac:dyDescent="0.25">
      <c r="A3213" s="195">
        <v>217384</v>
      </c>
      <c r="B3213" s="188" t="s">
        <v>2993</v>
      </c>
      <c r="C3213" s="146" t="s">
        <v>16</v>
      </c>
      <c r="D3213" s="146" t="s">
        <v>302</v>
      </c>
      <c r="E3213" s="189"/>
      <c r="F3213" s="187"/>
      <c r="G3213" s="229"/>
      <c r="H3213" s="229"/>
    </row>
    <row r="3214" spans="1:8" s="113" customFormat="1" ht="26.25" x14ac:dyDescent="0.25">
      <c r="A3214" s="195">
        <v>217657</v>
      </c>
      <c r="B3214" s="188" t="s">
        <v>3003</v>
      </c>
      <c r="C3214" s="146" t="s">
        <v>5</v>
      </c>
      <c r="D3214" s="146" t="s">
        <v>242</v>
      </c>
      <c r="E3214" s="606"/>
      <c r="F3214" s="187"/>
      <c r="G3214" s="229"/>
      <c r="H3214" s="229"/>
    </row>
    <row r="3215" spans="1:8" s="113" customFormat="1" x14ac:dyDescent="0.25">
      <c r="A3215" s="187">
        <v>217849</v>
      </c>
      <c r="B3215" s="188" t="s">
        <v>2731</v>
      </c>
      <c r="C3215" s="146" t="s">
        <v>140</v>
      </c>
      <c r="D3215" s="146" t="s">
        <v>453</v>
      </c>
      <c r="E3215" s="189"/>
      <c r="F3215" s="606"/>
      <c r="G3215" s="229"/>
      <c r="H3215" s="229"/>
    </row>
    <row r="3216" spans="1:8" s="113" customFormat="1" x14ac:dyDescent="0.25">
      <c r="A3216" s="195">
        <v>217978</v>
      </c>
      <c r="B3216" s="187" t="s">
        <v>3504</v>
      </c>
      <c r="C3216" s="187" t="s">
        <v>10</v>
      </c>
      <c r="D3216" s="146" t="s">
        <v>154</v>
      </c>
      <c r="E3216" s="606"/>
      <c r="F3216" s="187"/>
      <c r="G3216" s="229"/>
      <c r="H3216" s="229"/>
    </row>
    <row r="3217" spans="1:8" s="113" customFormat="1" x14ac:dyDescent="0.25">
      <c r="A3217" s="187">
        <v>218239</v>
      </c>
      <c r="B3217" s="188" t="s">
        <v>2721</v>
      </c>
      <c r="C3217" s="146" t="s">
        <v>41</v>
      </c>
      <c r="D3217" s="148" t="s">
        <v>154</v>
      </c>
      <c r="E3217" s="189"/>
      <c r="F3217" s="606"/>
      <c r="G3217" s="229"/>
      <c r="H3217" s="229"/>
    </row>
    <row r="3218" spans="1:8" s="113" customFormat="1" x14ac:dyDescent="0.25">
      <c r="A3218" s="247">
        <v>218370</v>
      </c>
      <c r="B3218" s="250" t="s">
        <v>3618</v>
      </c>
      <c r="C3218" s="143" t="s">
        <v>64</v>
      </c>
      <c r="D3218" s="260" t="s">
        <v>237</v>
      </c>
      <c r="E3218" s="250"/>
      <c r="F3218" s="250"/>
      <c r="H3218" s="229"/>
    </row>
    <row r="3219" spans="1:8" s="113" customFormat="1" x14ac:dyDescent="0.25">
      <c r="A3219" s="190">
        <v>218401</v>
      </c>
      <c r="B3219" s="606" t="s">
        <v>2816</v>
      </c>
      <c r="C3219" s="606" t="s">
        <v>2817</v>
      </c>
      <c r="D3219" s="606" t="s">
        <v>242</v>
      </c>
      <c r="E3219" s="606"/>
      <c r="F3219" s="606"/>
      <c r="H3219"/>
    </row>
    <row r="3220" spans="1:8" s="113" customFormat="1" ht="26.25" x14ac:dyDescent="0.25">
      <c r="A3220" s="195">
        <v>218487</v>
      </c>
      <c r="B3220" s="188" t="s">
        <v>2954</v>
      </c>
      <c r="C3220" s="146" t="s">
        <v>144</v>
      </c>
      <c r="D3220" s="146" t="s">
        <v>173</v>
      </c>
      <c r="E3220" s="606"/>
      <c r="F3220" s="187"/>
      <c r="H3220"/>
    </row>
    <row r="3221" spans="1:8" s="113" customFormat="1" ht="26.25" x14ac:dyDescent="0.25">
      <c r="A3221" s="190">
        <v>218489</v>
      </c>
      <c r="B3221" s="188" t="s">
        <v>2512</v>
      </c>
      <c r="C3221" s="146" t="s">
        <v>914</v>
      </c>
      <c r="D3221" s="244" t="s">
        <v>116</v>
      </c>
      <c r="E3221" s="606"/>
      <c r="F3221" s="187"/>
      <c r="H3221"/>
    </row>
    <row r="3222" spans="1:8" s="113" customFormat="1" x14ac:dyDescent="0.25">
      <c r="A3222" s="247">
        <v>218606</v>
      </c>
      <c r="B3222" s="250" t="s">
        <v>1562</v>
      </c>
      <c r="C3222" s="143" t="s">
        <v>38</v>
      </c>
      <c r="D3222" s="260" t="s">
        <v>163</v>
      </c>
      <c r="E3222" s="250"/>
      <c r="F3222" s="250"/>
      <c r="G3222" s="229"/>
      <c r="H3222" s="229"/>
    </row>
    <row r="3223" spans="1:8" s="113" customFormat="1" ht="26.25" x14ac:dyDescent="0.25">
      <c r="A3223" s="195">
        <v>218938</v>
      </c>
      <c r="B3223" s="188" t="s">
        <v>2972</v>
      </c>
      <c r="C3223" s="146" t="s">
        <v>20</v>
      </c>
      <c r="D3223" s="146" t="s">
        <v>302</v>
      </c>
      <c r="E3223" s="606"/>
      <c r="F3223" s="606"/>
      <c r="G3223"/>
      <c r="H3223"/>
    </row>
    <row r="3224" spans="1:8" s="113" customFormat="1" x14ac:dyDescent="0.25">
      <c r="A3224" s="190">
        <v>219043</v>
      </c>
      <c r="B3224" s="188" t="s">
        <v>2600</v>
      </c>
      <c r="C3224" s="187" t="s">
        <v>32</v>
      </c>
      <c r="D3224" s="244" t="s">
        <v>154</v>
      </c>
      <c r="E3224" s="606"/>
      <c r="F3224" s="606"/>
      <c r="H3224" s="229"/>
    </row>
    <row r="3225" spans="1:8" s="113" customFormat="1" x14ac:dyDescent="0.25">
      <c r="A3225" s="247">
        <v>219052</v>
      </c>
      <c r="B3225" s="250" t="s">
        <v>1575</v>
      </c>
      <c r="C3225" s="143" t="s">
        <v>38</v>
      </c>
      <c r="D3225" s="244" t="s">
        <v>109</v>
      </c>
      <c r="E3225" s="250"/>
      <c r="F3225" s="250"/>
    </row>
    <row r="3226" spans="1:8" s="194" customFormat="1" ht="26.25" x14ac:dyDescent="0.25">
      <c r="A3226" s="141">
        <v>219076</v>
      </c>
      <c r="B3226" s="147" t="s">
        <v>1159</v>
      </c>
      <c r="C3226" s="143" t="s">
        <v>96</v>
      </c>
      <c r="D3226" s="244" t="s">
        <v>242</v>
      </c>
      <c r="E3226" s="147"/>
      <c r="F3226" s="147"/>
      <c r="G3226" s="113"/>
      <c r="H3226" s="229"/>
    </row>
    <row r="3227" spans="1:8" s="194" customFormat="1" ht="39" x14ac:dyDescent="0.25">
      <c r="A3227" s="141">
        <v>219577</v>
      </c>
      <c r="B3227" s="147" t="s">
        <v>1241</v>
      </c>
      <c r="C3227" s="143" t="s">
        <v>1590</v>
      </c>
      <c r="D3227" s="148" t="s">
        <v>154</v>
      </c>
      <c r="E3227" s="147"/>
      <c r="F3227" s="147"/>
      <c r="G3227" s="113"/>
      <c r="H3227" s="229"/>
    </row>
    <row r="3228" spans="1:8" s="194" customFormat="1" x14ac:dyDescent="0.25">
      <c r="A3228" s="141">
        <v>219731</v>
      </c>
      <c r="B3228" s="147" t="s">
        <v>1101</v>
      </c>
      <c r="C3228" s="143" t="s">
        <v>47</v>
      </c>
      <c r="D3228" s="148" t="s">
        <v>159</v>
      </c>
      <c r="E3228" s="147"/>
      <c r="F3228" s="147"/>
      <c r="G3228" s="113"/>
      <c r="H3228" s="229"/>
    </row>
    <row r="3229" spans="1:8" x14ac:dyDescent="0.25">
      <c r="A3229" s="187">
        <v>220046</v>
      </c>
      <c r="B3229" s="187" t="s">
        <v>3538</v>
      </c>
      <c r="C3229" s="187" t="s">
        <v>6</v>
      </c>
      <c r="D3229" s="187" t="s">
        <v>154</v>
      </c>
      <c r="E3229" s="187"/>
      <c r="F3229" s="187"/>
      <c r="G3229" s="113"/>
      <c r="H3229" s="229"/>
    </row>
    <row r="3230" spans="1:8" x14ac:dyDescent="0.25">
      <c r="A3230" s="187">
        <v>220046</v>
      </c>
      <c r="B3230" s="187" t="s">
        <v>3538</v>
      </c>
      <c r="C3230" s="187" t="s">
        <v>3556</v>
      </c>
      <c r="D3230" s="187" t="s">
        <v>154</v>
      </c>
      <c r="E3230" s="187"/>
      <c r="F3230" s="187"/>
      <c r="G3230" s="113"/>
      <c r="H3230" s="113"/>
    </row>
    <row r="3231" spans="1:8" x14ac:dyDescent="0.25">
      <c r="A3231" s="195">
        <v>220119</v>
      </c>
      <c r="B3231" s="187" t="s">
        <v>3222</v>
      </c>
      <c r="C3231" s="187" t="s">
        <v>16</v>
      </c>
      <c r="D3231" s="146" t="s">
        <v>154</v>
      </c>
      <c r="E3231" s="189"/>
      <c r="F3231" s="189"/>
      <c r="G3231" s="113"/>
      <c r="H3231" s="113"/>
    </row>
    <row r="3232" spans="1:8" x14ac:dyDescent="0.25">
      <c r="A3232" s="190">
        <v>220137</v>
      </c>
      <c r="B3232" s="606" t="s">
        <v>3202</v>
      </c>
      <c r="C3232" s="606" t="s">
        <v>41</v>
      </c>
      <c r="D3232" s="606" t="s">
        <v>11</v>
      </c>
      <c r="E3232" s="606"/>
      <c r="F3232" s="606"/>
      <c r="G3232" s="288"/>
      <c r="H3232" s="288"/>
    </row>
    <row r="3233" spans="1:8" x14ac:dyDescent="0.25">
      <c r="A3233" s="190">
        <v>220141</v>
      </c>
      <c r="B3233" s="606" t="s">
        <v>3149</v>
      </c>
      <c r="C3233" s="606" t="s">
        <v>8</v>
      </c>
      <c r="D3233" s="606" t="s">
        <v>154</v>
      </c>
      <c r="E3233" s="189"/>
      <c r="F3233" s="606"/>
      <c r="G3233" s="229"/>
      <c r="H3233" s="229"/>
    </row>
    <row r="3234" spans="1:8" x14ac:dyDescent="0.25">
      <c r="A3234" s="247">
        <v>220190</v>
      </c>
      <c r="B3234" s="248" t="s">
        <v>1554</v>
      </c>
      <c r="C3234" s="143" t="s">
        <v>167</v>
      </c>
      <c r="D3234" s="148" t="s">
        <v>173</v>
      </c>
      <c r="E3234" s="248"/>
      <c r="F3234" s="248"/>
      <c r="G3234" s="229"/>
      <c r="H3234" s="229"/>
    </row>
    <row r="3235" spans="1:8" x14ac:dyDescent="0.25">
      <c r="A3235" s="190">
        <v>220352</v>
      </c>
      <c r="B3235" s="606" t="s">
        <v>3363</v>
      </c>
      <c r="C3235" s="606" t="s">
        <v>16</v>
      </c>
      <c r="D3235" s="606" t="s">
        <v>7</v>
      </c>
      <c r="E3235" s="606"/>
      <c r="F3235" s="606"/>
      <c r="G3235" s="229"/>
      <c r="H3235" s="229"/>
    </row>
    <row r="3236" spans="1:8" x14ac:dyDescent="0.25">
      <c r="A3236" s="187">
        <v>220353</v>
      </c>
      <c r="B3236" s="187" t="s">
        <v>3308</v>
      </c>
      <c r="C3236" s="187" t="s">
        <v>36</v>
      </c>
      <c r="D3236" s="187" t="s">
        <v>967</v>
      </c>
      <c r="E3236" s="187"/>
      <c r="F3236" s="187"/>
      <c r="G3236" s="229"/>
      <c r="H3236" s="229"/>
    </row>
    <row r="3237" spans="1:8" x14ac:dyDescent="0.25">
      <c r="A3237" s="190">
        <v>220353</v>
      </c>
      <c r="B3237" s="606" t="s">
        <v>3308</v>
      </c>
      <c r="C3237" s="606" t="s">
        <v>36</v>
      </c>
      <c r="D3237" s="187" t="s">
        <v>3427</v>
      </c>
      <c r="E3237" s="606"/>
      <c r="F3237" s="606"/>
      <c r="G3237" s="229"/>
      <c r="H3237" s="229"/>
    </row>
    <row r="3238" spans="1:8" x14ac:dyDescent="0.25">
      <c r="A3238" s="245">
        <v>220358</v>
      </c>
      <c r="B3238" s="246" t="s">
        <v>2558</v>
      </c>
      <c r="C3238" s="246" t="s">
        <v>64</v>
      </c>
      <c r="D3238" s="246" t="s">
        <v>242</v>
      </c>
      <c r="E3238" s="246"/>
      <c r="F3238" s="246"/>
      <c r="G3238" s="229"/>
      <c r="H3238" s="229"/>
    </row>
    <row r="3239" spans="1:8" x14ac:dyDescent="0.25">
      <c r="A3239" s="195">
        <v>220603</v>
      </c>
      <c r="B3239" s="188" t="s">
        <v>2926</v>
      </c>
      <c r="C3239" s="146" t="s">
        <v>36</v>
      </c>
      <c r="D3239" s="148" t="s">
        <v>116</v>
      </c>
      <c r="E3239" s="189"/>
      <c r="F3239" s="187"/>
      <c r="G3239" s="229"/>
      <c r="H3239" s="229"/>
    </row>
    <row r="3240" spans="1:8" x14ac:dyDescent="0.25">
      <c r="A3240" s="195">
        <v>220663</v>
      </c>
      <c r="B3240" s="188" t="s">
        <v>3008</v>
      </c>
      <c r="C3240" s="146" t="s">
        <v>140</v>
      </c>
      <c r="D3240" s="148" t="s">
        <v>148</v>
      </c>
      <c r="E3240" s="606"/>
      <c r="F3240" s="187"/>
      <c r="G3240" s="229"/>
      <c r="H3240" s="229"/>
    </row>
    <row r="3241" spans="1:8" x14ac:dyDescent="0.25">
      <c r="A3241" s="187">
        <v>220812</v>
      </c>
      <c r="B3241" s="187" t="s">
        <v>3674</v>
      </c>
      <c r="C3241" s="187" t="s">
        <v>32</v>
      </c>
      <c r="D3241" s="187" t="s">
        <v>154</v>
      </c>
      <c r="E3241" s="187"/>
      <c r="F3241" s="187"/>
      <c r="G3241" s="229"/>
      <c r="H3241" s="229"/>
    </row>
    <row r="3242" spans="1:8" x14ac:dyDescent="0.25">
      <c r="A3242" s="190">
        <v>220990</v>
      </c>
      <c r="B3242" s="188" t="s">
        <v>2567</v>
      </c>
      <c r="C3242" s="187" t="s">
        <v>24</v>
      </c>
      <c r="D3242" s="244" t="s">
        <v>501</v>
      </c>
      <c r="E3242" s="187"/>
      <c r="F3242" s="187"/>
      <c r="G3242" s="229"/>
      <c r="H3242" s="229"/>
    </row>
    <row r="3243" spans="1:8" x14ac:dyDescent="0.25">
      <c r="A3243" s="187">
        <v>221056</v>
      </c>
      <c r="B3243" s="187" t="s">
        <v>3658</v>
      </c>
      <c r="C3243" s="187" t="s">
        <v>417</v>
      </c>
      <c r="D3243" s="146" t="s">
        <v>551</v>
      </c>
      <c r="E3243" s="606"/>
      <c r="F3243" s="187"/>
      <c r="G3243" s="229"/>
      <c r="H3243" s="229"/>
    </row>
    <row r="3244" spans="1:8" x14ac:dyDescent="0.25">
      <c r="A3244" s="190">
        <v>221529</v>
      </c>
      <c r="B3244" s="187" t="s">
        <v>2635</v>
      </c>
      <c r="C3244" s="187" t="s">
        <v>44</v>
      </c>
      <c r="D3244" s="187" t="s">
        <v>967</v>
      </c>
      <c r="E3244" s="606"/>
      <c r="F3244" s="606"/>
      <c r="G3244" s="229"/>
      <c r="H3244" s="229"/>
    </row>
    <row r="3245" spans="1:8" x14ac:dyDescent="0.25">
      <c r="A3245" s="195">
        <v>221529</v>
      </c>
      <c r="B3245" s="188" t="s">
        <v>3006</v>
      </c>
      <c r="C3245" s="146" t="s">
        <v>44</v>
      </c>
      <c r="D3245" s="146" t="s">
        <v>967</v>
      </c>
      <c r="E3245" s="189"/>
      <c r="F3245" s="187"/>
    </row>
    <row r="3246" spans="1:8" x14ac:dyDescent="0.25">
      <c r="A3246" s="190">
        <v>221597</v>
      </c>
      <c r="B3246" s="606" t="s">
        <v>3412</v>
      </c>
      <c r="C3246" s="606" t="s">
        <v>12</v>
      </c>
      <c r="D3246" s="606" t="s">
        <v>7</v>
      </c>
      <c r="E3246" s="606"/>
      <c r="F3246" s="606"/>
      <c r="G3246" s="229"/>
      <c r="H3246" s="229"/>
    </row>
    <row r="3247" spans="1:8" x14ac:dyDescent="0.25">
      <c r="A3247" s="190">
        <v>221597</v>
      </c>
      <c r="B3247" s="190" t="s">
        <v>3412</v>
      </c>
      <c r="C3247" s="341" t="s">
        <v>12</v>
      </c>
      <c r="D3247" s="187" t="s">
        <v>7</v>
      </c>
      <c r="E3247" s="189"/>
      <c r="F3247" s="189"/>
      <c r="G3247" s="229"/>
      <c r="H3247" s="229"/>
    </row>
    <row r="3248" spans="1:8" x14ac:dyDescent="0.25">
      <c r="A3248" s="187">
        <v>222309</v>
      </c>
      <c r="B3248" s="187" t="s">
        <v>3309</v>
      </c>
      <c r="C3248" s="187" t="s">
        <v>64</v>
      </c>
      <c r="D3248" s="187" t="s">
        <v>237</v>
      </c>
      <c r="E3248" s="187"/>
      <c r="F3248" s="187"/>
      <c r="G3248" s="229"/>
      <c r="H3248" s="229"/>
    </row>
    <row r="3249" spans="1:8" x14ac:dyDescent="0.25">
      <c r="A3249" s="190">
        <v>223064</v>
      </c>
      <c r="B3249" s="188" t="s">
        <v>2593</v>
      </c>
      <c r="C3249" s="187" t="s">
        <v>24</v>
      </c>
      <c r="D3249" s="244" t="s">
        <v>268</v>
      </c>
      <c r="E3249" s="606"/>
      <c r="F3249" s="187"/>
      <c r="G3249" s="229"/>
      <c r="H3249" s="229"/>
    </row>
    <row r="3250" spans="1:8" x14ac:dyDescent="0.25">
      <c r="A3250" s="247">
        <v>223263</v>
      </c>
      <c r="B3250" s="248" t="s">
        <v>1385</v>
      </c>
      <c r="C3250" s="143" t="s">
        <v>36</v>
      </c>
      <c r="D3250" s="148" t="s">
        <v>242</v>
      </c>
      <c r="E3250" s="248"/>
      <c r="F3250" s="248"/>
      <c r="G3250" s="229"/>
      <c r="H3250" s="229"/>
    </row>
    <row r="3251" spans="1:8" x14ac:dyDescent="0.25">
      <c r="A3251" s="190">
        <v>223313</v>
      </c>
      <c r="B3251" s="606" t="s">
        <v>3371</v>
      </c>
      <c r="C3251" s="606" t="s">
        <v>27</v>
      </c>
      <c r="D3251" s="606" t="s">
        <v>302</v>
      </c>
      <c r="E3251" s="189"/>
      <c r="F3251" s="606"/>
      <c r="G3251" s="229"/>
      <c r="H3251" s="229"/>
    </row>
    <row r="3252" spans="1:8" x14ac:dyDescent="0.25">
      <c r="A3252" s="190">
        <v>223313</v>
      </c>
      <c r="B3252" s="606" t="s">
        <v>3371</v>
      </c>
      <c r="C3252" s="606" t="s">
        <v>27</v>
      </c>
      <c r="D3252" s="606" t="s">
        <v>302</v>
      </c>
      <c r="E3252" s="606"/>
      <c r="F3252" s="606"/>
      <c r="G3252" s="229"/>
      <c r="H3252" s="229"/>
    </row>
    <row r="3253" spans="1:8" s="229" customFormat="1" x14ac:dyDescent="0.25">
      <c r="A3253" s="245">
        <v>223571</v>
      </c>
      <c r="B3253" s="246" t="s">
        <v>2636</v>
      </c>
      <c r="C3253" s="246" t="s">
        <v>12</v>
      </c>
      <c r="D3253" s="246" t="s">
        <v>1105</v>
      </c>
      <c r="E3253" s="246"/>
      <c r="F3253" s="246"/>
    </row>
    <row r="3254" spans="1:8" s="288" customFormat="1" x14ac:dyDescent="0.25">
      <c r="A3254" s="141">
        <v>223656</v>
      </c>
      <c r="B3254" s="190" t="s">
        <v>3042</v>
      </c>
      <c r="C3254" s="190" t="s">
        <v>3043</v>
      </c>
      <c r="D3254" s="146" t="s">
        <v>2693</v>
      </c>
      <c r="E3254" s="190"/>
      <c r="F3254" s="190"/>
      <c r="G3254" s="229"/>
      <c r="H3254" s="229"/>
    </row>
    <row r="3255" spans="1:8" x14ac:dyDescent="0.25">
      <c r="A3255" s="195">
        <v>223656</v>
      </c>
      <c r="B3255" s="187" t="s">
        <v>3042</v>
      </c>
      <c r="C3255" s="187" t="s">
        <v>914</v>
      </c>
      <c r="D3255" s="146" t="s">
        <v>3227</v>
      </c>
      <c r="E3255" s="606"/>
      <c r="F3255" s="187"/>
      <c r="G3255" s="194"/>
      <c r="H3255" s="194"/>
    </row>
    <row r="3256" spans="1:8" x14ac:dyDescent="0.25">
      <c r="A3256" s="190">
        <v>223660</v>
      </c>
      <c r="B3256" s="606" t="s">
        <v>2935</v>
      </c>
      <c r="C3256" s="606" t="s">
        <v>12</v>
      </c>
      <c r="D3256" s="606" t="s">
        <v>811</v>
      </c>
      <c r="E3256" s="606"/>
      <c r="F3256" s="606"/>
      <c r="G3256" s="229"/>
      <c r="H3256" s="229"/>
    </row>
    <row r="3257" spans="1:8" x14ac:dyDescent="0.25">
      <c r="A3257" s="247">
        <v>223752</v>
      </c>
      <c r="B3257" s="248" t="s">
        <v>1462</v>
      </c>
      <c r="C3257" s="143" t="s">
        <v>44</v>
      </c>
      <c r="D3257" s="244" t="s">
        <v>453</v>
      </c>
      <c r="E3257" s="248"/>
      <c r="F3257" s="248"/>
      <c r="G3257" s="229"/>
      <c r="H3257" s="229"/>
    </row>
    <row r="3258" spans="1:8" x14ac:dyDescent="0.25">
      <c r="A3258" s="245">
        <v>223834</v>
      </c>
      <c r="B3258" s="246" t="s">
        <v>2707</v>
      </c>
      <c r="C3258" s="246" t="s">
        <v>20</v>
      </c>
      <c r="D3258" s="246" t="s">
        <v>302</v>
      </c>
      <c r="E3258" s="246"/>
      <c r="F3258" s="246"/>
      <c r="G3258" s="194"/>
      <c r="H3258" s="194"/>
    </row>
    <row r="3259" spans="1:8" x14ac:dyDescent="0.25">
      <c r="A3259" s="301">
        <v>223900</v>
      </c>
      <c r="B3259" s="608" t="s">
        <v>3347</v>
      </c>
      <c r="C3259" s="608" t="s">
        <v>140</v>
      </c>
      <c r="D3259" s="608" t="s">
        <v>109</v>
      </c>
      <c r="E3259" s="608"/>
      <c r="F3259" s="608"/>
      <c r="G3259" s="229"/>
      <c r="H3259" s="229"/>
    </row>
    <row r="3260" spans="1:8" x14ac:dyDescent="0.25">
      <c r="A3260" s="245">
        <v>224883</v>
      </c>
      <c r="B3260" s="246" t="s">
        <v>2705</v>
      </c>
      <c r="C3260" s="246" t="s">
        <v>90</v>
      </c>
      <c r="D3260" s="246" t="s">
        <v>109</v>
      </c>
      <c r="E3260" s="246"/>
      <c r="F3260" s="246"/>
      <c r="G3260" s="229"/>
      <c r="H3260" s="229"/>
    </row>
    <row r="3261" spans="1:8" x14ac:dyDescent="0.25">
      <c r="A3261" s="247">
        <v>225233</v>
      </c>
      <c r="B3261" s="248" t="s">
        <v>1448</v>
      </c>
      <c r="C3261" s="143" t="s">
        <v>47</v>
      </c>
      <c r="D3261" s="148" t="s">
        <v>159</v>
      </c>
      <c r="E3261" s="248"/>
      <c r="F3261" s="248"/>
      <c r="G3261" s="229"/>
      <c r="H3261" s="229"/>
    </row>
    <row r="3262" spans="1:8" s="229" customFormat="1" x14ac:dyDescent="0.25">
      <c r="A3262" s="190">
        <v>225575</v>
      </c>
      <c r="B3262" s="606" t="s">
        <v>3385</v>
      </c>
      <c r="C3262" s="606" t="s">
        <v>17</v>
      </c>
      <c r="D3262" s="606" t="s">
        <v>242</v>
      </c>
      <c r="E3262" s="189"/>
      <c r="F3262" s="606"/>
    </row>
    <row r="3263" spans="1:8" x14ac:dyDescent="0.25">
      <c r="A3263" s="195">
        <v>225575</v>
      </c>
      <c r="B3263" s="187" t="s">
        <v>3385</v>
      </c>
      <c r="C3263" s="187" t="s">
        <v>17</v>
      </c>
      <c r="D3263" s="146" t="s">
        <v>3329</v>
      </c>
      <c r="E3263" s="606"/>
      <c r="F3263" s="187"/>
      <c r="G3263" s="229"/>
      <c r="H3263" s="229"/>
    </row>
    <row r="3264" spans="1:8" x14ac:dyDescent="0.25">
      <c r="A3264" s="190">
        <v>225575</v>
      </c>
      <c r="B3264" s="606" t="s">
        <v>3385</v>
      </c>
      <c r="C3264" s="606" t="s">
        <v>17</v>
      </c>
      <c r="D3264" s="606" t="s">
        <v>242</v>
      </c>
      <c r="E3264" s="189"/>
      <c r="F3264" s="606"/>
      <c r="G3264" s="229"/>
      <c r="H3264" s="229"/>
    </row>
    <row r="3265" spans="1:8" x14ac:dyDescent="0.25">
      <c r="A3265" s="247">
        <v>225604</v>
      </c>
      <c r="B3265" s="248" t="s">
        <v>1470</v>
      </c>
      <c r="C3265" s="143" t="s">
        <v>38</v>
      </c>
      <c r="D3265" s="244" t="s">
        <v>143</v>
      </c>
      <c r="E3265" s="248"/>
      <c r="F3265" s="248"/>
      <c r="G3265" s="229"/>
      <c r="H3265" s="229"/>
    </row>
    <row r="3266" spans="1:8" x14ac:dyDescent="0.25">
      <c r="A3266" s="190">
        <v>225860</v>
      </c>
      <c r="B3266" s="606" t="s">
        <v>2782</v>
      </c>
      <c r="C3266" s="606" t="s">
        <v>1455</v>
      </c>
      <c r="D3266" s="606" t="s">
        <v>45</v>
      </c>
      <c r="E3266" s="606"/>
      <c r="F3266" s="606"/>
      <c r="G3266" s="229"/>
      <c r="H3266" s="229"/>
    </row>
    <row r="3267" spans="1:8" ht="26.25" x14ac:dyDescent="0.25">
      <c r="A3267" s="247">
        <v>225958</v>
      </c>
      <c r="B3267" s="248" t="s">
        <v>1572</v>
      </c>
      <c r="C3267" s="143" t="s">
        <v>108</v>
      </c>
      <c r="D3267" s="244" t="s">
        <v>2500</v>
      </c>
      <c r="E3267" s="248"/>
      <c r="F3267" s="248"/>
      <c r="G3267" s="229"/>
      <c r="H3267" s="229"/>
    </row>
    <row r="3268" spans="1:8" x14ac:dyDescent="0.25">
      <c r="A3268" s="195">
        <v>226005</v>
      </c>
      <c r="B3268" s="187" t="s">
        <v>3543</v>
      </c>
      <c r="C3268" s="187" t="s">
        <v>2787</v>
      </c>
      <c r="D3268" s="146" t="s">
        <v>302</v>
      </c>
      <c r="E3268" s="189"/>
      <c r="F3268" s="187"/>
    </row>
    <row r="3269" spans="1:8" x14ac:dyDescent="0.25">
      <c r="A3269" s="190">
        <v>226288</v>
      </c>
      <c r="B3269" s="606" t="s">
        <v>2814</v>
      </c>
      <c r="C3269" s="606" t="s">
        <v>2815</v>
      </c>
      <c r="D3269" s="606" t="s">
        <v>242</v>
      </c>
      <c r="E3269" s="189"/>
      <c r="F3269" s="606"/>
      <c r="G3269" s="229"/>
      <c r="H3269" s="229"/>
    </row>
    <row r="3270" spans="1:8" x14ac:dyDescent="0.25">
      <c r="A3270" s="301">
        <v>226753</v>
      </c>
      <c r="B3270" s="608" t="s">
        <v>3338</v>
      </c>
      <c r="C3270" s="608" t="s">
        <v>16</v>
      </c>
      <c r="D3270" s="608" t="s">
        <v>242</v>
      </c>
      <c r="E3270" s="608"/>
      <c r="F3270" s="608"/>
      <c r="G3270" s="229"/>
      <c r="H3270" s="229"/>
    </row>
    <row r="3271" spans="1:8" x14ac:dyDescent="0.25">
      <c r="A3271" s="301">
        <v>226753</v>
      </c>
      <c r="B3271" s="608" t="s">
        <v>3338</v>
      </c>
      <c r="C3271" s="608" t="s">
        <v>16</v>
      </c>
      <c r="D3271" s="608" t="s">
        <v>242</v>
      </c>
      <c r="E3271" s="608"/>
      <c r="F3271" s="608"/>
      <c r="G3271" s="229"/>
      <c r="H3271" s="229"/>
    </row>
    <row r="3272" spans="1:8" x14ac:dyDescent="0.25">
      <c r="A3272" s="195">
        <v>226762</v>
      </c>
      <c r="B3272" s="187" t="s">
        <v>3126</v>
      </c>
      <c r="C3272" s="187" t="s">
        <v>16</v>
      </c>
      <c r="D3272" s="146" t="s">
        <v>302</v>
      </c>
      <c r="E3272" s="606"/>
      <c r="F3272" s="187"/>
      <c r="G3272" s="229"/>
      <c r="H3272" s="229"/>
    </row>
    <row r="3273" spans="1:8" x14ac:dyDescent="0.25">
      <c r="A3273" s="187">
        <v>226851</v>
      </c>
      <c r="B3273" s="187" t="s">
        <v>3283</v>
      </c>
      <c r="C3273" s="187" t="s">
        <v>32</v>
      </c>
      <c r="D3273" s="146" t="s">
        <v>154</v>
      </c>
      <c r="E3273" s="189"/>
      <c r="F3273" s="187"/>
      <c r="G3273" s="229"/>
      <c r="H3273" s="229"/>
    </row>
    <row r="3274" spans="1:8" x14ac:dyDescent="0.25">
      <c r="A3274" s="190">
        <v>226851</v>
      </c>
      <c r="B3274" s="606" t="s">
        <v>3283</v>
      </c>
      <c r="C3274" s="143" t="s">
        <v>32</v>
      </c>
      <c r="D3274" s="606" t="s">
        <v>154</v>
      </c>
      <c r="E3274" s="606"/>
      <c r="F3274" s="606"/>
      <c r="G3274" s="229"/>
      <c r="H3274" s="229"/>
    </row>
    <row r="3275" spans="1:8" x14ac:dyDescent="0.25">
      <c r="A3275" s="187">
        <v>227100</v>
      </c>
      <c r="B3275" s="187" t="s">
        <v>3585</v>
      </c>
      <c r="C3275" s="187" t="s">
        <v>38</v>
      </c>
      <c r="D3275" s="187" t="s">
        <v>453</v>
      </c>
      <c r="E3275" s="187"/>
      <c r="F3275" s="187"/>
      <c r="G3275" s="229"/>
      <c r="H3275" s="229"/>
    </row>
    <row r="3276" spans="1:8" x14ac:dyDescent="0.25">
      <c r="A3276" s="187">
        <v>227339</v>
      </c>
      <c r="B3276" s="187" t="s">
        <v>2632</v>
      </c>
      <c r="C3276" s="187" t="s">
        <v>38</v>
      </c>
      <c r="D3276" s="148" t="s">
        <v>453</v>
      </c>
      <c r="E3276" s="189"/>
      <c r="F3276" s="187"/>
      <c r="G3276" s="229"/>
      <c r="H3276" s="229"/>
    </row>
    <row r="3277" spans="1:8" x14ac:dyDescent="0.25">
      <c r="A3277" s="195">
        <v>227344</v>
      </c>
      <c r="B3277" s="187" t="s">
        <v>3481</v>
      </c>
      <c r="C3277" s="187" t="s">
        <v>1398</v>
      </c>
      <c r="D3277" s="146" t="s">
        <v>154</v>
      </c>
      <c r="E3277" s="606"/>
      <c r="F3277" s="187"/>
      <c r="G3277" s="229"/>
      <c r="H3277" s="229"/>
    </row>
    <row r="3278" spans="1:8" x14ac:dyDescent="0.25">
      <c r="A3278" s="247">
        <v>227708</v>
      </c>
      <c r="B3278" s="250" t="s">
        <v>3335</v>
      </c>
      <c r="C3278" s="143" t="s">
        <v>12</v>
      </c>
      <c r="D3278" s="260" t="s">
        <v>1460</v>
      </c>
      <c r="E3278" s="250"/>
      <c r="F3278" s="250"/>
      <c r="G3278" s="229"/>
      <c r="H3278" s="229"/>
    </row>
    <row r="3279" spans="1:8" x14ac:dyDescent="0.25">
      <c r="A3279" s="195">
        <v>227812</v>
      </c>
      <c r="B3279" s="187" t="s">
        <v>3540</v>
      </c>
      <c r="C3279" s="187" t="s">
        <v>41</v>
      </c>
      <c r="D3279" s="146" t="s">
        <v>3329</v>
      </c>
      <c r="E3279" s="189"/>
      <c r="F3279" s="187"/>
      <c r="G3279" s="229"/>
      <c r="H3279" s="229"/>
    </row>
    <row r="3280" spans="1:8" x14ac:dyDescent="0.25">
      <c r="A3280" s="187">
        <v>228440</v>
      </c>
      <c r="B3280" s="187" t="s">
        <v>3278</v>
      </c>
      <c r="C3280" s="187" t="s">
        <v>36</v>
      </c>
      <c r="D3280" s="146" t="s">
        <v>242</v>
      </c>
      <c r="E3280" s="606"/>
      <c r="F3280" s="187"/>
      <c r="G3280" s="229"/>
      <c r="H3280" s="229"/>
    </row>
    <row r="3281" spans="1:8" x14ac:dyDescent="0.25">
      <c r="A3281" s="187">
        <v>228440</v>
      </c>
      <c r="B3281" s="187" t="s">
        <v>3278</v>
      </c>
      <c r="C3281" s="187" t="s">
        <v>36</v>
      </c>
      <c r="D3281" s="187" t="s">
        <v>242</v>
      </c>
      <c r="E3281" s="187"/>
      <c r="F3281" s="187"/>
      <c r="G3281" s="113"/>
      <c r="H3281" s="113"/>
    </row>
    <row r="3282" spans="1:8" x14ac:dyDescent="0.25">
      <c r="A3282" s="190">
        <v>228616</v>
      </c>
      <c r="B3282" s="606" t="s">
        <v>3166</v>
      </c>
      <c r="C3282" s="606" t="s">
        <v>9</v>
      </c>
      <c r="D3282" s="606" t="s">
        <v>1696</v>
      </c>
      <c r="E3282" s="189"/>
      <c r="F3282" s="606"/>
      <c r="G3282" s="113"/>
      <c r="H3282" s="113"/>
    </row>
    <row r="3283" spans="1:8" x14ac:dyDescent="0.25">
      <c r="A3283" s="195">
        <v>228616</v>
      </c>
      <c r="B3283" s="187" t="s">
        <v>3166</v>
      </c>
      <c r="C3283" s="187" t="s">
        <v>9</v>
      </c>
      <c r="D3283" s="146" t="s">
        <v>1696</v>
      </c>
      <c r="E3283" s="606"/>
      <c r="F3283" s="187"/>
      <c r="G3283" s="113"/>
      <c r="H3283" s="113"/>
    </row>
    <row r="3284" spans="1:8" ht="26.25" x14ac:dyDescent="0.25">
      <c r="A3284" s="247">
        <v>228811</v>
      </c>
      <c r="B3284" s="248" t="s">
        <v>3595</v>
      </c>
      <c r="C3284" s="143" t="s">
        <v>20</v>
      </c>
      <c r="D3284" s="148" t="s">
        <v>302</v>
      </c>
      <c r="E3284" s="248"/>
      <c r="F3284" s="248"/>
      <c r="G3284" s="113"/>
      <c r="H3284" s="113"/>
    </row>
    <row r="3285" spans="1:8" x14ac:dyDescent="0.25">
      <c r="A3285" s="195">
        <v>229193</v>
      </c>
      <c r="B3285" s="188" t="s">
        <v>2949</v>
      </c>
      <c r="C3285" s="146" t="s">
        <v>2787</v>
      </c>
      <c r="D3285" s="146" t="s">
        <v>302</v>
      </c>
      <c r="E3285" s="606"/>
      <c r="F3285" s="187"/>
      <c r="G3285" s="113"/>
      <c r="H3285" s="113"/>
    </row>
    <row r="3286" spans="1:8" x14ac:dyDescent="0.25">
      <c r="A3286" s="195">
        <v>229227</v>
      </c>
      <c r="B3286" s="187" t="s">
        <v>3124</v>
      </c>
      <c r="C3286" s="187" t="s">
        <v>1478</v>
      </c>
      <c r="D3286" s="146" t="s">
        <v>173</v>
      </c>
      <c r="E3286" s="606"/>
      <c r="F3286" s="187"/>
      <c r="G3286" s="113"/>
      <c r="H3286" s="113"/>
    </row>
    <row r="3287" spans="1:8" x14ac:dyDescent="0.25">
      <c r="A3287" s="245">
        <v>229527</v>
      </c>
      <c r="B3287" s="246" t="s">
        <v>2714</v>
      </c>
      <c r="C3287" s="246" t="s">
        <v>22</v>
      </c>
      <c r="D3287" s="246" t="s">
        <v>7</v>
      </c>
      <c r="E3287" s="246"/>
      <c r="F3287" s="246"/>
      <c r="G3287" s="113"/>
      <c r="H3287" s="113"/>
    </row>
    <row r="3288" spans="1:8" x14ac:dyDescent="0.25">
      <c r="A3288" s="190">
        <v>229644</v>
      </c>
      <c r="B3288" s="606" t="s">
        <v>3488</v>
      </c>
      <c r="C3288" s="606" t="s">
        <v>101</v>
      </c>
      <c r="D3288" s="187" t="s">
        <v>504</v>
      </c>
      <c r="E3288" s="189"/>
      <c r="F3288" s="606"/>
      <c r="G3288" s="113"/>
      <c r="H3288" s="113"/>
    </row>
    <row r="3289" spans="1:8" x14ac:dyDescent="0.25">
      <c r="A3289" s="187">
        <v>229644</v>
      </c>
      <c r="B3289" s="187" t="s">
        <v>3488</v>
      </c>
      <c r="C3289" s="187" t="s">
        <v>101</v>
      </c>
      <c r="D3289" s="187" t="s">
        <v>504</v>
      </c>
      <c r="E3289" s="187"/>
      <c r="F3289" s="187"/>
      <c r="G3289" s="113"/>
      <c r="H3289" s="113"/>
    </row>
    <row r="3290" spans="1:8" x14ac:dyDescent="0.25">
      <c r="A3290" s="190">
        <v>229740</v>
      </c>
      <c r="B3290" s="606" t="s">
        <v>3187</v>
      </c>
      <c r="C3290" s="606" t="s">
        <v>49</v>
      </c>
      <c r="D3290" s="606" t="s">
        <v>116</v>
      </c>
      <c r="E3290" s="189"/>
      <c r="F3290" s="606"/>
      <c r="G3290" s="229"/>
      <c r="H3290" s="229"/>
    </row>
    <row r="3291" spans="1:8" x14ac:dyDescent="0.25">
      <c r="A3291" s="195">
        <v>230163</v>
      </c>
      <c r="B3291" s="188" t="s">
        <v>2853</v>
      </c>
      <c r="C3291" s="146" t="s">
        <v>140</v>
      </c>
      <c r="D3291" s="146" t="s">
        <v>148</v>
      </c>
      <c r="E3291" s="606"/>
      <c r="F3291" s="606"/>
      <c r="G3291" s="113"/>
      <c r="H3291" s="113"/>
    </row>
    <row r="3292" spans="1:8" s="229" customFormat="1" x14ac:dyDescent="0.25">
      <c r="A3292" s="195">
        <v>230302</v>
      </c>
      <c r="B3292" s="187" t="s">
        <v>3131</v>
      </c>
      <c r="C3292" s="187" t="s">
        <v>3070</v>
      </c>
      <c r="D3292" s="148" t="s">
        <v>501</v>
      </c>
      <c r="E3292" s="606"/>
      <c r="F3292" s="187"/>
      <c r="G3292" s="113"/>
      <c r="H3292" s="113"/>
    </row>
    <row r="3293" spans="1:8" x14ac:dyDescent="0.25">
      <c r="A3293" s="190">
        <v>230813</v>
      </c>
      <c r="B3293" s="188" t="s">
        <v>2665</v>
      </c>
      <c r="C3293" s="606" t="s">
        <v>64</v>
      </c>
      <c r="D3293" s="606" t="s">
        <v>237</v>
      </c>
      <c r="E3293" s="606"/>
      <c r="F3293" s="606"/>
      <c r="G3293" s="113"/>
      <c r="H3293" s="113"/>
    </row>
    <row r="3294" spans="1:8" s="113" customFormat="1" x14ac:dyDescent="0.25">
      <c r="A3294" s="187">
        <v>231102</v>
      </c>
      <c r="B3294" s="188" t="s">
        <v>2777</v>
      </c>
      <c r="C3294" s="146" t="s">
        <v>36</v>
      </c>
      <c r="D3294" s="146" t="s">
        <v>242</v>
      </c>
      <c r="E3294" s="189"/>
      <c r="F3294" s="189"/>
    </row>
    <row r="3295" spans="1:8" s="113" customFormat="1" x14ac:dyDescent="0.25">
      <c r="A3295" s="129">
        <v>231145</v>
      </c>
      <c r="B3295" s="606" t="s">
        <v>3085</v>
      </c>
      <c r="C3295" s="606" t="s">
        <v>167</v>
      </c>
      <c r="D3295" s="606" t="s">
        <v>173</v>
      </c>
      <c r="E3295" s="606"/>
      <c r="F3295" s="606"/>
    </row>
    <row r="3296" spans="1:8" s="113" customFormat="1" x14ac:dyDescent="0.25">
      <c r="A3296" s="190">
        <v>231278</v>
      </c>
      <c r="B3296" s="606" t="s">
        <v>3236</v>
      </c>
      <c r="C3296" s="606" t="s">
        <v>32</v>
      </c>
      <c r="D3296" s="606" t="s">
        <v>154</v>
      </c>
      <c r="E3296" s="606"/>
      <c r="F3296" s="606"/>
    </row>
    <row r="3297" spans="1:8" s="113" customFormat="1" x14ac:dyDescent="0.25">
      <c r="A3297" s="195">
        <v>231278</v>
      </c>
      <c r="B3297" s="187" t="s">
        <v>3236</v>
      </c>
      <c r="C3297" s="187" t="s">
        <v>32</v>
      </c>
      <c r="D3297" s="146" t="s">
        <v>154</v>
      </c>
      <c r="E3297" s="189"/>
      <c r="F3297" s="187"/>
    </row>
    <row r="3298" spans="1:8" s="113" customFormat="1" x14ac:dyDescent="0.25">
      <c r="A3298" s="190">
        <v>231433</v>
      </c>
      <c r="B3298" s="606" t="s">
        <v>3361</v>
      </c>
      <c r="C3298" s="606" t="s">
        <v>1455</v>
      </c>
      <c r="D3298" s="606" t="s">
        <v>415</v>
      </c>
      <c r="E3298" s="189"/>
      <c r="F3298" s="606"/>
    </row>
    <row r="3299" spans="1:8" s="113" customFormat="1" x14ac:dyDescent="0.25">
      <c r="A3299" s="190">
        <v>231433</v>
      </c>
      <c r="B3299" s="189" t="s">
        <v>3361</v>
      </c>
      <c r="C3299" s="189" t="s">
        <v>1455</v>
      </c>
      <c r="D3299" s="189" t="s">
        <v>415</v>
      </c>
      <c r="E3299" s="189"/>
      <c r="F3299" s="606"/>
    </row>
    <row r="3300" spans="1:8" s="113" customFormat="1" x14ac:dyDescent="0.25">
      <c r="A3300" s="187">
        <v>231433</v>
      </c>
      <c r="B3300" s="187" t="s">
        <v>3361</v>
      </c>
      <c r="C3300" s="187" t="s">
        <v>1455</v>
      </c>
      <c r="D3300" s="187" t="s">
        <v>415</v>
      </c>
      <c r="E3300" s="187"/>
      <c r="F3300" s="187"/>
    </row>
    <row r="3301" spans="1:8" s="113" customFormat="1" x14ac:dyDescent="0.25">
      <c r="A3301" s="190">
        <v>231445</v>
      </c>
      <c r="B3301" s="606" t="s">
        <v>2733</v>
      </c>
      <c r="C3301" s="189"/>
      <c r="D3301" s="606"/>
      <c r="E3301" s="189"/>
      <c r="F3301" s="189"/>
      <c r="G3301"/>
      <c r="H3301"/>
    </row>
    <row r="3302" spans="1:8" s="113" customFormat="1" x14ac:dyDescent="0.25">
      <c r="A3302" s="190">
        <v>231636</v>
      </c>
      <c r="B3302" s="606" t="s">
        <v>2910</v>
      </c>
      <c r="C3302" s="606" t="s">
        <v>20</v>
      </c>
      <c r="D3302" s="606" t="s">
        <v>302</v>
      </c>
      <c r="E3302" s="606"/>
      <c r="F3302" s="606"/>
    </row>
    <row r="3303" spans="1:8" s="113" customFormat="1" x14ac:dyDescent="0.25">
      <c r="A3303" s="195">
        <v>231636</v>
      </c>
      <c r="B3303" s="606" t="s">
        <v>2910</v>
      </c>
      <c r="C3303" s="606" t="s">
        <v>20</v>
      </c>
      <c r="D3303" s="606" t="s">
        <v>302</v>
      </c>
      <c r="E3303" s="606"/>
      <c r="F3303" s="187"/>
    </row>
    <row r="3304" spans="1:8" s="113" customFormat="1" x14ac:dyDescent="0.25">
      <c r="A3304" s="190">
        <v>232008</v>
      </c>
      <c r="B3304" s="606" t="s">
        <v>3262</v>
      </c>
      <c r="C3304" s="606" t="s">
        <v>3263</v>
      </c>
      <c r="D3304" s="606" t="s">
        <v>154</v>
      </c>
      <c r="E3304" s="189"/>
      <c r="F3304" s="606"/>
    </row>
    <row r="3305" spans="1:8" s="113" customFormat="1" x14ac:dyDescent="0.25">
      <c r="A3305" s="190">
        <v>232008</v>
      </c>
      <c r="B3305" s="187" t="s">
        <v>3262</v>
      </c>
      <c r="C3305" s="606" t="s">
        <v>49</v>
      </c>
      <c r="D3305" s="187" t="s">
        <v>154</v>
      </c>
      <c r="E3305" s="189"/>
      <c r="F3305" s="606"/>
    </row>
    <row r="3306" spans="1:8" s="113" customFormat="1" x14ac:dyDescent="0.25">
      <c r="A3306" s="195">
        <v>232008</v>
      </c>
      <c r="B3306" s="187" t="s">
        <v>3262</v>
      </c>
      <c r="C3306" s="187" t="s">
        <v>49</v>
      </c>
      <c r="D3306" s="146" t="s">
        <v>154</v>
      </c>
      <c r="E3306" s="606"/>
      <c r="F3306" s="187"/>
    </row>
    <row r="3307" spans="1:8" s="113" customFormat="1" x14ac:dyDescent="0.25">
      <c r="A3307" s="187">
        <v>232008</v>
      </c>
      <c r="B3307" s="187" t="s">
        <v>3262</v>
      </c>
      <c r="C3307" s="187" t="s">
        <v>49</v>
      </c>
      <c r="D3307" s="187" t="s">
        <v>154</v>
      </c>
      <c r="E3307" s="187"/>
      <c r="F3307" s="187"/>
    </row>
    <row r="3308" spans="1:8" s="113" customFormat="1" x14ac:dyDescent="0.25">
      <c r="A3308" s="195">
        <v>232218</v>
      </c>
      <c r="B3308" s="188" t="s">
        <v>2975</v>
      </c>
      <c r="C3308" s="146" t="s">
        <v>17</v>
      </c>
      <c r="D3308" s="146" t="s">
        <v>242</v>
      </c>
      <c r="E3308" s="606"/>
      <c r="F3308" s="606"/>
    </row>
    <row r="3309" spans="1:8" s="113" customFormat="1" x14ac:dyDescent="0.25">
      <c r="A3309" s="195">
        <v>232883</v>
      </c>
      <c r="B3309" s="187" t="s">
        <v>3063</v>
      </c>
      <c r="C3309" s="187" t="s">
        <v>47</v>
      </c>
      <c r="D3309" s="148" t="s">
        <v>159</v>
      </c>
      <c r="E3309" s="606"/>
      <c r="F3309" s="187"/>
    </row>
    <row r="3310" spans="1:8" s="113" customFormat="1" x14ac:dyDescent="0.25">
      <c r="A3310" s="190">
        <v>233115</v>
      </c>
      <c r="B3310" s="606" t="s">
        <v>3289</v>
      </c>
      <c r="C3310" s="143" t="s">
        <v>36</v>
      </c>
      <c r="D3310" s="606" t="s">
        <v>154</v>
      </c>
      <c r="E3310" s="189"/>
      <c r="F3310" s="606"/>
    </row>
    <row r="3311" spans="1:8" s="113" customFormat="1" x14ac:dyDescent="0.25">
      <c r="A3311" s="187">
        <v>233115</v>
      </c>
      <c r="B3311" s="187" t="s">
        <v>3297</v>
      </c>
      <c r="C3311" s="187" t="s">
        <v>36</v>
      </c>
      <c r="D3311" s="146" t="s">
        <v>154</v>
      </c>
      <c r="E3311" s="606"/>
      <c r="F3311" s="187"/>
    </row>
    <row r="3312" spans="1:8" s="113" customFormat="1" x14ac:dyDescent="0.25">
      <c r="A3312" s="187">
        <v>233288</v>
      </c>
      <c r="B3312" s="187" t="s">
        <v>3594</v>
      </c>
      <c r="C3312" s="187" t="s">
        <v>64</v>
      </c>
      <c r="D3312" s="187" t="s">
        <v>237</v>
      </c>
      <c r="E3312" s="187"/>
      <c r="F3312" s="187"/>
    </row>
    <row r="3313" spans="1:8" s="113" customFormat="1" x14ac:dyDescent="0.25">
      <c r="A3313" s="190">
        <v>233381</v>
      </c>
      <c r="B3313" s="606" t="s">
        <v>2905</v>
      </c>
      <c r="C3313" s="606" t="s">
        <v>144</v>
      </c>
      <c r="D3313" s="606" t="s">
        <v>173</v>
      </c>
      <c r="E3313" s="189"/>
      <c r="F3313" s="606"/>
      <c r="G3313" s="229"/>
      <c r="H3313" s="229"/>
    </row>
    <row r="3314" spans="1:8" s="113" customFormat="1" x14ac:dyDescent="0.25">
      <c r="A3314" s="168">
        <v>233420</v>
      </c>
      <c r="B3314" s="187" t="s">
        <v>2689</v>
      </c>
      <c r="C3314" s="187" t="s">
        <v>16</v>
      </c>
      <c r="D3314" s="187" t="s">
        <v>302</v>
      </c>
      <c r="E3314" s="606"/>
      <c r="F3314" s="187"/>
    </row>
    <row r="3315" spans="1:8" s="113" customFormat="1" x14ac:dyDescent="0.25">
      <c r="A3315" s="195">
        <v>233531</v>
      </c>
      <c r="B3315" s="187" t="s">
        <v>3133</v>
      </c>
      <c r="C3315" s="187" t="s">
        <v>49</v>
      </c>
      <c r="D3315" s="146" t="s">
        <v>242</v>
      </c>
      <c r="E3315" s="606"/>
      <c r="F3315" s="187"/>
      <c r="G3315" s="229"/>
      <c r="H3315" s="229"/>
    </row>
    <row r="3316" spans="1:8" s="113" customFormat="1" x14ac:dyDescent="0.25">
      <c r="A3316" s="187">
        <v>233593</v>
      </c>
      <c r="B3316" s="187" t="s">
        <v>3578</v>
      </c>
      <c r="C3316" s="187" t="s">
        <v>144</v>
      </c>
      <c r="D3316" s="187" t="s">
        <v>173</v>
      </c>
      <c r="E3316" s="187"/>
      <c r="F3316" s="187"/>
      <c r="G3316" s="229"/>
      <c r="H3316" s="229"/>
    </row>
    <row r="3317" spans="1:8" s="113" customFormat="1" ht="26.25" x14ac:dyDescent="0.25">
      <c r="A3317" s="195">
        <v>233868</v>
      </c>
      <c r="B3317" s="188" t="s">
        <v>2918</v>
      </c>
      <c r="C3317" s="146" t="s">
        <v>16</v>
      </c>
      <c r="D3317" s="146" t="s">
        <v>302</v>
      </c>
      <c r="E3317" s="606"/>
      <c r="F3317" s="187"/>
      <c r="G3317" s="229"/>
      <c r="H3317" s="229"/>
    </row>
    <row r="3318" spans="1:8" s="113" customFormat="1" x14ac:dyDescent="0.25">
      <c r="A3318" s="245">
        <v>233997</v>
      </c>
      <c r="B3318" s="246" t="s">
        <v>2712</v>
      </c>
      <c r="C3318" s="246" t="s">
        <v>17</v>
      </c>
      <c r="D3318" s="246" t="s">
        <v>116</v>
      </c>
      <c r="E3318" s="246"/>
      <c r="F3318" s="246"/>
      <c r="G3318" s="229"/>
      <c r="H3318" s="229"/>
    </row>
    <row r="3319" spans="1:8" s="113" customFormat="1" x14ac:dyDescent="0.25">
      <c r="A3319" s="190">
        <v>234416</v>
      </c>
      <c r="B3319" s="606" t="s">
        <v>3238</v>
      </c>
      <c r="C3319" s="606" t="s">
        <v>5</v>
      </c>
      <c r="D3319" s="606" t="s">
        <v>154</v>
      </c>
      <c r="E3319" s="606"/>
      <c r="F3319" s="606"/>
      <c r="G3319" s="229"/>
      <c r="H3319" s="229"/>
    </row>
    <row r="3320" spans="1:8" s="113" customFormat="1" x14ac:dyDescent="0.25">
      <c r="A3320" s="187">
        <v>234416</v>
      </c>
      <c r="B3320" s="187" t="s">
        <v>3238</v>
      </c>
      <c r="C3320" s="187" t="s">
        <v>3296</v>
      </c>
      <c r="D3320" s="187" t="s">
        <v>154</v>
      </c>
      <c r="E3320" s="187"/>
      <c r="F3320" s="187"/>
      <c r="G3320" s="229"/>
      <c r="H3320" s="229"/>
    </row>
    <row r="3321" spans="1:8" s="113" customFormat="1" x14ac:dyDescent="0.25">
      <c r="A3321" s="187">
        <v>235142</v>
      </c>
      <c r="B3321" s="187" t="s">
        <v>3590</v>
      </c>
      <c r="C3321" s="187" t="s">
        <v>6</v>
      </c>
      <c r="D3321" s="187" t="s">
        <v>116</v>
      </c>
      <c r="E3321" s="187"/>
      <c r="F3321" s="187"/>
      <c r="G3321"/>
      <c r="H3321"/>
    </row>
    <row r="3322" spans="1:8" s="113" customFormat="1" x14ac:dyDescent="0.25">
      <c r="A3322" s="187">
        <v>235918</v>
      </c>
      <c r="B3322" s="187" t="s">
        <v>3581</v>
      </c>
      <c r="C3322" s="187" t="s">
        <v>167</v>
      </c>
      <c r="D3322" s="187" t="s">
        <v>171</v>
      </c>
      <c r="E3322" s="187"/>
      <c r="F3322" s="187"/>
      <c r="G3322"/>
      <c r="H3322"/>
    </row>
    <row r="3323" spans="1:8" s="113" customFormat="1" x14ac:dyDescent="0.25">
      <c r="A3323" s="195">
        <v>236425</v>
      </c>
      <c r="B3323" s="188" t="s">
        <v>2968</v>
      </c>
      <c r="C3323" s="146" t="s">
        <v>10</v>
      </c>
      <c r="D3323" s="146" t="s">
        <v>7</v>
      </c>
      <c r="E3323" s="606"/>
      <c r="F3323" s="606"/>
      <c r="G3323"/>
      <c r="H3323"/>
    </row>
    <row r="3324" spans="1:8" s="113" customFormat="1" x14ac:dyDescent="0.25">
      <c r="A3324" s="195">
        <v>237031</v>
      </c>
      <c r="B3324" s="187" t="s">
        <v>3492</v>
      </c>
      <c r="C3324" s="187" t="s">
        <v>32</v>
      </c>
      <c r="D3324" s="146" t="s">
        <v>302</v>
      </c>
      <c r="E3324" s="606"/>
      <c r="F3324" s="187"/>
      <c r="G3324"/>
      <c r="H3324"/>
    </row>
    <row r="3325" spans="1:8" s="113" customFormat="1" x14ac:dyDescent="0.25">
      <c r="A3325" s="195">
        <v>237277</v>
      </c>
      <c r="B3325" s="606" t="s">
        <v>3250</v>
      </c>
      <c r="C3325" s="606" t="s">
        <v>16</v>
      </c>
      <c r="D3325" s="189" t="s">
        <v>302</v>
      </c>
      <c r="E3325" s="189"/>
      <c r="F3325" s="187"/>
      <c r="G3325"/>
      <c r="H3325"/>
    </row>
    <row r="3326" spans="1:8" s="194" customFormat="1" x14ac:dyDescent="0.25">
      <c r="A3326" s="141">
        <v>237479</v>
      </c>
      <c r="B3326" s="190" t="s">
        <v>3023</v>
      </c>
      <c r="C3326" s="190" t="s">
        <v>64</v>
      </c>
      <c r="D3326" s="148" t="s">
        <v>237</v>
      </c>
      <c r="E3326" s="190"/>
      <c r="F3326" s="190"/>
      <c r="G3326"/>
      <c r="H3326"/>
    </row>
    <row r="3327" spans="1:8" s="194" customFormat="1" x14ac:dyDescent="0.25">
      <c r="A3327" s="187">
        <v>238289</v>
      </c>
      <c r="B3327" s="187" t="s">
        <v>3439</v>
      </c>
      <c r="C3327" s="187" t="s">
        <v>67</v>
      </c>
      <c r="D3327" s="187" t="s">
        <v>161</v>
      </c>
      <c r="E3327" s="187"/>
      <c r="F3327" s="187"/>
      <c r="G3327"/>
      <c r="H3327"/>
    </row>
    <row r="3328" spans="1:8" s="194" customFormat="1" x14ac:dyDescent="0.25">
      <c r="A3328" s="187">
        <v>238317</v>
      </c>
      <c r="B3328" s="187" t="s">
        <v>3307</v>
      </c>
      <c r="C3328" s="187" t="s">
        <v>12</v>
      </c>
      <c r="D3328" s="187" t="s">
        <v>811</v>
      </c>
      <c r="E3328" s="187"/>
      <c r="F3328" s="187"/>
      <c r="G3328"/>
      <c r="H3328"/>
    </row>
    <row r="3329" spans="1:8" s="194" customFormat="1" x14ac:dyDescent="0.25">
      <c r="A3329" s="190">
        <v>238453</v>
      </c>
      <c r="B3329" s="187" t="s">
        <v>2827</v>
      </c>
      <c r="C3329" s="187" t="s">
        <v>17</v>
      </c>
      <c r="D3329" s="606" t="s">
        <v>154</v>
      </c>
      <c r="E3329" s="606"/>
      <c r="F3329" s="606"/>
      <c r="G3329"/>
      <c r="H3329"/>
    </row>
    <row r="3330" spans="1:8" s="194" customFormat="1" x14ac:dyDescent="0.25">
      <c r="A3330" s="255">
        <v>238488</v>
      </c>
      <c r="B3330" s="256" t="s">
        <v>1323</v>
      </c>
      <c r="C3330" s="143" t="s">
        <v>64</v>
      </c>
      <c r="D3330" s="148" t="s">
        <v>237</v>
      </c>
      <c r="E3330" s="248"/>
      <c r="F3330" s="248"/>
      <c r="G3330"/>
      <c r="H3330"/>
    </row>
    <row r="3331" spans="1:8" s="194" customFormat="1" ht="26.25" x14ac:dyDescent="0.25">
      <c r="A3331" s="187">
        <v>239085</v>
      </c>
      <c r="B3331" s="187" t="s">
        <v>3284</v>
      </c>
      <c r="C3331" s="146" t="s">
        <v>16</v>
      </c>
      <c r="D3331" s="146" t="s">
        <v>242</v>
      </c>
      <c r="E3331" s="189"/>
      <c r="F3331" s="187"/>
      <c r="G3331"/>
      <c r="H3331"/>
    </row>
    <row r="3332" spans="1:8" s="194" customFormat="1" x14ac:dyDescent="0.25">
      <c r="A3332" s="190">
        <v>239218</v>
      </c>
      <c r="B3332" s="188" t="s">
        <v>2585</v>
      </c>
      <c r="C3332" s="606" t="s">
        <v>36</v>
      </c>
      <c r="D3332" s="606" t="s">
        <v>116</v>
      </c>
      <c r="E3332" s="189"/>
      <c r="F3332" s="189"/>
      <c r="G3332"/>
      <c r="H3332"/>
    </row>
    <row r="3333" spans="1:8" s="194" customFormat="1" x14ac:dyDescent="0.25">
      <c r="A3333" s="261">
        <v>239404</v>
      </c>
      <c r="B3333" s="188" t="s">
        <v>2609</v>
      </c>
      <c r="C3333" s="146" t="s">
        <v>64</v>
      </c>
      <c r="D3333" s="187" t="s">
        <v>237</v>
      </c>
      <c r="E3333" s="606"/>
      <c r="F3333" s="187"/>
      <c r="G3333"/>
      <c r="H3333"/>
    </row>
    <row r="3334" spans="1:8" s="194" customFormat="1" x14ac:dyDescent="0.25">
      <c r="A3334" s="190">
        <v>239535</v>
      </c>
      <c r="B3334" s="606" t="s">
        <v>3204</v>
      </c>
      <c r="C3334" s="606" t="s">
        <v>8</v>
      </c>
      <c r="D3334" s="606" t="s">
        <v>242</v>
      </c>
      <c r="E3334" s="189"/>
      <c r="F3334" s="606"/>
      <c r="G3334"/>
      <c r="H3334"/>
    </row>
    <row r="3335" spans="1:8" s="194" customFormat="1" ht="26.25" x14ac:dyDescent="0.25">
      <c r="A3335" s="195">
        <v>239679</v>
      </c>
      <c r="B3335" s="188" t="s">
        <v>2966</v>
      </c>
      <c r="C3335" s="146" t="s">
        <v>144</v>
      </c>
      <c r="D3335" s="146" t="s">
        <v>171</v>
      </c>
      <c r="E3335" s="606"/>
      <c r="F3335" s="187"/>
      <c r="G3335"/>
      <c r="H3335"/>
    </row>
    <row r="3336" spans="1:8" s="194" customFormat="1" x14ac:dyDescent="0.25">
      <c r="A3336" s="129">
        <v>239788</v>
      </c>
      <c r="B3336" s="606" t="s">
        <v>3102</v>
      </c>
      <c r="C3336" s="606" t="s">
        <v>1936</v>
      </c>
      <c r="D3336" s="606" t="s">
        <v>56</v>
      </c>
      <c r="E3336" s="606"/>
      <c r="F3336" s="606"/>
      <c r="G3336"/>
      <c r="H3336"/>
    </row>
    <row r="3337" spans="1:8" s="194" customFormat="1" x14ac:dyDescent="0.25">
      <c r="A3337" s="245">
        <v>240256</v>
      </c>
      <c r="B3337" s="246" t="s">
        <v>2543</v>
      </c>
      <c r="C3337" s="246" t="s">
        <v>64</v>
      </c>
      <c r="D3337" s="246" t="s">
        <v>154</v>
      </c>
      <c r="E3337" s="246"/>
      <c r="F3337" s="246"/>
      <c r="G3337"/>
      <c r="H3337"/>
    </row>
    <row r="3338" spans="1:8" s="194" customFormat="1" ht="26.25" x14ac:dyDescent="0.25">
      <c r="A3338" s="195">
        <v>240409</v>
      </c>
      <c r="B3338" s="188" t="s">
        <v>2856</v>
      </c>
      <c r="C3338" s="146" t="s">
        <v>16</v>
      </c>
      <c r="D3338" s="146" t="s">
        <v>242</v>
      </c>
      <c r="E3338" s="189"/>
      <c r="F3338" s="606"/>
      <c r="G3338"/>
      <c r="H3338"/>
    </row>
    <row r="3339" spans="1:8" s="194" customFormat="1" x14ac:dyDescent="0.25">
      <c r="A3339" s="195">
        <v>240426</v>
      </c>
      <c r="B3339" s="187" t="s">
        <v>3545</v>
      </c>
      <c r="C3339" s="187" t="s">
        <v>16</v>
      </c>
      <c r="D3339" s="148" t="s">
        <v>116</v>
      </c>
      <c r="E3339" s="189"/>
      <c r="F3339" s="187"/>
      <c r="G3339"/>
      <c r="H3339"/>
    </row>
    <row r="3340" spans="1:8" s="194" customFormat="1" x14ac:dyDescent="0.25">
      <c r="A3340" s="190">
        <v>240821</v>
      </c>
      <c r="B3340" s="606" t="s">
        <v>3173</v>
      </c>
      <c r="C3340" s="606" t="s">
        <v>144</v>
      </c>
      <c r="D3340" s="606" t="s">
        <v>173</v>
      </c>
      <c r="E3340" s="606"/>
      <c r="F3340" s="606"/>
      <c r="G3340"/>
      <c r="H3340"/>
    </row>
    <row r="3341" spans="1:8" s="194" customFormat="1" x14ac:dyDescent="0.25">
      <c r="A3341" s="255">
        <v>241230</v>
      </c>
      <c r="B3341" s="256" t="s">
        <v>2501</v>
      </c>
      <c r="C3341" s="143" t="s">
        <v>90</v>
      </c>
      <c r="D3341" s="148" t="s">
        <v>1186</v>
      </c>
      <c r="E3341" s="248"/>
      <c r="F3341" s="248"/>
      <c r="G3341"/>
      <c r="H3341"/>
    </row>
    <row r="3342" spans="1:8" s="194" customFormat="1" x14ac:dyDescent="0.25">
      <c r="A3342" s="187">
        <v>241607</v>
      </c>
      <c r="B3342" s="187" t="s">
        <v>3277</v>
      </c>
      <c r="C3342" s="187" t="s">
        <v>1455</v>
      </c>
      <c r="D3342" s="146" t="s">
        <v>415</v>
      </c>
      <c r="E3342" s="606"/>
      <c r="F3342" s="187"/>
      <c r="G3342"/>
      <c r="H3342"/>
    </row>
    <row r="3343" spans="1:8" s="194" customFormat="1" x14ac:dyDescent="0.25">
      <c r="A3343" s="190">
        <v>241607</v>
      </c>
      <c r="B3343" s="606" t="s">
        <v>3277</v>
      </c>
      <c r="C3343" s="143" t="s">
        <v>1455</v>
      </c>
      <c r="D3343" s="606" t="s">
        <v>415</v>
      </c>
      <c r="E3343" s="606"/>
      <c r="F3343" s="606"/>
    </row>
    <row r="3344" spans="1:8" s="194" customFormat="1" x14ac:dyDescent="0.25">
      <c r="A3344" s="187">
        <v>241630</v>
      </c>
      <c r="B3344" s="187" t="s">
        <v>3438</v>
      </c>
      <c r="C3344" s="187" t="s">
        <v>914</v>
      </c>
      <c r="D3344" s="187" t="s">
        <v>302</v>
      </c>
      <c r="E3344" s="187"/>
      <c r="F3344" s="187"/>
    </row>
    <row r="3345" spans="1:8" s="194" customFormat="1" x14ac:dyDescent="0.25">
      <c r="A3345" s="195">
        <v>241630</v>
      </c>
      <c r="B3345" s="187" t="s">
        <v>3438</v>
      </c>
      <c r="C3345" s="187" t="s">
        <v>3043</v>
      </c>
      <c r="D3345" s="146" t="s">
        <v>302</v>
      </c>
      <c r="E3345" s="189"/>
      <c r="F3345" s="187"/>
    </row>
    <row r="3346" spans="1:8" s="194" customFormat="1" x14ac:dyDescent="0.25">
      <c r="A3346" s="247">
        <v>241814</v>
      </c>
      <c r="B3346" s="248" t="s">
        <v>1439</v>
      </c>
      <c r="C3346" s="143" t="s">
        <v>38</v>
      </c>
      <c r="D3346" s="244" t="s">
        <v>143</v>
      </c>
      <c r="E3346" s="248"/>
      <c r="F3346" s="248"/>
    </row>
    <row r="3347" spans="1:8" s="194" customFormat="1" x14ac:dyDescent="0.25">
      <c r="A3347" s="247">
        <v>241871</v>
      </c>
      <c r="B3347" s="250" t="s">
        <v>1560</v>
      </c>
      <c r="C3347" s="143" t="s">
        <v>47</v>
      </c>
      <c r="D3347" s="148" t="s">
        <v>159</v>
      </c>
      <c r="E3347" s="250"/>
      <c r="F3347" s="250"/>
    </row>
    <row r="3348" spans="1:8" x14ac:dyDescent="0.25">
      <c r="A3348" s="195">
        <v>241934</v>
      </c>
      <c r="B3348" s="189" t="s">
        <v>3230</v>
      </c>
      <c r="C3348" s="189" t="s">
        <v>8</v>
      </c>
      <c r="D3348" s="189" t="s">
        <v>3206</v>
      </c>
      <c r="E3348" s="189"/>
      <c r="F3348" s="187"/>
      <c r="G3348" s="194"/>
      <c r="H3348" s="194"/>
    </row>
    <row r="3349" spans="1:8" x14ac:dyDescent="0.25">
      <c r="A3349" s="190">
        <v>241973</v>
      </c>
      <c r="B3349" s="188" t="s">
        <v>2506</v>
      </c>
      <c r="C3349" s="146" t="s">
        <v>38</v>
      </c>
      <c r="D3349" s="606" t="s">
        <v>504</v>
      </c>
      <c r="E3349" s="606"/>
      <c r="F3349" s="187"/>
      <c r="G3349" s="194"/>
      <c r="H3349" s="194"/>
    </row>
    <row r="3350" spans="1:8" x14ac:dyDescent="0.25">
      <c r="A3350" s="187">
        <v>242024</v>
      </c>
      <c r="B3350" s="187" t="s">
        <v>3316</v>
      </c>
      <c r="C3350" s="187" t="s">
        <v>140</v>
      </c>
      <c r="D3350" s="187" t="s">
        <v>148</v>
      </c>
      <c r="E3350" s="187"/>
      <c r="F3350" s="187"/>
      <c r="G3350" s="194"/>
      <c r="H3350" s="194"/>
    </row>
    <row r="3351" spans="1:8" x14ac:dyDescent="0.25">
      <c r="A3351" s="141">
        <v>242201</v>
      </c>
      <c r="B3351" s="190" t="s">
        <v>3036</v>
      </c>
      <c r="C3351" s="190" t="s">
        <v>1590</v>
      </c>
      <c r="D3351" s="148" t="s">
        <v>154</v>
      </c>
      <c r="E3351" s="190"/>
      <c r="F3351" s="190"/>
      <c r="G3351" s="194"/>
      <c r="H3351" s="194"/>
    </row>
    <row r="3352" spans="1:8" x14ac:dyDescent="0.25">
      <c r="A3352" s="190">
        <v>242361</v>
      </c>
      <c r="B3352" s="606" t="s">
        <v>3421</v>
      </c>
      <c r="C3352" s="606" t="s">
        <v>3259</v>
      </c>
      <c r="D3352" s="606" t="s">
        <v>154</v>
      </c>
      <c r="E3352" s="189"/>
      <c r="F3352" s="606"/>
      <c r="G3352" s="194"/>
      <c r="H3352" s="194"/>
    </row>
    <row r="3353" spans="1:8" x14ac:dyDescent="0.25">
      <c r="A3353" s="195">
        <v>242361</v>
      </c>
      <c r="B3353" s="187" t="s">
        <v>3421</v>
      </c>
      <c r="C3353" s="187" t="s">
        <v>3259</v>
      </c>
      <c r="D3353" s="146" t="s">
        <v>154</v>
      </c>
      <c r="E3353" s="606"/>
      <c r="F3353" s="187"/>
      <c r="G3353" s="113"/>
      <c r="H3353" s="113"/>
    </row>
    <row r="3354" spans="1:8" x14ac:dyDescent="0.25">
      <c r="A3354" s="245">
        <v>242567</v>
      </c>
      <c r="B3354" s="246" t="s">
        <v>2710</v>
      </c>
      <c r="C3354" s="246" t="s">
        <v>2713</v>
      </c>
      <c r="D3354" s="246" t="s">
        <v>453</v>
      </c>
      <c r="E3354" s="246"/>
      <c r="F3354" s="246"/>
      <c r="G3354" s="194"/>
      <c r="H3354" s="194"/>
    </row>
    <row r="3355" spans="1:8" ht="26.25" x14ac:dyDescent="0.25">
      <c r="A3355" s="247">
        <v>242592</v>
      </c>
      <c r="B3355" s="250" t="s">
        <v>1556</v>
      </c>
      <c r="C3355" s="143" t="s">
        <v>20</v>
      </c>
      <c r="D3355" s="260" t="s">
        <v>302</v>
      </c>
      <c r="E3355" s="250"/>
      <c r="F3355" s="250"/>
      <c r="G3355" s="229"/>
      <c r="H3355" s="229"/>
    </row>
    <row r="3356" spans="1:8" ht="26.25" x14ac:dyDescent="0.25">
      <c r="A3356" s="195">
        <v>242750</v>
      </c>
      <c r="B3356" s="188" t="s">
        <v>2883</v>
      </c>
      <c r="C3356" s="146" t="s">
        <v>16</v>
      </c>
      <c r="D3356" s="146" t="s">
        <v>302</v>
      </c>
      <c r="E3356" s="189"/>
      <c r="F3356" s="187"/>
      <c r="G3356" s="229"/>
      <c r="H3356" s="229"/>
    </row>
    <row r="3357" spans="1:8" ht="26.25" x14ac:dyDescent="0.25">
      <c r="A3357" s="247">
        <v>242903</v>
      </c>
      <c r="B3357" s="248" t="s">
        <v>1422</v>
      </c>
      <c r="C3357" s="143" t="s">
        <v>417</v>
      </c>
      <c r="D3357" s="148" t="s">
        <v>504</v>
      </c>
      <c r="E3357" s="248"/>
      <c r="F3357" s="248"/>
      <c r="G3357" s="229"/>
      <c r="H3357" s="229"/>
    </row>
    <row r="3358" spans="1:8" x14ac:dyDescent="0.25">
      <c r="A3358" s="190">
        <v>243505</v>
      </c>
      <c r="B3358" s="606" t="s">
        <v>3271</v>
      </c>
      <c r="C3358" s="606" t="s">
        <v>49</v>
      </c>
      <c r="D3358" s="606" t="s">
        <v>242</v>
      </c>
      <c r="E3358" s="606"/>
      <c r="F3358" s="606"/>
      <c r="G3358" s="229"/>
      <c r="H3358" s="229"/>
    </row>
    <row r="3359" spans="1:8" x14ac:dyDescent="0.25">
      <c r="A3359" s="190">
        <v>243505</v>
      </c>
      <c r="B3359" s="189" t="s">
        <v>3271</v>
      </c>
      <c r="C3359" s="189" t="s">
        <v>49</v>
      </c>
      <c r="D3359" s="189" t="s">
        <v>3329</v>
      </c>
      <c r="E3359" s="189"/>
      <c r="F3359" s="189"/>
      <c r="G3359" s="229"/>
      <c r="H3359" s="229"/>
    </row>
    <row r="3360" spans="1:8" x14ac:dyDescent="0.25">
      <c r="A3360" s="190">
        <v>243505</v>
      </c>
      <c r="B3360" s="606" t="s">
        <v>3271</v>
      </c>
      <c r="C3360" s="606" t="s">
        <v>49</v>
      </c>
      <c r="D3360" s="606" t="s">
        <v>242</v>
      </c>
      <c r="E3360" s="606"/>
      <c r="F3360" s="606"/>
      <c r="G3360" s="229"/>
      <c r="H3360" s="229"/>
    </row>
    <row r="3361" spans="1:8" x14ac:dyDescent="0.25">
      <c r="A3361" s="190">
        <v>243505</v>
      </c>
      <c r="B3361" s="187" t="s">
        <v>3271</v>
      </c>
      <c r="C3361" s="187" t="s">
        <v>49</v>
      </c>
      <c r="D3361" s="187" t="s">
        <v>154</v>
      </c>
      <c r="E3361" s="606"/>
      <c r="F3361" s="606"/>
      <c r="G3361" s="229"/>
      <c r="H3361" s="229"/>
    </row>
    <row r="3362" spans="1:8" x14ac:dyDescent="0.25">
      <c r="A3362" s="187">
        <v>243505</v>
      </c>
      <c r="B3362" s="187" t="s">
        <v>3271</v>
      </c>
      <c r="C3362" s="187" t="s">
        <v>49</v>
      </c>
      <c r="D3362" s="187" t="s">
        <v>154</v>
      </c>
      <c r="E3362" s="187"/>
      <c r="F3362" s="187"/>
      <c r="G3362" s="229"/>
      <c r="H3362" s="229"/>
    </row>
    <row r="3363" spans="1:8" x14ac:dyDescent="0.25">
      <c r="A3363" s="190">
        <v>243840</v>
      </c>
      <c r="B3363" s="606" t="s">
        <v>3221</v>
      </c>
      <c r="C3363" s="606" t="s">
        <v>10</v>
      </c>
      <c r="D3363" s="606" t="s">
        <v>154</v>
      </c>
      <c r="E3363" s="606"/>
      <c r="F3363" s="606"/>
      <c r="G3363" s="229"/>
      <c r="H3363" s="229"/>
    </row>
    <row r="3364" spans="1:8" x14ac:dyDescent="0.25">
      <c r="A3364" s="247">
        <v>243873</v>
      </c>
      <c r="B3364" s="248" t="s">
        <v>1567</v>
      </c>
      <c r="C3364" s="143" t="s">
        <v>36</v>
      </c>
      <c r="D3364" s="148" t="s">
        <v>116</v>
      </c>
      <c r="E3364" s="248"/>
      <c r="F3364" s="248"/>
      <c r="G3364" s="229"/>
      <c r="H3364" s="229"/>
    </row>
    <row r="3365" spans="1:8" x14ac:dyDescent="0.25">
      <c r="A3365" s="187">
        <v>244030</v>
      </c>
      <c r="B3365" s="187" t="s">
        <v>3661</v>
      </c>
      <c r="C3365" s="187" t="s">
        <v>140</v>
      </c>
      <c r="D3365" s="146" t="s">
        <v>148</v>
      </c>
      <c r="E3365" s="606"/>
      <c r="F3365" s="187"/>
      <c r="G3365" s="229"/>
      <c r="H3365" s="229"/>
    </row>
    <row r="3366" spans="1:8" s="229" customFormat="1" x14ac:dyDescent="0.25">
      <c r="A3366" s="190">
        <v>244347</v>
      </c>
      <c r="B3366" s="606" t="s">
        <v>3239</v>
      </c>
      <c r="C3366" s="606" t="s">
        <v>140</v>
      </c>
      <c r="D3366" s="606" t="s">
        <v>109</v>
      </c>
      <c r="E3366" s="606"/>
      <c r="F3366" s="606"/>
    </row>
    <row r="3367" spans="1:8" s="229" customFormat="1" ht="26.25" x14ac:dyDescent="0.25">
      <c r="A3367" s="190">
        <v>244498</v>
      </c>
      <c r="B3367" s="188" t="s">
        <v>2606</v>
      </c>
      <c r="C3367" s="146" t="s">
        <v>27</v>
      </c>
      <c r="D3367" s="148" t="s">
        <v>967</v>
      </c>
      <c r="E3367" s="606"/>
      <c r="F3367" s="606"/>
    </row>
    <row r="3368" spans="1:8" s="229" customFormat="1" x14ac:dyDescent="0.25">
      <c r="A3368" s="187">
        <v>244679</v>
      </c>
      <c r="B3368" s="188" t="s">
        <v>2758</v>
      </c>
      <c r="C3368" s="146" t="s">
        <v>140</v>
      </c>
      <c r="D3368" s="146" t="s">
        <v>143</v>
      </c>
      <c r="E3368" s="606"/>
      <c r="F3368" s="606"/>
    </row>
    <row r="3369" spans="1:8" s="229" customFormat="1" x14ac:dyDescent="0.25">
      <c r="A3369" s="187">
        <v>245601</v>
      </c>
      <c r="B3369" s="187" t="s">
        <v>3322</v>
      </c>
      <c r="C3369" s="187" t="s">
        <v>49</v>
      </c>
      <c r="D3369" s="187" t="s">
        <v>242</v>
      </c>
      <c r="E3369" s="187"/>
      <c r="F3369" s="187"/>
    </row>
    <row r="3370" spans="1:8" s="229" customFormat="1" x14ac:dyDescent="0.25">
      <c r="A3370" s="195">
        <v>245601</v>
      </c>
      <c r="B3370" s="187" t="s">
        <v>3322</v>
      </c>
      <c r="C3370" s="187" t="s">
        <v>49</v>
      </c>
      <c r="D3370" s="146" t="s">
        <v>242</v>
      </c>
      <c r="E3370" s="189"/>
      <c r="F3370" s="187"/>
    </row>
    <row r="3371" spans="1:8" s="229" customFormat="1" x14ac:dyDescent="0.25">
      <c r="A3371" s="187">
        <v>246055</v>
      </c>
      <c r="B3371" s="187" t="s">
        <v>3619</v>
      </c>
      <c r="C3371" s="187" t="s">
        <v>3620</v>
      </c>
      <c r="D3371" s="187" t="s">
        <v>242</v>
      </c>
      <c r="E3371" s="187"/>
      <c r="F3371" s="187"/>
    </row>
    <row r="3372" spans="1:8" s="229" customFormat="1" ht="26.25" x14ac:dyDescent="0.25">
      <c r="A3372" s="247">
        <v>246229</v>
      </c>
      <c r="B3372" s="250" t="s">
        <v>1558</v>
      </c>
      <c r="C3372" s="143" t="s">
        <v>2583</v>
      </c>
      <c r="D3372" s="260" t="s">
        <v>504</v>
      </c>
      <c r="E3372" s="250"/>
      <c r="F3372" s="250"/>
    </row>
    <row r="3373" spans="1:8" s="229" customFormat="1" x14ac:dyDescent="0.25">
      <c r="A3373" s="190">
        <v>246247</v>
      </c>
      <c r="B3373" s="606" t="s">
        <v>3087</v>
      </c>
      <c r="C3373" s="606" t="s">
        <v>49</v>
      </c>
      <c r="D3373" s="606" t="s">
        <v>116</v>
      </c>
      <c r="E3373" s="606"/>
      <c r="F3373" s="606"/>
    </row>
    <row r="3374" spans="1:8" s="229" customFormat="1" x14ac:dyDescent="0.25">
      <c r="A3374" s="190">
        <v>246312</v>
      </c>
      <c r="B3374" s="606" t="s">
        <v>3210</v>
      </c>
      <c r="C3374" s="606" t="s">
        <v>63</v>
      </c>
      <c r="D3374" s="606" t="s">
        <v>3206</v>
      </c>
      <c r="E3374" s="606"/>
      <c r="F3374" s="606"/>
    </row>
    <row r="3375" spans="1:8" x14ac:dyDescent="0.25">
      <c r="A3375" s="190">
        <v>246934</v>
      </c>
      <c r="B3375" s="606" t="s">
        <v>3211</v>
      </c>
      <c r="C3375" s="606" t="s">
        <v>17</v>
      </c>
      <c r="D3375" s="606" t="s">
        <v>3206</v>
      </c>
      <c r="E3375" s="606"/>
      <c r="F3375" s="606"/>
      <c r="G3375" s="229"/>
      <c r="H3375" s="229"/>
    </row>
    <row r="3376" spans="1:8" x14ac:dyDescent="0.25">
      <c r="A3376" s="187">
        <v>246934</v>
      </c>
      <c r="B3376" s="187" t="s">
        <v>3211</v>
      </c>
      <c r="C3376" s="187" t="s">
        <v>17</v>
      </c>
      <c r="D3376" s="146" t="s">
        <v>242</v>
      </c>
      <c r="E3376" s="189"/>
      <c r="F3376" s="187"/>
      <c r="G3376" s="113"/>
      <c r="H3376" s="113"/>
    </row>
    <row r="3377" spans="1:8" x14ac:dyDescent="0.25">
      <c r="A3377" s="187">
        <v>247116</v>
      </c>
      <c r="B3377" s="187" t="s">
        <v>3602</v>
      </c>
      <c r="C3377" s="187" t="s">
        <v>2110</v>
      </c>
      <c r="D3377" s="187" t="s">
        <v>3603</v>
      </c>
      <c r="E3377" s="187"/>
      <c r="F3377" s="187"/>
      <c r="G3377" s="229"/>
      <c r="H3377" s="229"/>
    </row>
    <row r="3378" spans="1:8" x14ac:dyDescent="0.25">
      <c r="A3378" s="190">
        <v>247169</v>
      </c>
      <c r="B3378" s="606" t="s">
        <v>3196</v>
      </c>
      <c r="C3378" s="189" t="s">
        <v>140</v>
      </c>
      <c r="D3378" s="189" t="s">
        <v>109</v>
      </c>
      <c r="E3378" s="189"/>
      <c r="F3378" s="189"/>
      <c r="G3378" s="229"/>
      <c r="H3378" s="229"/>
    </row>
    <row r="3379" spans="1:8" x14ac:dyDescent="0.25">
      <c r="A3379" s="245">
        <v>247176</v>
      </c>
      <c r="B3379" s="246" t="s">
        <v>2625</v>
      </c>
      <c r="C3379" s="246" t="s">
        <v>9</v>
      </c>
      <c r="D3379" s="246" t="s">
        <v>1696</v>
      </c>
      <c r="E3379" s="246"/>
      <c r="F3379" s="246"/>
      <c r="G3379" s="229"/>
      <c r="H3379" s="229"/>
    </row>
    <row r="3380" spans="1:8" s="229" customFormat="1" ht="26.25" x14ac:dyDescent="0.25">
      <c r="A3380" s="187">
        <v>247196</v>
      </c>
      <c r="B3380" s="188" t="s">
        <v>2958</v>
      </c>
      <c r="C3380" s="146" t="s">
        <v>6</v>
      </c>
      <c r="D3380" s="148" t="s">
        <v>2959</v>
      </c>
      <c r="E3380" s="189"/>
      <c r="F3380" s="189"/>
    </row>
    <row r="3381" spans="1:8" s="229" customFormat="1" x14ac:dyDescent="0.25">
      <c r="A3381" s="187">
        <v>247559</v>
      </c>
      <c r="B3381" s="188" t="s">
        <v>2732</v>
      </c>
      <c r="C3381" s="146" t="s">
        <v>84</v>
      </c>
      <c r="D3381" s="146" t="s">
        <v>1578</v>
      </c>
      <c r="E3381" s="606"/>
      <c r="F3381" s="606"/>
    </row>
    <row r="3382" spans="1:8" s="229" customFormat="1" x14ac:dyDescent="0.25">
      <c r="A3382" s="190">
        <v>247618</v>
      </c>
      <c r="B3382" s="187" t="s">
        <v>3524</v>
      </c>
      <c r="C3382" s="606" t="s">
        <v>49</v>
      </c>
      <c r="D3382" s="606" t="s">
        <v>242</v>
      </c>
      <c r="E3382" s="606"/>
      <c r="F3382" s="606"/>
    </row>
    <row r="3383" spans="1:8" s="229" customFormat="1" ht="30" x14ac:dyDescent="0.25">
      <c r="A3383" s="171">
        <v>247798</v>
      </c>
      <c r="B3383" s="606" t="s">
        <v>2894</v>
      </c>
      <c r="C3383" s="210" t="s">
        <v>2583</v>
      </c>
      <c r="D3383" s="606" t="s">
        <v>504</v>
      </c>
      <c r="E3383" s="606"/>
      <c r="F3383" s="606"/>
    </row>
    <row r="3384" spans="1:8" s="229" customFormat="1" x14ac:dyDescent="0.25">
      <c r="A3384" s="129">
        <v>247798</v>
      </c>
      <c r="B3384" s="606" t="s">
        <v>2894</v>
      </c>
      <c r="C3384" s="606" t="s">
        <v>2583</v>
      </c>
      <c r="D3384" s="606" t="s">
        <v>1186</v>
      </c>
      <c r="E3384" s="606"/>
      <c r="F3384" s="606"/>
    </row>
    <row r="3385" spans="1:8" s="229" customFormat="1" x14ac:dyDescent="0.25">
      <c r="A3385" s="187">
        <v>248554</v>
      </c>
      <c r="B3385" s="187" t="s">
        <v>3612</v>
      </c>
      <c r="C3385" s="187" t="s">
        <v>38</v>
      </c>
      <c r="D3385" s="187" t="s">
        <v>453</v>
      </c>
      <c r="E3385" s="187"/>
      <c r="F3385" s="187"/>
    </row>
    <row r="3386" spans="1:8" s="229" customFormat="1" x14ac:dyDescent="0.25">
      <c r="A3386" s="190">
        <v>248901</v>
      </c>
      <c r="B3386" s="188" t="s">
        <v>2522</v>
      </c>
      <c r="C3386" s="146" t="s">
        <v>24</v>
      </c>
      <c r="D3386" s="187" t="s">
        <v>37</v>
      </c>
      <c r="E3386" s="187"/>
      <c r="F3386" s="187"/>
    </row>
    <row r="3387" spans="1:8" s="229" customFormat="1" x14ac:dyDescent="0.25">
      <c r="A3387" s="190">
        <v>249046</v>
      </c>
      <c r="B3387" s="188" t="s">
        <v>2528</v>
      </c>
      <c r="C3387" s="146" t="s">
        <v>36</v>
      </c>
      <c r="D3387" s="244" t="s">
        <v>466</v>
      </c>
      <c r="E3387" s="187"/>
      <c r="F3387" s="187"/>
      <c r="G3387" s="113"/>
      <c r="H3387" s="113"/>
    </row>
    <row r="3388" spans="1:8" x14ac:dyDescent="0.25">
      <c r="A3388" s="190">
        <v>249076</v>
      </c>
      <c r="B3388" s="606" t="s">
        <v>3205</v>
      </c>
      <c r="C3388" s="606" t="s">
        <v>36</v>
      </c>
      <c r="D3388" s="606" t="s">
        <v>3206</v>
      </c>
      <c r="E3388" s="189"/>
      <c r="F3388" s="189"/>
      <c r="G3388" s="229"/>
      <c r="H3388" s="229"/>
    </row>
    <row r="3389" spans="1:8" x14ac:dyDescent="0.25">
      <c r="A3389" s="195">
        <v>249076</v>
      </c>
      <c r="B3389" s="187" t="s">
        <v>3205</v>
      </c>
      <c r="C3389" s="187" t="s">
        <v>36</v>
      </c>
      <c r="D3389" s="606" t="s">
        <v>3206</v>
      </c>
      <c r="E3389" s="606"/>
      <c r="F3389" s="187"/>
      <c r="G3389" s="113"/>
      <c r="H3389" s="113"/>
    </row>
    <row r="3390" spans="1:8" x14ac:dyDescent="0.25">
      <c r="A3390" s="245">
        <v>249573</v>
      </c>
      <c r="B3390" s="246" t="s">
        <v>2695</v>
      </c>
      <c r="C3390" s="146" t="s">
        <v>38</v>
      </c>
      <c r="D3390" s="148" t="s">
        <v>453</v>
      </c>
      <c r="E3390" s="246"/>
      <c r="F3390" s="246"/>
      <c r="G3390" s="113"/>
      <c r="H3390" s="113"/>
    </row>
    <row r="3391" spans="1:8" x14ac:dyDescent="0.25">
      <c r="A3391" s="247">
        <v>250164</v>
      </c>
      <c r="B3391" s="248" t="s">
        <v>1488</v>
      </c>
      <c r="C3391" s="143" t="s">
        <v>64</v>
      </c>
      <c r="D3391" s="148" t="s">
        <v>237</v>
      </c>
      <c r="E3391" s="248"/>
      <c r="F3391" s="248"/>
      <c r="G3391" s="113"/>
      <c r="H3391" s="113"/>
    </row>
    <row r="3392" spans="1:8" x14ac:dyDescent="0.25">
      <c r="A3392" s="190">
        <v>250410</v>
      </c>
      <c r="B3392" s="606" t="s">
        <v>2852</v>
      </c>
      <c r="C3392" s="606" t="s">
        <v>2569</v>
      </c>
      <c r="D3392" s="606" t="s">
        <v>154</v>
      </c>
      <c r="E3392" s="189"/>
      <c r="F3392" s="606"/>
      <c r="G3392" s="113"/>
      <c r="H3392" s="113"/>
    </row>
    <row r="3393" spans="1:8" x14ac:dyDescent="0.25">
      <c r="A3393" s="195">
        <v>250672</v>
      </c>
      <c r="B3393" s="187" t="s">
        <v>3064</v>
      </c>
      <c r="C3393" s="187" t="s">
        <v>144</v>
      </c>
      <c r="D3393" s="146" t="s">
        <v>171</v>
      </c>
      <c r="E3393" s="606"/>
      <c r="F3393" s="187"/>
      <c r="G3393" s="113"/>
      <c r="H3393" s="113"/>
    </row>
    <row r="3394" spans="1:8" x14ac:dyDescent="0.25">
      <c r="A3394" s="190">
        <v>250814</v>
      </c>
      <c r="B3394" s="606" t="s">
        <v>3183</v>
      </c>
      <c r="C3394" s="606" t="s">
        <v>64</v>
      </c>
      <c r="D3394" s="606" t="s">
        <v>504</v>
      </c>
      <c r="E3394" s="189"/>
      <c r="F3394" s="606"/>
      <c r="G3394" s="113"/>
      <c r="H3394" s="113"/>
    </row>
    <row r="3395" spans="1:8" x14ac:dyDescent="0.25">
      <c r="A3395" s="190">
        <v>250917</v>
      </c>
      <c r="B3395" s="189" t="s">
        <v>2904</v>
      </c>
      <c r="C3395" s="189" t="s">
        <v>64</v>
      </c>
      <c r="D3395" s="189" t="s">
        <v>237</v>
      </c>
      <c r="E3395" s="189"/>
      <c r="F3395" s="189"/>
      <c r="G3395" s="113"/>
      <c r="H3395" s="113"/>
    </row>
    <row r="3396" spans="1:8" x14ac:dyDescent="0.25">
      <c r="A3396" s="187">
        <v>250950</v>
      </c>
      <c r="B3396" s="187" t="s">
        <v>2677</v>
      </c>
      <c r="C3396" s="187" t="s">
        <v>64</v>
      </c>
      <c r="D3396" s="187" t="s">
        <v>237</v>
      </c>
      <c r="E3396" s="606"/>
      <c r="F3396" s="187"/>
      <c r="G3396" s="113"/>
      <c r="H3396" s="113"/>
    </row>
    <row r="3397" spans="1:8" x14ac:dyDescent="0.25">
      <c r="A3397" s="247">
        <v>251237</v>
      </c>
      <c r="B3397" s="250" t="s">
        <v>1566</v>
      </c>
      <c r="C3397" s="143" t="s">
        <v>47</v>
      </c>
      <c r="D3397" s="148" t="s">
        <v>179</v>
      </c>
      <c r="E3397" s="250"/>
      <c r="F3397" s="250"/>
      <c r="G3397" s="113"/>
      <c r="H3397" s="113"/>
    </row>
    <row r="3398" spans="1:8" x14ac:dyDescent="0.25">
      <c r="A3398" s="187">
        <v>251333</v>
      </c>
      <c r="B3398" s="187" t="s">
        <v>3653</v>
      </c>
      <c r="C3398" s="187" t="s">
        <v>63</v>
      </c>
      <c r="D3398" s="146" t="s">
        <v>154</v>
      </c>
      <c r="E3398" s="606"/>
      <c r="F3398" s="187"/>
      <c r="G3398" s="113"/>
      <c r="H3398" s="113"/>
    </row>
    <row r="3399" spans="1:8" x14ac:dyDescent="0.25">
      <c r="A3399" s="190">
        <v>251503</v>
      </c>
      <c r="B3399" s="606" t="s">
        <v>3414</v>
      </c>
      <c r="C3399" s="606" t="s">
        <v>36</v>
      </c>
      <c r="D3399" s="606" t="s">
        <v>3329</v>
      </c>
      <c r="E3399" s="606"/>
      <c r="F3399" s="606"/>
      <c r="G3399" s="113"/>
      <c r="H3399" s="113"/>
    </row>
    <row r="3400" spans="1:8" x14ac:dyDescent="0.25">
      <c r="A3400" s="187">
        <v>251652</v>
      </c>
      <c r="B3400" s="187" t="s">
        <v>3614</v>
      </c>
      <c r="C3400" s="187" t="s">
        <v>17</v>
      </c>
      <c r="D3400" s="187" t="s">
        <v>3329</v>
      </c>
      <c r="E3400" s="187"/>
      <c r="F3400" s="187"/>
      <c r="G3400" s="113"/>
      <c r="H3400" s="113"/>
    </row>
    <row r="3401" spans="1:8" x14ac:dyDescent="0.25">
      <c r="A3401" s="187">
        <v>251911</v>
      </c>
      <c r="B3401" s="187" t="s">
        <v>3645</v>
      </c>
      <c r="C3401" s="187" t="s">
        <v>64</v>
      </c>
      <c r="D3401" s="187" t="s">
        <v>237</v>
      </c>
      <c r="E3401" s="187"/>
      <c r="F3401" s="187"/>
      <c r="G3401" s="113"/>
      <c r="H3401" s="113"/>
    </row>
    <row r="3402" spans="1:8" ht="26.25" x14ac:dyDescent="0.25">
      <c r="A3402" s="247">
        <v>251920</v>
      </c>
      <c r="B3402" s="250" t="s">
        <v>2502</v>
      </c>
      <c r="C3402" s="143" t="s">
        <v>16</v>
      </c>
      <c r="D3402" s="260" t="s">
        <v>302</v>
      </c>
      <c r="E3402" s="250"/>
      <c r="F3402" s="250"/>
      <c r="G3402" s="113"/>
      <c r="H3402" s="113"/>
    </row>
    <row r="3403" spans="1:8" x14ac:dyDescent="0.25">
      <c r="A3403" s="187">
        <v>252034</v>
      </c>
      <c r="B3403" s="187" t="s">
        <v>3610</v>
      </c>
      <c r="C3403" s="187" t="s">
        <v>1935</v>
      </c>
      <c r="D3403" s="187" t="s">
        <v>3611</v>
      </c>
      <c r="E3403" s="187"/>
      <c r="F3403" s="187" t="s">
        <v>114</v>
      </c>
      <c r="G3403" s="113"/>
      <c r="H3403" s="113"/>
    </row>
    <row r="3404" spans="1:8" x14ac:dyDescent="0.25">
      <c r="A3404" s="195">
        <v>253280</v>
      </c>
      <c r="B3404" s="275" t="s">
        <v>3136</v>
      </c>
      <c r="C3404" s="275" t="s">
        <v>599</v>
      </c>
      <c r="D3404" s="146" t="s">
        <v>242</v>
      </c>
      <c r="E3404" s="608"/>
      <c r="F3404" s="275"/>
      <c r="G3404" s="113"/>
      <c r="H3404" s="113"/>
    </row>
    <row r="3405" spans="1:8" x14ac:dyDescent="0.25">
      <c r="A3405" s="190">
        <v>253836</v>
      </c>
      <c r="B3405" s="606" t="s">
        <v>3393</v>
      </c>
      <c r="C3405" s="606" t="s">
        <v>9</v>
      </c>
      <c r="D3405" s="606" t="s">
        <v>811</v>
      </c>
      <c r="E3405" s="606"/>
      <c r="F3405" s="606"/>
      <c r="G3405" s="113"/>
      <c r="H3405" s="113"/>
    </row>
    <row r="3406" spans="1:8" s="229" customFormat="1" x14ac:dyDescent="0.25">
      <c r="A3406" s="190">
        <v>254010</v>
      </c>
      <c r="B3406" s="606" t="s">
        <v>3413</v>
      </c>
      <c r="C3406" s="606" t="s">
        <v>36</v>
      </c>
      <c r="D3406" s="606" t="s">
        <v>3329</v>
      </c>
      <c r="E3406" s="189"/>
      <c r="F3406" s="606"/>
      <c r="G3406" s="113"/>
      <c r="H3406" s="113"/>
    </row>
    <row r="3407" spans="1:8" s="113" customFormat="1" x14ac:dyDescent="0.25">
      <c r="A3407" s="187">
        <v>254616</v>
      </c>
      <c r="B3407" s="187" t="s">
        <v>3292</v>
      </c>
      <c r="C3407" s="187" t="s">
        <v>108</v>
      </c>
      <c r="D3407" s="146" t="s">
        <v>302</v>
      </c>
      <c r="E3407" s="606"/>
      <c r="F3407" s="187"/>
    </row>
    <row r="3408" spans="1:8" s="113" customFormat="1" x14ac:dyDescent="0.25">
      <c r="A3408" s="190">
        <v>254695</v>
      </c>
      <c r="B3408" s="188" t="s">
        <v>2529</v>
      </c>
      <c r="C3408" s="190" t="s">
        <v>47</v>
      </c>
      <c r="D3408" s="606" t="s">
        <v>159</v>
      </c>
      <c r="E3408" s="151"/>
      <c r="F3408" s="152"/>
    </row>
    <row r="3409" spans="1:8" s="113" customFormat="1" x14ac:dyDescent="0.25">
      <c r="A3409" s="187">
        <v>254980</v>
      </c>
      <c r="B3409" s="187" t="s">
        <v>3443</v>
      </c>
      <c r="C3409" s="187" t="s">
        <v>1455</v>
      </c>
      <c r="D3409" s="187" t="s">
        <v>415</v>
      </c>
      <c r="E3409" s="187"/>
      <c r="F3409" s="187"/>
    </row>
    <row r="3410" spans="1:8" s="113" customFormat="1" x14ac:dyDescent="0.25">
      <c r="A3410" s="195">
        <v>254980</v>
      </c>
      <c r="B3410" s="187" t="s">
        <v>3443</v>
      </c>
      <c r="C3410" s="187" t="s">
        <v>1455</v>
      </c>
      <c r="D3410" s="146" t="s">
        <v>415</v>
      </c>
      <c r="E3410" s="189"/>
      <c r="F3410" s="187"/>
    </row>
    <row r="3411" spans="1:8" s="229" customFormat="1" x14ac:dyDescent="0.25">
      <c r="A3411" s="187">
        <v>255023</v>
      </c>
      <c r="B3411" s="187" t="s">
        <v>3429</v>
      </c>
      <c r="C3411" s="187" t="s">
        <v>3430</v>
      </c>
      <c r="D3411" s="187" t="s">
        <v>154</v>
      </c>
      <c r="E3411" s="187"/>
      <c r="F3411" s="187"/>
      <c r="G3411" s="113"/>
      <c r="H3411" s="113"/>
    </row>
    <row r="3412" spans="1:8" s="194" customFormat="1" ht="14.25" customHeight="1" x14ac:dyDescent="0.25">
      <c r="A3412" s="195">
        <v>255023</v>
      </c>
      <c r="B3412" s="187" t="s">
        <v>3429</v>
      </c>
      <c r="C3412" s="187" t="s">
        <v>27</v>
      </c>
      <c r="D3412" s="146" t="s">
        <v>154</v>
      </c>
      <c r="E3412" s="189"/>
      <c r="F3412" s="187"/>
      <c r="G3412" s="113"/>
      <c r="H3412" s="113"/>
    </row>
    <row r="3413" spans="1:8" s="194" customFormat="1" ht="21.75" customHeight="1" x14ac:dyDescent="0.25">
      <c r="A3413" s="195">
        <v>255023</v>
      </c>
      <c r="B3413" s="187" t="s">
        <v>3429</v>
      </c>
      <c r="C3413" s="187" t="s">
        <v>27</v>
      </c>
      <c r="D3413" s="146" t="s">
        <v>154</v>
      </c>
      <c r="E3413" s="606"/>
      <c r="F3413" s="187"/>
      <c r="G3413" s="113"/>
      <c r="H3413" s="113"/>
    </row>
    <row r="3414" spans="1:8" s="194" customFormat="1" x14ac:dyDescent="0.25">
      <c r="A3414" s="195">
        <v>255292</v>
      </c>
      <c r="B3414" s="188" t="s">
        <v>2947</v>
      </c>
      <c r="C3414" s="146" t="s">
        <v>47</v>
      </c>
      <c r="D3414" s="146" t="s">
        <v>2948</v>
      </c>
      <c r="E3414" s="189"/>
      <c r="F3414" s="187"/>
      <c r="G3414" s="113"/>
      <c r="H3414" s="113"/>
    </row>
    <row r="3415" spans="1:8" s="229" customFormat="1" x14ac:dyDescent="0.25">
      <c r="A3415" s="190">
        <v>255447</v>
      </c>
      <c r="B3415" s="606" t="s">
        <v>3375</v>
      </c>
      <c r="C3415" s="606" t="s">
        <v>12</v>
      </c>
      <c r="D3415" s="606" t="s">
        <v>3359</v>
      </c>
      <c r="E3415" s="189"/>
      <c r="F3415" s="606"/>
      <c r="G3415" s="113"/>
      <c r="H3415" s="113"/>
    </row>
    <row r="3416" spans="1:8" s="229" customFormat="1" x14ac:dyDescent="0.25">
      <c r="A3416" s="190">
        <v>255447</v>
      </c>
      <c r="B3416" s="606" t="s">
        <v>3375</v>
      </c>
      <c r="C3416" s="606" t="s">
        <v>12</v>
      </c>
      <c r="D3416" s="606" t="s">
        <v>1105</v>
      </c>
      <c r="E3416" s="189"/>
      <c r="F3416" s="606"/>
      <c r="G3416" s="113"/>
      <c r="H3416" s="113"/>
    </row>
    <row r="3417" spans="1:8" s="229" customFormat="1" x14ac:dyDescent="0.25">
      <c r="A3417" s="190">
        <v>255447</v>
      </c>
      <c r="B3417" s="187" t="s">
        <v>3375</v>
      </c>
      <c r="C3417" s="187" t="s">
        <v>12</v>
      </c>
      <c r="D3417" s="187" t="s">
        <v>3359</v>
      </c>
      <c r="E3417" s="189"/>
      <c r="F3417" s="189"/>
      <c r="G3417" s="113"/>
      <c r="H3417" s="113"/>
    </row>
    <row r="3418" spans="1:8" s="229" customFormat="1" x14ac:dyDescent="0.25">
      <c r="A3418" s="190">
        <v>255580</v>
      </c>
      <c r="B3418" s="188" t="s">
        <v>2597</v>
      </c>
      <c r="C3418" s="187" t="s">
        <v>24</v>
      </c>
      <c r="D3418" s="244" t="s">
        <v>967</v>
      </c>
      <c r="E3418" s="606"/>
      <c r="F3418" s="606"/>
      <c r="G3418" s="113"/>
      <c r="H3418" s="113"/>
    </row>
    <row r="3419" spans="1:8" s="229" customFormat="1" x14ac:dyDescent="0.25">
      <c r="A3419" s="190">
        <v>255793</v>
      </c>
      <c r="B3419" s="606" t="s">
        <v>3677</v>
      </c>
      <c r="C3419" s="606" t="s">
        <v>22</v>
      </c>
      <c r="D3419" s="606" t="s">
        <v>242</v>
      </c>
      <c r="E3419" s="189"/>
      <c r="F3419" s="606"/>
      <c r="G3419" s="113"/>
      <c r="H3419" s="113"/>
    </row>
    <row r="3420" spans="1:8" s="229" customFormat="1" x14ac:dyDescent="0.25">
      <c r="A3420" s="190">
        <v>255994</v>
      </c>
      <c r="B3420" s="606" t="s">
        <v>3369</v>
      </c>
      <c r="C3420" s="606" t="s">
        <v>417</v>
      </c>
      <c r="D3420" s="606" t="s">
        <v>504</v>
      </c>
      <c r="E3420" s="189"/>
      <c r="F3420" s="606"/>
      <c r="G3420" s="113"/>
      <c r="H3420" s="113"/>
    </row>
    <row r="3421" spans="1:8" x14ac:dyDescent="0.25">
      <c r="A3421" s="190">
        <v>255994</v>
      </c>
      <c r="B3421" s="606" t="s">
        <v>3369</v>
      </c>
      <c r="C3421" s="606" t="s">
        <v>417</v>
      </c>
      <c r="D3421" s="606" t="s">
        <v>3390</v>
      </c>
      <c r="E3421" s="606"/>
      <c r="F3421" s="606"/>
      <c r="G3421" s="113"/>
      <c r="H3421" s="113"/>
    </row>
    <row r="3422" spans="1:8" x14ac:dyDescent="0.25">
      <c r="A3422" s="187">
        <v>257025</v>
      </c>
      <c r="B3422" s="187" t="s">
        <v>3636</v>
      </c>
      <c r="C3422" s="187" t="s">
        <v>16</v>
      </c>
      <c r="D3422" s="187" t="s">
        <v>154</v>
      </c>
      <c r="E3422" s="187"/>
      <c r="F3422" s="187"/>
      <c r="G3422" s="113"/>
      <c r="H3422" s="113"/>
    </row>
    <row r="3423" spans="1:8" x14ac:dyDescent="0.25">
      <c r="A3423" s="195">
        <v>257046</v>
      </c>
      <c r="B3423" s="187" t="s">
        <v>3115</v>
      </c>
      <c r="C3423" s="187" t="s">
        <v>16</v>
      </c>
      <c r="D3423" s="146" t="s">
        <v>302</v>
      </c>
      <c r="E3423" s="606"/>
      <c r="F3423" s="187"/>
      <c r="G3423" s="113"/>
      <c r="H3423" s="113"/>
    </row>
    <row r="3424" spans="1:8" x14ac:dyDescent="0.25">
      <c r="A3424" s="195">
        <v>257188</v>
      </c>
      <c r="B3424" s="187" t="s">
        <v>3228</v>
      </c>
      <c r="C3424" s="187" t="s">
        <v>38</v>
      </c>
      <c r="D3424" s="146" t="s">
        <v>453</v>
      </c>
      <c r="E3424" s="189"/>
      <c r="F3424" s="187"/>
      <c r="G3424" s="113"/>
      <c r="H3424" s="113"/>
    </row>
    <row r="3425" spans="1:8" x14ac:dyDescent="0.25">
      <c r="A3425" s="247">
        <v>257280</v>
      </c>
      <c r="B3425" s="250" t="s">
        <v>1569</v>
      </c>
      <c r="C3425" s="143" t="s">
        <v>17</v>
      </c>
      <c r="D3425" s="260" t="s">
        <v>11</v>
      </c>
      <c r="E3425" s="250"/>
      <c r="F3425" s="250"/>
      <c r="G3425" s="194"/>
      <c r="H3425" s="194"/>
    </row>
    <row r="3426" spans="1:8" x14ac:dyDescent="0.25">
      <c r="A3426" s="187">
        <v>258251</v>
      </c>
      <c r="B3426" s="188" t="s">
        <v>2778</v>
      </c>
      <c r="C3426" s="146" t="s">
        <v>140</v>
      </c>
      <c r="D3426" s="146" t="s">
        <v>453</v>
      </c>
      <c r="E3426" s="189"/>
      <c r="F3426" s="606"/>
      <c r="G3426" s="113"/>
      <c r="H3426" s="113"/>
    </row>
    <row r="3427" spans="1:8" x14ac:dyDescent="0.25">
      <c r="A3427" s="301">
        <v>258252</v>
      </c>
      <c r="B3427" s="608" t="s">
        <v>3350</v>
      </c>
      <c r="C3427" s="608" t="s">
        <v>144</v>
      </c>
      <c r="D3427" s="608" t="s">
        <v>171</v>
      </c>
      <c r="E3427" s="608"/>
      <c r="F3427" s="608"/>
      <c r="G3427" s="113"/>
      <c r="H3427" s="113"/>
    </row>
    <row r="3428" spans="1:8" x14ac:dyDescent="0.25">
      <c r="A3428" s="187">
        <v>258399</v>
      </c>
      <c r="B3428" s="606" t="s">
        <v>2649</v>
      </c>
      <c r="C3428" s="606" t="s">
        <v>1455</v>
      </c>
      <c r="D3428" s="606" t="s">
        <v>415</v>
      </c>
      <c r="E3428" s="606"/>
      <c r="F3428" s="187"/>
      <c r="G3428" s="113"/>
      <c r="H3428" s="113"/>
    </row>
    <row r="3429" spans="1:8" x14ac:dyDescent="0.25">
      <c r="A3429" s="190">
        <v>258496</v>
      </c>
      <c r="B3429" s="187" t="s">
        <v>2832</v>
      </c>
      <c r="C3429" s="187" t="s">
        <v>64</v>
      </c>
      <c r="D3429" s="606" t="s">
        <v>237</v>
      </c>
      <c r="E3429" s="189"/>
      <c r="F3429" s="189"/>
      <c r="G3429" s="113"/>
      <c r="H3429" s="113"/>
    </row>
    <row r="3430" spans="1:8" x14ac:dyDescent="0.25">
      <c r="A3430" s="195">
        <v>259046</v>
      </c>
      <c r="B3430" s="188" t="s">
        <v>2870</v>
      </c>
      <c r="C3430" s="146" t="s">
        <v>122</v>
      </c>
      <c r="D3430" s="146" t="s">
        <v>124</v>
      </c>
      <c r="E3430" s="189"/>
      <c r="F3430" s="187"/>
      <c r="G3430" s="113"/>
      <c r="H3430" s="113"/>
    </row>
    <row r="3431" spans="1:8" s="229" customFormat="1" x14ac:dyDescent="0.25">
      <c r="A3431" s="187">
        <v>259148</v>
      </c>
      <c r="B3431" s="187" t="s">
        <v>3685</v>
      </c>
      <c r="C3431" s="187" t="s">
        <v>3</v>
      </c>
      <c r="D3431" s="187" t="s">
        <v>242</v>
      </c>
      <c r="E3431" s="187"/>
      <c r="F3431" s="187"/>
      <c r="G3431" s="113"/>
      <c r="H3431" s="113"/>
    </row>
    <row r="3432" spans="1:8" s="229" customFormat="1" ht="26.25" x14ac:dyDescent="0.25">
      <c r="A3432" s="195">
        <v>259266</v>
      </c>
      <c r="B3432" s="188" t="s">
        <v>2996</v>
      </c>
      <c r="C3432" s="146" t="s">
        <v>16</v>
      </c>
      <c r="D3432" s="146" t="s">
        <v>302</v>
      </c>
      <c r="E3432" s="606"/>
      <c r="F3432" s="187"/>
      <c r="G3432" s="113"/>
      <c r="H3432" s="113"/>
    </row>
    <row r="3433" spans="1:8" s="229" customFormat="1" x14ac:dyDescent="0.25">
      <c r="A3433" s="187">
        <v>259528</v>
      </c>
      <c r="B3433" s="188" t="s">
        <v>2748</v>
      </c>
      <c r="C3433" s="146" t="s">
        <v>17</v>
      </c>
      <c r="D3433" s="146" t="s">
        <v>242</v>
      </c>
      <c r="E3433" s="189"/>
      <c r="F3433" s="606"/>
      <c r="G3433" s="113"/>
      <c r="H3433" s="113"/>
    </row>
    <row r="3434" spans="1:8" s="229" customFormat="1" x14ac:dyDescent="0.25">
      <c r="A3434" s="190">
        <v>260021</v>
      </c>
      <c r="B3434" s="606" t="s">
        <v>3237</v>
      </c>
      <c r="C3434" s="606" t="s">
        <v>24</v>
      </c>
      <c r="D3434" s="606" t="s">
        <v>37</v>
      </c>
      <c r="E3434" s="606"/>
      <c r="F3434" s="606"/>
      <c r="G3434" s="113"/>
      <c r="H3434" s="113"/>
    </row>
    <row r="3435" spans="1:8" s="229" customFormat="1" x14ac:dyDescent="0.25">
      <c r="A3435" s="301">
        <v>260021</v>
      </c>
      <c r="B3435" s="608" t="s">
        <v>3237</v>
      </c>
      <c r="C3435" s="608" t="s">
        <v>24</v>
      </c>
      <c r="D3435" s="608" t="s">
        <v>37</v>
      </c>
      <c r="E3435" s="608"/>
      <c r="F3435" s="608"/>
      <c r="G3435" s="113"/>
      <c r="H3435" s="113"/>
    </row>
    <row r="3436" spans="1:8" s="229" customFormat="1" x14ac:dyDescent="0.25">
      <c r="A3436" s="141">
        <v>260707</v>
      </c>
      <c r="B3436" s="190" t="s">
        <v>3034</v>
      </c>
      <c r="C3436" s="190" t="s">
        <v>73</v>
      </c>
      <c r="D3436" s="148" t="s">
        <v>242</v>
      </c>
      <c r="E3436" s="190"/>
      <c r="F3436" s="190"/>
      <c r="G3436" s="113"/>
      <c r="H3436" s="113"/>
    </row>
    <row r="3437" spans="1:8" s="229" customFormat="1" x14ac:dyDescent="0.25">
      <c r="A3437" s="190">
        <v>261616</v>
      </c>
      <c r="B3437" s="606" t="s">
        <v>3258</v>
      </c>
      <c r="C3437" s="606" t="s">
        <v>3259</v>
      </c>
      <c r="D3437" s="606" t="s">
        <v>154</v>
      </c>
      <c r="E3437" s="606"/>
      <c r="F3437" s="606"/>
      <c r="G3437" s="113"/>
      <c r="H3437" s="113"/>
    </row>
    <row r="3438" spans="1:8" s="229" customFormat="1" x14ac:dyDescent="0.25">
      <c r="A3438" s="190">
        <v>261616</v>
      </c>
      <c r="B3438" s="606" t="s">
        <v>3420</v>
      </c>
      <c r="C3438" s="606" t="s">
        <v>3259</v>
      </c>
      <c r="D3438" s="606" t="s">
        <v>154</v>
      </c>
      <c r="E3438" s="606"/>
      <c r="F3438" s="606"/>
      <c r="G3438" s="113"/>
      <c r="H3438" s="113"/>
    </row>
    <row r="3439" spans="1:8" s="229" customFormat="1" x14ac:dyDescent="0.25">
      <c r="A3439" s="190">
        <v>261834</v>
      </c>
      <c r="B3439" s="606" t="s">
        <v>3418</v>
      </c>
      <c r="C3439" s="606" t="s">
        <v>3419</v>
      </c>
      <c r="D3439" s="606" t="s">
        <v>242</v>
      </c>
      <c r="E3439" s="606"/>
      <c r="F3439" s="606"/>
      <c r="G3439" s="113"/>
      <c r="H3439" s="113"/>
    </row>
    <row r="3440" spans="1:8" s="229" customFormat="1" x14ac:dyDescent="0.25">
      <c r="A3440" s="190">
        <v>261834</v>
      </c>
      <c r="B3440" s="606" t="s">
        <v>3418</v>
      </c>
      <c r="C3440" s="606" t="s">
        <v>3043</v>
      </c>
      <c r="D3440" s="606" t="s">
        <v>242</v>
      </c>
      <c r="E3440" s="606"/>
      <c r="F3440" s="606"/>
      <c r="G3440" s="113"/>
      <c r="H3440" s="113"/>
    </row>
    <row r="3441" spans="1:8" s="229" customFormat="1" x14ac:dyDescent="0.25">
      <c r="A3441" s="187">
        <v>261970</v>
      </c>
      <c r="B3441" s="188" t="s">
        <v>2941</v>
      </c>
      <c r="C3441" s="146" t="s">
        <v>64</v>
      </c>
      <c r="D3441" s="148" t="s">
        <v>237</v>
      </c>
      <c r="E3441" s="189"/>
      <c r="F3441" s="606"/>
      <c r="G3441" s="113"/>
      <c r="H3441" s="113"/>
    </row>
    <row r="3442" spans="1:8" s="194" customFormat="1" x14ac:dyDescent="0.25">
      <c r="A3442" s="301">
        <v>262393</v>
      </c>
      <c r="B3442" s="608" t="s">
        <v>3328</v>
      </c>
      <c r="C3442" s="608" t="s">
        <v>22</v>
      </c>
      <c r="D3442" s="608" t="s">
        <v>3329</v>
      </c>
      <c r="E3442" s="608"/>
      <c r="F3442" s="608"/>
      <c r="G3442" s="113"/>
      <c r="H3442" s="113"/>
    </row>
    <row r="3443" spans="1:8" s="194" customFormat="1" x14ac:dyDescent="0.25">
      <c r="A3443" s="301">
        <v>262393</v>
      </c>
      <c r="B3443" s="608" t="s">
        <v>3328</v>
      </c>
      <c r="C3443" s="608" t="s">
        <v>3353</v>
      </c>
      <c r="D3443" s="608" t="s">
        <v>3329</v>
      </c>
      <c r="E3443" s="608"/>
      <c r="F3443" s="608"/>
      <c r="G3443" s="113"/>
      <c r="H3443" s="113"/>
    </row>
    <row r="3444" spans="1:8" s="194" customFormat="1" x14ac:dyDescent="0.25">
      <c r="A3444" s="187">
        <v>263425</v>
      </c>
      <c r="B3444" s="187" t="s">
        <v>3616</v>
      </c>
      <c r="C3444" s="187" t="s">
        <v>24</v>
      </c>
      <c r="D3444" s="187" t="s">
        <v>80</v>
      </c>
      <c r="E3444" s="187"/>
      <c r="F3444" s="187"/>
      <c r="G3444" s="113"/>
      <c r="H3444" s="113"/>
    </row>
    <row r="3445" spans="1:8" s="194" customFormat="1" x14ac:dyDescent="0.25">
      <c r="A3445" s="195">
        <v>263504</v>
      </c>
      <c r="B3445" s="187" t="s">
        <v>3542</v>
      </c>
      <c r="C3445" s="187" t="s">
        <v>16</v>
      </c>
      <c r="D3445" s="146" t="s">
        <v>302</v>
      </c>
      <c r="E3445" s="606"/>
      <c r="F3445" s="187"/>
      <c r="G3445" s="113"/>
      <c r="H3445" s="113"/>
    </row>
    <row r="3446" spans="1:8" s="194" customFormat="1" x14ac:dyDescent="0.25">
      <c r="A3446" s="195">
        <v>263710</v>
      </c>
      <c r="B3446" s="187" t="s">
        <v>3493</v>
      </c>
      <c r="C3446" s="187" t="s">
        <v>8</v>
      </c>
      <c r="D3446" s="146" t="s">
        <v>3329</v>
      </c>
      <c r="E3446" s="606"/>
      <c r="F3446" s="187"/>
      <c r="G3446" s="113"/>
      <c r="H3446" s="113"/>
    </row>
    <row r="3447" spans="1:8" s="194" customFormat="1" ht="26.25" x14ac:dyDescent="0.25">
      <c r="A3447" s="195">
        <v>264344</v>
      </c>
      <c r="B3447" s="188" t="s">
        <v>2842</v>
      </c>
      <c r="C3447" s="146" t="s">
        <v>20</v>
      </c>
      <c r="D3447" s="146" t="s">
        <v>302</v>
      </c>
      <c r="E3447" s="606"/>
      <c r="F3447" s="187"/>
      <c r="G3447" s="113"/>
      <c r="H3447" s="113"/>
    </row>
    <row r="3448" spans="1:8" s="194" customFormat="1" x14ac:dyDescent="0.25">
      <c r="A3448" s="195">
        <v>264521</v>
      </c>
      <c r="B3448" s="187" t="s">
        <v>3111</v>
      </c>
      <c r="C3448" s="187" t="s">
        <v>64</v>
      </c>
      <c r="D3448" s="146" t="s">
        <v>237</v>
      </c>
      <c r="E3448" s="189"/>
      <c r="F3448" s="187"/>
      <c r="G3448" s="113"/>
      <c r="H3448" s="113"/>
    </row>
    <row r="3449" spans="1:8" s="194" customFormat="1" ht="26.25" x14ac:dyDescent="0.25">
      <c r="A3449" s="187">
        <v>264614</v>
      </c>
      <c r="B3449" s="188" t="s">
        <v>2723</v>
      </c>
      <c r="C3449" s="146" t="s">
        <v>2583</v>
      </c>
      <c r="D3449" s="148" t="s">
        <v>11</v>
      </c>
      <c r="E3449" s="606"/>
      <c r="F3449" s="606"/>
      <c r="G3449" s="113"/>
      <c r="H3449" s="113"/>
    </row>
    <row r="3450" spans="1:8" s="194" customFormat="1" x14ac:dyDescent="0.25">
      <c r="A3450" s="190">
        <v>265178</v>
      </c>
      <c r="B3450" s="606" t="s">
        <v>2908</v>
      </c>
      <c r="C3450" s="606" t="s">
        <v>64</v>
      </c>
      <c r="D3450" s="606" t="s">
        <v>242</v>
      </c>
      <c r="E3450" s="189"/>
      <c r="F3450" s="606"/>
      <c r="G3450" s="113"/>
      <c r="H3450" s="113"/>
    </row>
    <row r="3451" spans="1:8" s="194" customFormat="1" x14ac:dyDescent="0.25">
      <c r="A3451" s="187">
        <v>265178</v>
      </c>
      <c r="B3451" s="187" t="s">
        <v>2908</v>
      </c>
      <c r="C3451" s="187" t="s">
        <v>64</v>
      </c>
      <c r="D3451" s="187" t="s">
        <v>154</v>
      </c>
      <c r="E3451" s="187"/>
      <c r="F3451" s="187"/>
      <c r="G3451" s="113"/>
      <c r="H3451" s="113"/>
    </row>
    <row r="3452" spans="1:8" s="194" customFormat="1" x14ac:dyDescent="0.25">
      <c r="A3452" s="187">
        <v>265386</v>
      </c>
      <c r="B3452" s="188" t="s">
        <v>2729</v>
      </c>
      <c r="C3452" s="146" t="s">
        <v>1455</v>
      </c>
      <c r="D3452" s="146" t="s">
        <v>415</v>
      </c>
      <c r="E3452" s="606"/>
      <c r="F3452" s="606"/>
      <c r="G3452" s="113"/>
      <c r="H3452" s="113"/>
    </row>
    <row r="3453" spans="1:8" s="194" customFormat="1" x14ac:dyDescent="0.25">
      <c r="A3453" s="187">
        <v>265451</v>
      </c>
      <c r="B3453" s="187" t="s">
        <v>3317</v>
      </c>
      <c r="C3453" s="187" t="s">
        <v>47</v>
      </c>
      <c r="D3453" s="187" t="s">
        <v>159</v>
      </c>
      <c r="E3453" s="187"/>
      <c r="F3453" s="187"/>
      <c r="G3453" s="113"/>
      <c r="H3453" s="113"/>
    </row>
    <row r="3454" spans="1:8" s="194" customFormat="1" x14ac:dyDescent="0.25">
      <c r="A3454" s="129">
        <v>266003</v>
      </c>
      <c r="B3454" s="606" t="s">
        <v>3103</v>
      </c>
      <c r="C3454" s="606" t="s">
        <v>47</v>
      </c>
      <c r="D3454" s="606" t="s">
        <v>2948</v>
      </c>
      <c r="E3454" s="606"/>
      <c r="F3454" s="606"/>
      <c r="G3454" s="113"/>
      <c r="H3454" s="113"/>
    </row>
    <row r="3455" spans="1:8" s="194" customFormat="1" x14ac:dyDescent="0.25">
      <c r="A3455" s="195">
        <v>266251</v>
      </c>
      <c r="B3455" s="187" t="s">
        <v>3550</v>
      </c>
      <c r="C3455" s="187" t="s">
        <v>38</v>
      </c>
      <c r="D3455" s="146" t="s">
        <v>148</v>
      </c>
      <c r="E3455" s="606"/>
      <c r="F3455" s="187"/>
      <c r="G3455" s="113"/>
      <c r="H3455" s="113"/>
    </row>
    <row r="3456" spans="1:8" ht="26.25" x14ac:dyDescent="0.25">
      <c r="A3456" s="195">
        <v>266371</v>
      </c>
      <c r="B3456" s="188" t="s">
        <v>2920</v>
      </c>
      <c r="C3456" s="146" t="s">
        <v>16</v>
      </c>
      <c r="D3456" s="146" t="s">
        <v>302</v>
      </c>
      <c r="E3456" s="189"/>
      <c r="F3456" s="187"/>
      <c r="G3456" s="113"/>
      <c r="H3456" s="113"/>
    </row>
    <row r="3457" spans="1:8" x14ac:dyDescent="0.25">
      <c r="A3457" s="190">
        <v>266896</v>
      </c>
      <c r="B3457" s="606" t="s">
        <v>3012</v>
      </c>
      <c r="C3457" s="606" t="s">
        <v>417</v>
      </c>
      <c r="D3457" s="606" t="s">
        <v>1186</v>
      </c>
      <c r="E3457" s="189"/>
      <c r="F3457" s="606"/>
      <c r="G3457" s="113"/>
      <c r="H3457" s="113"/>
    </row>
    <row r="3458" spans="1:8" x14ac:dyDescent="0.25">
      <c r="A3458" s="187">
        <v>267114</v>
      </c>
      <c r="B3458" s="187" t="s">
        <v>3580</v>
      </c>
      <c r="C3458" s="187" t="s">
        <v>90</v>
      </c>
      <c r="D3458" s="187" t="s">
        <v>109</v>
      </c>
      <c r="E3458" s="187"/>
      <c r="F3458" s="187"/>
      <c r="G3458" s="113"/>
      <c r="H3458" s="113"/>
    </row>
    <row r="3459" spans="1:8" x14ac:dyDescent="0.25">
      <c r="A3459" s="195">
        <v>268369</v>
      </c>
      <c r="B3459" s="187" t="s">
        <v>3518</v>
      </c>
      <c r="C3459" s="187" t="s">
        <v>16</v>
      </c>
      <c r="D3459" s="148" t="s">
        <v>302</v>
      </c>
      <c r="E3459" s="606"/>
      <c r="F3459" s="187"/>
      <c r="G3459" s="113"/>
      <c r="H3459" s="113"/>
    </row>
    <row r="3460" spans="1:8" x14ac:dyDescent="0.25">
      <c r="A3460" s="195">
        <v>268369</v>
      </c>
      <c r="B3460" s="187" t="s">
        <v>3518</v>
      </c>
      <c r="C3460" s="187" t="s">
        <v>16</v>
      </c>
      <c r="D3460" s="146" t="s">
        <v>302</v>
      </c>
      <c r="E3460" s="606"/>
      <c r="F3460" s="187"/>
      <c r="G3460" s="113"/>
      <c r="H3460" s="113"/>
    </row>
    <row r="3461" spans="1:8" x14ac:dyDescent="0.25">
      <c r="A3461" s="195">
        <v>268633</v>
      </c>
      <c r="B3461" s="187" t="s">
        <v>3253</v>
      </c>
      <c r="C3461" s="187" t="s">
        <v>167</v>
      </c>
      <c r="D3461" s="148" t="s">
        <v>173</v>
      </c>
      <c r="E3461" s="606"/>
      <c r="F3461" s="187"/>
      <c r="G3461" s="113"/>
      <c r="H3461" s="113"/>
    </row>
    <row r="3462" spans="1:8" x14ac:dyDescent="0.25">
      <c r="A3462" s="187">
        <v>268688</v>
      </c>
      <c r="B3462" s="187" t="s">
        <v>3437</v>
      </c>
      <c r="C3462" s="187" t="s">
        <v>16</v>
      </c>
      <c r="D3462" s="187" t="s">
        <v>154</v>
      </c>
      <c r="E3462" s="187"/>
      <c r="F3462" s="187"/>
      <c r="G3462" s="113"/>
      <c r="H3462" s="113"/>
    </row>
    <row r="3463" spans="1:8" x14ac:dyDescent="0.25">
      <c r="A3463" s="190">
        <v>268840</v>
      </c>
      <c r="B3463" s="606" t="s">
        <v>3266</v>
      </c>
      <c r="C3463" s="606" t="s">
        <v>73</v>
      </c>
      <c r="D3463" s="606" t="s">
        <v>242</v>
      </c>
      <c r="E3463" s="189"/>
      <c r="F3463" s="189"/>
      <c r="G3463" s="113"/>
      <c r="H3463" s="113"/>
    </row>
    <row r="3464" spans="1:8" x14ac:dyDescent="0.25">
      <c r="A3464" s="190">
        <v>268840</v>
      </c>
      <c r="B3464" s="606" t="s">
        <v>3286</v>
      </c>
      <c r="C3464" s="606" t="s">
        <v>73</v>
      </c>
      <c r="D3464" s="606" t="s">
        <v>242</v>
      </c>
      <c r="E3464" s="189"/>
      <c r="F3464" s="189"/>
      <c r="G3464" s="194"/>
      <c r="H3464" s="194"/>
    </row>
    <row r="3465" spans="1:8" x14ac:dyDescent="0.25">
      <c r="A3465" s="190">
        <v>268840</v>
      </c>
      <c r="B3465" s="606" t="s">
        <v>3266</v>
      </c>
      <c r="C3465" s="606" t="s">
        <v>73</v>
      </c>
      <c r="D3465" s="606" t="s">
        <v>3329</v>
      </c>
      <c r="E3465" s="189"/>
      <c r="F3465" s="606"/>
      <c r="G3465" s="194"/>
      <c r="H3465" s="194"/>
    </row>
    <row r="3466" spans="1:8" x14ac:dyDescent="0.25">
      <c r="A3466" s="190">
        <v>268840</v>
      </c>
      <c r="B3466" s="606" t="s">
        <v>3266</v>
      </c>
      <c r="C3466" s="606" t="s">
        <v>73</v>
      </c>
      <c r="D3466" s="606" t="s">
        <v>242</v>
      </c>
      <c r="E3466" s="606"/>
      <c r="F3466" s="606"/>
      <c r="G3466" s="194"/>
      <c r="H3466" s="194"/>
    </row>
    <row r="3467" spans="1:8" x14ac:dyDescent="0.25">
      <c r="A3467" s="187">
        <v>269306</v>
      </c>
      <c r="B3467" s="188" t="s">
        <v>2960</v>
      </c>
      <c r="C3467" s="146" t="s">
        <v>64</v>
      </c>
      <c r="D3467" s="148" t="s">
        <v>237</v>
      </c>
      <c r="E3467" s="189"/>
      <c r="F3467" s="606"/>
      <c r="G3467" s="194"/>
      <c r="H3467" s="194"/>
    </row>
    <row r="3468" spans="1:8" x14ac:dyDescent="0.25">
      <c r="A3468" s="190">
        <v>269630</v>
      </c>
      <c r="B3468" s="606" t="s">
        <v>2911</v>
      </c>
      <c r="C3468" s="606" t="s">
        <v>2912</v>
      </c>
      <c r="D3468" s="606" t="s">
        <v>302</v>
      </c>
      <c r="E3468" s="189"/>
      <c r="F3468" s="606" t="s">
        <v>114</v>
      </c>
      <c r="G3468" s="194"/>
      <c r="H3468" s="194"/>
    </row>
    <row r="3469" spans="1:8" x14ac:dyDescent="0.25">
      <c r="A3469" s="187">
        <v>270900</v>
      </c>
      <c r="B3469" s="187" t="s">
        <v>3704</v>
      </c>
      <c r="C3469" s="187" t="s">
        <v>8</v>
      </c>
      <c r="D3469" s="146" t="s">
        <v>242</v>
      </c>
      <c r="E3469" s="606"/>
      <c r="F3469" s="187"/>
      <c r="G3469" s="194"/>
      <c r="H3469" s="194"/>
    </row>
    <row r="3470" spans="1:8" x14ac:dyDescent="0.25">
      <c r="A3470" s="187">
        <v>271226</v>
      </c>
      <c r="B3470" s="187" t="s">
        <v>3622</v>
      </c>
      <c r="C3470" s="187" t="s">
        <v>3620</v>
      </c>
      <c r="D3470" s="187" t="s">
        <v>242</v>
      </c>
      <c r="E3470" s="187"/>
      <c r="F3470" s="187"/>
      <c r="G3470" s="194"/>
      <c r="H3470" s="194"/>
    </row>
    <row r="3471" spans="1:8" x14ac:dyDescent="0.25">
      <c r="A3471" s="187">
        <v>271278</v>
      </c>
      <c r="B3471" s="188" t="s">
        <v>2801</v>
      </c>
      <c r="C3471" s="146" t="s">
        <v>36</v>
      </c>
      <c r="D3471" s="148" t="s">
        <v>116</v>
      </c>
      <c r="E3471" s="189"/>
      <c r="F3471" s="606"/>
      <c r="G3471" s="194"/>
      <c r="H3471" s="194"/>
    </row>
    <row r="3472" spans="1:8" x14ac:dyDescent="0.25">
      <c r="A3472" s="190">
        <v>271583</v>
      </c>
      <c r="B3472" s="606" t="s">
        <v>3068</v>
      </c>
      <c r="C3472" s="606" t="s">
        <v>30</v>
      </c>
      <c r="D3472" s="606" t="s">
        <v>302</v>
      </c>
      <c r="E3472" s="606"/>
      <c r="F3472" s="606"/>
      <c r="G3472" s="194"/>
      <c r="H3472" s="194"/>
    </row>
    <row r="3473" spans="1:8" x14ac:dyDescent="0.25">
      <c r="A3473" s="301">
        <v>273298</v>
      </c>
      <c r="B3473" s="608" t="s">
        <v>3354</v>
      </c>
      <c r="C3473" s="608" t="s">
        <v>16</v>
      </c>
      <c r="D3473" s="608" t="s">
        <v>116</v>
      </c>
      <c r="E3473" s="608"/>
      <c r="F3473" s="608"/>
      <c r="G3473" s="194"/>
      <c r="H3473" s="194"/>
    </row>
    <row r="3474" spans="1:8" x14ac:dyDescent="0.25">
      <c r="A3474" s="190">
        <v>274867</v>
      </c>
      <c r="B3474" s="606" t="s">
        <v>3424</v>
      </c>
      <c r="C3474" s="606" t="s">
        <v>914</v>
      </c>
      <c r="D3474" s="606" t="s">
        <v>3329</v>
      </c>
      <c r="E3474" s="606"/>
      <c r="F3474" s="606"/>
      <c r="G3474" s="194"/>
      <c r="H3474" s="194"/>
    </row>
    <row r="3475" spans="1:8" x14ac:dyDescent="0.25">
      <c r="A3475" s="195">
        <v>274867</v>
      </c>
      <c r="B3475" s="187" t="s">
        <v>3424</v>
      </c>
      <c r="C3475" s="187" t="s">
        <v>3043</v>
      </c>
      <c r="D3475" s="146" t="s">
        <v>242</v>
      </c>
      <c r="E3475" s="606"/>
      <c r="F3475" s="187"/>
      <c r="G3475" s="194"/>
      <c r="H3475" s="194"/>
    </row>
    <row r="3476" spans="1:8" x14ac:dyDescent="0.25">
      <c r="A3476" s="301">
        <v>275766</v>
      </c>
      <c r="B3476" s="608" t="s">
        <v>3336</v>
      </c>
      <c r="C3476" s="608" t="s">
        <v>36</v>
      </c>
      <c r="D3476" s="608" t="s">
        <v>967</v>
      </c>
      <c r="E3476" s="608"/>
      <c r="F3476" s="608"/>
      <c r="G3476" s="194"/>
      <c r="H3476" s="194"/>
    </row>
    <row r="3477" spans="1:8" x14ac:dyDescent="0.25">
      <c r="A3477" s="187">
        <v>275766</v>
      </c>
      <c r="B3477" s="187" t="s">
        <v>3336</v>
      </c>
      <c r="C3477" s="187" t="s">
        <v>24</v>
      </c>
      <c r="D3477" s="187" t="s">
        <v>967</v>
      </c>
      <c r="E3477" s="187"/>
      <c r="F3477" s="187"/>
      <c r="G3477" s="194"/>
      <c r="H3477" s="194"/>
    </row>
    <row r="3478" spans="1:8" x14ac:dyDescent="0.25">
      <c r="A3478" s="187">
        <v>276160</v>
      </c>
      <c r="B3478" s="187" t="s">
        <v>3318</v>
      </c>
      <c r="C3478" s="187" t="s">
        <v>140</v>
      </c>
      <c r="D3478" s="187" t="s">
        <v>148</v>
      </c>
      <c r="E3478" s="187"/>
      <c r="F3478" s="187"/>
      <c r="G3478" s="194"/>
      <c r="H3478" s="194"/>
    </row>
    <row r="3479" spans="1:8" x14ac:dyDescent="0.25">
      <c r="A3479" s="187">
        <v>276163</v>
      </c>
      <c r="B3479" s="187" t="s">
        <v>3646</v>
      </c>
      <c r="C3479" s="187" t="s">
        <v>64</v>
      </c>
      <c r="D3479" s="187" t="s">
        <v>504</v>
      </c>
      <c r="E3479" s="187"/>
      <c r="F3479" s="187"/>
      <c r="G3479" s="194"/>
      <c r="H3479" s="194"/>
    </row>
    <row r="3480" spans="1:8" x14ac:dyDescent="0.25">
      <c r="A3480" s="190">
        <v>276943</v>
      </c>
      <c r="B3480" s="606" t="s">
        <v>3269</v>
      </c>
      <c r="C3480" s="606" t="s">
        <v>6</v>
      </c>
      <c r="D3480" s="606" t="s">
        <v>116</v>
      </c>
      <c r="E3480" s="189"/>
      <c r="F3480" s="606"/>
      <c r="G3480" s="194"/>
      <c r="H3480" s="194"/>
    </row>
    <row r="3481" spans="1:8" x14ac:dyDescent="0.25">
      <c r="A3481" s="195">
        <v>276943</v>
      </c>
      <c r="B3481" s="187" t="s">
        <v>3269</v>
      </c>
      <c r="C3481" s="187" t="s">
        <v>6</v>
      </c>
      <c r="D3481" s="146" t="s">
        <v>116</v>
      </c>
      <c r="E3481" s="606"/>
      <c r="F3481" s="187"/>
      <c r="G3481" s="194"/>
      <c r="H3481" s="194"/>
    </row>
    <row r="3482" spans="1:8" x14ac:dyDescent="0.25">
      <c r="A3482" s="187">
        <v>277208</v>
      </c>
      <c r="B3482" s="187" t="s">
        <v>3294</v>
      </c>
      <c r="C3482" s="187" t="s">
        <v>24</v>
      </c>
      <c r="D3482" s="146" t="s">
        <v>37</v>
      </c>
      <c r="E3482" s="606"/>
      <c r="F3482" s="187"/>
      <c r="G3482" s="194"/>
      <c r="H3482" s="194"/>
    </row>
    <row r="3483" spans="1:8" x14ac:dyDescent="0.25">
      <c r="A3483" s="190">
        <v>277244</v>
      </c>
      <c r="B3483" s="606" t="s">
        <v>3415</v>
      </c>
      <c r="C3483" s="606" t="s">
        <v>47</v>
      </c>
      <c r="D3483" s="606" t="s">
        <v>269</v>
      </c>
      <c r="E3483" s="606"/>
      <c r="F3483" s="606"/>
    </row>
    <row r="3484" spans="1:8" x14ac:dyDescent="0.25">
      <c r="A3484" s="190">
        <v>278067</v>
      </c>
      <c r="B3484" s="606" t="s">
        <v>3178</v>
      </c>
      <c r="C3484" s="606" t="s">
        <v>20</v>
      </c>
      <c r="D3484" s="606" t="s">
        <v>1231</v>
      </c>
      <c r="E3484" s="189"/>
      <c r="F3484" s="606"/>
    </row>
    <row r="3485" spans="1:8" x14ac:dyDescent="0.25">
      <c r="A3485" s="187">
        <v>278423</v>
      </c>
      <c r="B3485" s="187" t="s">
        <v>3315</v>
      </c>
      <c r="C3485" s="187" t="s">
        <v>16</v>
      </c>
      <c r="D3485" s="187" t="s">
        <v>302</v>
      </c>
      <c r="E3485" s="187"/>
      <c r="F3485" s="187"/>
    </row>
    <row r="3486" spans="1:8" x14ac:dyDescent="0.25">
      <c r="A3486" s="187">
        <v>278840</v>
      </c>
      <c r="B3486" s="187" t="s">
        <v>3564</v>
      </c>
      <c r="C3486" s="187" t="s">
        <v>36</v>
      </c>
      <c r="D3486" s="187" t="s">
        <v>967</v>
      </c>
      <c r="E3486" s="187"/>
      <c r="F3486" s="187"/>
      <c r="G3486" s="113"/>
      <c r="H3486" s="113"/>
    </row>
    <row r="3487" spans="1:8" x14ac:dyDescent="0.25">
      <c r="A3487" s="187">
        <v>278840</v>
      </c>
      <c r="B3487" s="187" t="s">
        <v>3564</v>
      </c>
      <c r="C3487" s="187" t="s">
        <v>24</v>
      </c>
      <c r="D3487" s="187" t="s">
        <v>3640</v>
      </c>
      <c r="E3487" s="187"/>
      <c r="F3487" s="187"/>
      <c r="G3487" s="113"/>
      <c r="H3487" s="113"/>
    </row>
    <row r="3488" spans="1:8" x14ac:dyDescent="0.25">
      <c r="A3488" s="190">
        <v>278840</v>
      </c>
      <c r="B3488" s="606" t="s">
        <v>3564</v>
      </c>
      <c r="C3488" s="606" t="s">
        <v>24</v>
      </c>
      <c r="D3488" s="606" t="s">
        <v>967</v>
      </c>
      <c r="E3488" s="606"/>
      <c r="F3488" s="606"/>
      <c r="G3488" s="113"/>
      <c r="H3488" s="113"/>
    </row>
    <row r="3489" spans="1:8" x14ac:dyDescent="0.25">
      <c r="A3489" s="187">
        <v>280495</v>
      </c>
      <c r="B3489" s="187" t="s">
        <v>3321</v>
      </c>
      <c r="C3489" s="187" t="s">
        <v>22</v>
      </c>
      <c r="D3489" s="187" t="s">
        <v>268</v>
      </c>
      <c r="E3489" s="187"/>
      <c r="F3489" s="187"/>
      <c r="G3489" s="113"/>
      <c r="H3489" s="113"/>
    </row>
    <row r="3490" spans="1:8" x14ac:dyDescent="0.25">
      <c r="A3490" s="195">
        <v>282976</v>
      </c>
      <c r="B3490" s="187" t="s">
        <v>3065</v>
      </c>
      <c r="C3490" s="187" t="s">
        <v>140</v>
      </c>
      <c r="D3490" s="146" t="s">
        <v>148</v>
      </c>
      <c r="E3490" s="606"/>
      <c r="F3490" s="187"/>
      <c r="G3490" s="113"/>
      <c r="H3490" s="113"/>
    </row>
    <row r="3491" spans="1:8" x14ac:dyDescent="0.25">
      <c r="A3491" s="190">
        <v>283232</v>
      </c>
      <c r="B3491" s="606" t="s">
        <v>3086</v>
      </c>
      <c r="C3491" s="606" t="s">
        <v>24</v>
      </c>
      <c r="D3491" s="606" t="s">
        <v>37</v>
      </c>
      <c r="E3491" s="606"/>
      <c r="F3491" s="606"/>
      <c r="G3491" s="113"/>
      <c r="H3491" s="113"/>
    </row>
    <row r="3492" spans="1:8" x14ac:dyDescent="0.25">
      <c r="A3492" s="195">
        <v>283692</v>
      </c>
      <c r="B3492" s="187" t="s">
        <v>3506</v>
      </c>
      <c r="C3492" s="187" t="s">
        <v>36</v>
      </c>
      <c r="D3492" s="146" t="s">
        <v>116</v>
      </c>
      <c r="E3492" s="606"/>
      <c r="F3492" s="187"/>
      <c r="G3492" s="229"/>
      <c r="H3492" s="229"/>
    </row>
    <row r="3493" spans="1:8" x14ac:dyDescent="0.25">
      <c r="A3493" s="195">
        <v>285919</v>
      </c>
      <c r="B3493" s="187" t="s">
        <v>3544</v>
      </c>
      <c r="C3493" s="187" t="s">
        <v>144</v>
      </c>
      <c r="D3493" s="146" t="s">
        <v>143</v>
      </c>
      <c r="E3493" s="606"/>
      <c r="F3493" s="187"/>
      <c r="G3493" s="194"/>
      <c r="H3493" s="194"/>
    </row>
    <row r="3494" spans="1:8" x14ac:dyDescent="0.25">
      <c r="A3494" s="190">
        <v>286588</v>
      </c>
      <c r="B3494" s="606" t="s">
        <v>3190</v>
      </c>
      <c r="C3494" s="606" t="s">
        <v>24</v>
      </c>
      <c r="D3494" s="606" t="s">
        <v>37</v>
      </c>
      <c r="E3494" s="606"/>
      <c r="F3494" s="606"/>
      <c r="G3494" s="194"/>
      <c r="H3494" s="194"/>
    </row>
    <row r="3495" spans="1:8" x14ac:dyDescent="0.25">
      <c r="A3495" s="187">
        <v>288095</v>
      </c>
      <c r="B3495" s="187" t="s">
        <v>3440</v>
      </c>
      <c r="C3495" s="187" t="s">
        <v>64</v>
      </c>
      <c r="D3495" s="187" t="s">
        <v>237</v>
      </c>
      <c r="E3495" s="187"/>
      <c r="F3495" s="187"/>
      <c r="G3495" s="194"/>
      <c r="H3495" s="194"/>
    </row>
    <row r="3496" spans="1:8" x14ac:dyDescent="0.25">
      <c r="A3496" s="187">
        <v>288371</v>
      </c>
      <c r="B3496" s="187" t="s">
        <v>3613</v>
      </c>
      <c r="C3496" s="187" t="s">
        <v>8</v>
      </c>
      <c r="D3496" s="187" t="s">
        <v>3329</v>
      </c>
      <c r="E3496" s="187"/>
      <c r="F3496" s="187"/>
      <c r="G3496" s="194"/>
      <c r="H3496" s="194"/>
    </row>
    <row r="3497" spans="1:8" x14ac:dyDescent="0.25">
      <c r="A3497" s="187">
        <v>289216</v>
      </c>
      <c r="B3497" s="187" t="s">
        <v>3662</v>
      </c>
      <c r="C3497" s="187" t="s">
        <v>44</v>
      </c>
      <c r="D3497" s="146" t="s">
        <v>242</v>
      </c>
      <c r="E3497" s="606"/>
      <c r="F3497" s="187"/>
      <c r="G3497" s="194"/>
      <c r="H3497" s="194"/>
    </row>
    <row r="3498" spans="1:8" x14ac:dyDescent="0.25">
      <c r="A3498" s="190">
        <v>290203</v>
      </c>
      <c r="B3498" s="606" t="s">
        <v>3362</v>
      </c>
      <c r="C3498" s="606" t="s">
        <v>64</v>
      </c>
      <c r="D3498" s="606" t="s">
        <v>237</v>
      </c>
      <c r="E3498" s="606"/>
      <c r="F3498" s="606"/>
      <c r="G3498" s="194"/>
      <c r="H3498" s="194"/>
    </row>
    <row r="3499" spans="1:8" x14ac:dyDescent="0.25">
      <c r="A3499" s="187">
        <v>290203</v>
      </c>
      <c r="B3499" s="187" t="s">
        <v>3362</v>
      </c>
      <c r="C3499" s="187" t="s">
        <v>64</v>
      </c>
      <c r="D3499" s="187" t="s">
        <v>237</v>
      </c>
      <c r="E3499" s="187"/>
      <c r="F3499" s="187"/>
      <c r="G3499" s="194"/>
      <c r="H3499" s="194"/>
    </row>
    <row r="3500" spans="1:8" x14ac:dyDescent="0.25">
      <c r="A3500" s="190">
        <v>290657</v>
      </c>
      <c r="B3500" s="606" t="s">
        <v>3426</v>
      </c>
      <c r="C3500" s="606" t="s">
        <v>27</v>
      </c>
      <c r="D3500" s="606" t="s">
        <v>3427</v>
      </c>
      <c r="E3500" s="606"/>
      <c r="F3500" s="606"/>
      <c r="G3500" s="194"/>
      <c r="H3500" s="194"/>
    </row>
    <row r="3501" spans="1:8" x14ac:dyDescent="0.25">
      <c r="A3501" s="195">
        <v>294167</v>
      </c>
      <c r="B3501" s="187" t="s">
        <v>3066</v>
      </c>
      <c r="C3501" s="187" t="s">
        <v>6</v>
      </c>
      <c r="D3501" s="148" t="s">
        <v>116</v>
      </c>
      <c r="E3501" s="606"/>
      <c r="F3501" s="187"/>
      <c r="G3501" s="194"/>
      <c r="H3501" s="194"/>
    </row>
    <row r="3502" spans="1:8" x14ac:dyDescent="0.25">
      <c r="A3502" s="187">
        <v>299507</v>
      </c>
      <c r="B3502" s="187" t="s">
        <v>3644</v>
      </c>
      <c r="C3502" s="187" t="s">
        <v>16</v>
      </c>
      <c r="D3502" s="187" t="s">
        <v>2788</v>
      </c>
      <c r="E3502" s="187"/>
      <c r="F3502" s="187"/>
      <c r="G3502" s="194"/>
      <c r="H3502" s="194"/>
    </row>
    <row r="3503" spans="1:8" x14ac:dyDescent="0.25">
      <c r="A3503" s="187">
        <v>306740</v>
      </c>
      <c r="B3503" s="187" t="s">
        <v>3749</v>
      </c>
      <c r="C3503" s="187" t="s">
        <v>73</v>
      </c>
      <c r="D3503" s="187" t="s">
        <v>154</v>
      </c>
      <c r="E3503" s="187"/>
      <c r="F3503" s="187"/>
      <c r="G3503" s="194"/>
      <c r="H3503" s="194"/>
    </row>
    <row r="3504" spans="1:8" x14ac:dyDescent="0.25">
      <c r="A3504" s="187">
        <v>306947</v>
      </c>
      <c r="B3504" s="187" t="s">
        <v>3647</v>
      </c>
      <c r="C3504" s="187" t="s">
        <v>1652</v>
      </c>
      <c r="D3504" s="187" t="s">
        <v>302</v>
      </c>
      <c r="E3504" s="187"/>
      <c r="F3504" s="187" t="s">
        <v>3648</v>
      </c>
      <c r="G3504" s="194"/>
      <c r="H3504" s="194"/>
    </row>
    <row r="3505" spans="1:8" x14ac:dyDescent="0.25">
      <c r="A3505" s="187">
        <v>309423</v>
      </c>
      <c r="B3505" s="187" t="s">
        <v>3664</v>
      </c>
      <c r="C3505" s="187" t="s">
        <v>47</v>
      </c>
      <c r="D3505" s="146" t="s">
        <v>2948</v>
      </c>
      <c r="E3505" s="606"/>
      <c r="F3505" s="187"/>
      <c r="G3505" s="194"/>
      <c r="H3505" s="194"/>
    </row>
    <row r="3506" spans="1:8" x14ac:dyDescent="0.25">
      <c r="A3506" s="190">
        <v>309423</v>
      </c>
      <c r="B3506" s="606" t="s">
        <v>3664</v>
      </c>
      <c r="C3506" s="606" t="s">
        <v>47</v>
      </c>
      <c r="D3506" s="606" t="s">
        <v>2948</v>
      </c>
      <c r="E3506" s="606"/>
      <c r="F3506" s="606"/>
      <c r="G3506" s="194"/>
      <c r="H3506" s="194"/>
    </row>
    <row r="3507" spans="1:8" x14ac:dyDescent="0.25">
      <c r="A3507" s="187">
        <v>314021</v>
      </c>
      <c r="B3507" s="187" t="s">
        <v>3569</v>
      </c>
      <c r="C3507" s="187" t="s">
        <v>24</v>
      </c>
      <c r="D3507" s="187" t="s">
        <v>504</v>
      </c>
      <c r="E3507" s="187"/>
      <c r="F3507" s="187"/>
      <c r="G3507" s="194"/>
      <c r="H3507" s="194"/>
    </row>
    <row r="3508" spans="1:8" x14ac:dyDescent="0.25">
      <c r="A3508" s="187"/>
      <c r="B3508" s="187"/>
      <c r="C3508" s="187"/>
      <c r="D3508" s="187"/>
      <c r="E3508" s="187"/>
      <c r="F3508" s="187"/>
      <c r="G3508" s="194"/>
      <c r="H3508" s="194"/>
    </row>
    <row r="3509" spans="1:8" s="113" customFormat="1" x14ac:dyDescent="0.25">
      <c r="A3509" s="163"/>
      <c r="B3509"/>
      <c r="C3509"/>
      <c r="D3509"/>
      <c r="E3509"/>
      <c r="F3509"/>
      <c r="G3509"/>
      <c r="H3509"/>
    </row>
    <row r="3510" spans="1:8" s="113" customFormat="1" x14ac:dyDescent="0.25">
      <c r="A3510" s="163"/>
      <c r="B3510"/>
      <c r="C3510"/>
      <c r="D3510"/>
      <c r="E3510"/>
      <c r="F3510"/>
      <c r="G3510"/>
      <c r="H3510"/>
    </row>
    <row r="3511" spans="1:8" s="113" customFormat="1" x14ac:dyDescent="0.25">
      <c r="A3511" s="163"/>
      <c r="B3511"/>
      <c r="C3511"/>
      <c r="D3511"/>
      <c r="E3511"/>
      <c r="F3511"/>
      <c r="G3511"/>
      <c r="H3511"/>
    </row>
    <row r="3512" spans="1:8" s="113" customFormat="1" x14ac:dyDescent="0.25">
      <c r="A3512" s="163"/>
      <c r="B3512"/>
      <c r="C3512"/>
      <c r="D3512"/>
      <c r="E3512"/>
      <c r="F3512"/>
      <c r="G3512"/>
      <c r="H3512"/>
    </row>
    <row r="3513" spans="1:8" s="113" customFormat="1" x14ac:dyDescent="0.25">
      <c r="A3513" s="163"/>
      <c r="B3513"/>
      <c r="C3513"/>
      <c r="D3513"/>
      <c r="E3513"/>
      <c r="F3513"/>
      <c r="G3513"/>
      <c r="H3513"/>
    </row>
    <row r="3514" spans="1:8" s="113" customFormat="1" x14ac:dyDescent="0.25">
      <c r="A3514" s="163"/>
      <c r="B3514"/>
      <c r="C3514"/>
      <c r="D3514"/>
      <c r="E3514"/>
      <c r="F3514"/>
      <c r="G3514"/>
      <c r="H3514"/>
    </row>
    <row r="3515" spans="1:8" s="113" customFormat="1" x14ac:dyDescent="0.25">
      <c r="A3515" s="163"/>
      <c r="B3515"/>
      <c r="C3515"/>
      <c r="D3515"/>
      <c r="E3515"/>
      <c r="F3515"/>
      <c r="G3515"/>
      <c r="H3515"/>
    </row>
    <row r="3516" spans="1:8" s="113" customFormat="1" x14ac:dyDescent="0.25">
      <c r="A3516" s="163"/>
      <c r="B3516"/>
      <c r="C3516"/>
      <c r="D3516"/>
      <c r="E3516"/>
      <c r="F3516"/>
      <c r="G3516"/>
      <c r="H3516"/>
    </row>
    <row r="3517" spans="1:8" s="113" customFormat="1" x14ac:dyDescent="0.25">
      <c r="A3517" s="163"/>
      <c r="B3517"/>
      <c r="C3517"/>
      <c r="D3517"/>
      <c r="E3517"/>
      <c r="F3517"/>
      <c r="G3517"/>
      <c r="H3517"/>
    </row>
    <row r="3518" spans="1:8" s="113" customFormat="1" x14ac:dyDescent="0.25">
      <c r="A3518" s="163"/>
      <c r="B3518"/>
      <c r="C3518"/>
      <c r="D3518"/>
      <c r="E3518"/>
      <c r="F3518"/>
      <c r="G3518"/>
      <c r="H3518"/>
    </row>
    <row r="3519" spans="1:8" s="113" customFormat="1" x14ac:dyDescent="0.25">
      <c r="A3519" s="163"/>
      <c r="B3519"/>
      <c r="C3519"/>
      <c r="D3519"/>
      <c r="E3519"/>
      <c r="F3519"/>
      <c r="G3519"/>
      <c r="H3519"/>
    </row>
    <row r="3520" spans="1:8" s="113" customFormat="1" x14ac:dyDescent="0.25">
      <c r="A3520" s="163"/>
      <c r="B3520"/>
      <c r="C3520"/>
      <c r="D3520"/>
      <c r="E3520"/>
      <c r="F3520"/>
      <c r="G3520"/>
      <c r="H3520"/>
    </row>
    <row r="3521" spans="1:8" s="113" customFormat="1" x14ac:dyDescent="0.25">
      <c r="A3521" s="163"/>
      <c r="B3521"/>
      <c r="C3521"/>
      <c r="D3521"/>
      <c r="E3521"/>
      <c r="F3521"/>
      <c r="G3521"/>
      <c r="H3521"/>
    </row>
    <row r="3522" spans="1:8" s="113" customFormat="1" x14ac:dyDescent="0.25">
      <c r="A3522" s="163"/>
      <c r="B3522"/>
      <c r="C3522"/>
      <c r="D3522"/>
      <c r="E3522"/>
      <c r="F3522"/>
      <c r="G3522"/>
      <c r="H3522"/>
    </row>
    <row r="3523" spans="1:8" s="113" customFormat="1" x14ac:dyDescent="0.25">
      <c r="A3523" s="163"/>
      <c r="B3523"/>
      <c r="C3523"/>
      <c r="D3523"/>
      <c r="E3523"/>
      <c r="F3523"/>
      <c r="G3523"/>
      <c r="H3523"/>
    </row>
    <row r="3524" spans="1:8" s="113" customFormat="1" x14ac:dyDescent="0.25">
      <c r="A3524" s="163"/>
      <c r="B3524"/>
      <c r="C3524"/>
      <c r="D3524"/>
      <c r="E3524"/>
      <c r="F3524"/>
      <c r="G3524"/>
      <c r="H3524"/>
    </row>
    <row r="3525" spans="1:8" s="113" customFormat="1" x14ac:dyDescent="0.25">
      <c r="A3525" s="163"/>
      <c r="B3525"/>
      <c r="C3525"/>
      <c r="D3525"/>
      <c r="E3525"/>
      <c r="F3525"/>
      <c r="G3525"/>
      <c r="H3525"/>
    </row>
    <row r="3526" spans="1:8" s="113" customFormat="1" x14ac:dyDescent="0.25">
      <c r="A3526" s="163"/>
      <c r="B3526"/>
      <c r="C3526"/>
      <c r="D3526"/>
      <c r="E3526"/>
      <c r="F3526"/>
      <c r="G3526"/>
      <c r="H3526"/>
    </row>
    <row r="3527" spans="1:8" s="113" customFormat="1" x14ac:dyDescent="0.25">
      <c r="A3527" s="163"/>
      <c r="B3527"/>
      <c r="C3527"/>
      <c r="D3527"/>
      <c r="E3527"/>
      <c r="F3527"/>
      <c r="G3527"/>
      <c r="H3527"/>
    </row>
    <row r="3528" spans="1:8" s="113" customFormat="1" x14ac:dyDescent="0.25">
      <c r="A3528" s="163"/>
      <c r="B3528"/>
      <c r="C3528"/>
      <c r="D3528"/>
      <c r="E3528"/>
      <c r="F3528"/>
      <c r="G3528"/>
      <c r="H3528"/>
    </row>
    <row r="3529" spans="1:8" s="113" customFormat="1" x14ac:dyDescent="0.25">
      <c r="A3529" s="163"/>
      <c r="B3529"/>
      <c r="C3529"/>
      <c r="D3529"/>
      <c r="E3529"/>
      <c r="F3529"/>
      <c r="G3529"/>
      <c r="H3529"/>
    </row>
    <row r="3530" spans="1:8" s="113" customFormat="1" x14ac:dyDescent="0.25">
      <c r="A3530" s="163"/>
      <c r="B3530"/>
      <c r="C3530"/>
      <c r="D3530"/>
      <c r="E3530"/>
      <c r="F3530"/>
      <c r="G3530"/>
      <c r="H3530"/>
    </row>
    <row r="3531" spans="1:8" s="113" customFormat="1" x14ac:dyDescent="0.25">
      <c r="A3531" s="163"/>
      <c r="B3531"/>
      <c r="C3531"/>
      <c r="D3531"/>
      <c r="E3531"/>
      <c r="F3531"/>
      <c r="G3531"/>
      <c r="H3531"/>
    </row>
    <row r="3532" spans="1:8" s="113" customFormat="1" x14ac:dyDescent="0.25">
      <c r="A3532" s="163"/>
      <c r="B3532"/>
      <c r="C3532"/>
      <c r="D3532"/>
      <c r="E3532"/>
      <c r="F3532"/>
      <c r="G3532"/>
      <c r="H3532"/>
    </row>
    <row r="3533" spans="1:8" s="113" customFormat="1" x14ac:dyDescent="0.25">
      <c r="A3533" s="163"/>
      <c r="B3533"/>
      <c r="C3533"/>
      <c r="D3533"/>
      <c r="E3533"/>
      <c r="F3533"/>
      <c r="G3533"/>
      <c r="H3533"/>
    </row>
    <row r="3534" spans="1:8" s="113" customFormat="1" x14ac:dyDescent="0.25">
      <c r="A3534" s="163"/>
      <c r="B3534"/>
      <c r="C3534"/>
      <c r="D3534"/>
      <c r="E3534"/>
      <c r="F3534"/>
      <c r="G3534"/>
      <c r="H3534"/>
    </row>
    <row r="3535" spans="1:8" s="113" customFormat="1" x14ac:dyDescent="0.25">
      <c r="A3535" s="163"/>
      <c r="B3535"/>
      <c r="C3535"/>
      <c r="D3535"/>
      <c r="E3535"/>
      <c r="F3535"/>
      <c r="G3535"/>
      <c r="H3535"/>
    </row>
    <row r="3536" spans="1:8" s="113" customFormat="1" x14ac:dyDescent="0.25">
      <c r="A3536" s="163"/>
      <c r="B3536"/>
      <c r="C3536"/>
      <c r="D3536"/>
      <c r="E3536"/>
      <c r="F3536"/>
      <c r="G3536"/>
      <c r="H3536"/>
    </row>
    <row r="3537" spans="1:8" s="113" customFormat="1" x14ac:dyDescent="0.25">
      <c r="A3537" s="163"/>
      <c r="B3537"/>
      <c r="C3537"/>
      <c r="D3537"/>
      <c r="E3537"/>
      <c r="F3537"/>
      <c r="G3537"/>
      <c r="H3537"/>
    </row>
    <row r="3538" spans="1:8" s="113" customFormat="1" x14ac:dyDescent="0.25">
      <c r="A3538" s="163"/>
      <c r="B3538"/>
      <c r="C3538"/>
      <c r="D3538"/>
      <c r="E3538"/>
      <c r="F3538"/>
      <c r="G3538"/>
      <c r="H3538"/>
    </row>
    <row r="3539" spans="1:8" s="113" customFormat="1" x14ac:dyDescent="0.25">
      <c r="A3539" s="163"/>
      <c r="B3539"/>
      <c r="C3539"/>
      <c r="D3539"/>
      <c r="E3539"/>
      <c r="F3539"/>
      <c r="G3539"/>
      <c r="H3539"/>
    </row>
    <row r="3540" spans="1:8" s="113" customFormat="1" x14ac:dyDescent="0.25">
      <c r="A3540" s="163"/>
      <c r="B3540"/>
      <c r="C3540"/>
      <c r="D3540"/>
      <c r="E3540"/>
      <c r="F3540"/>
      <c r="G3540"/>
      <c r="H3540"/>
    </row>
    <row r="3541" spans="1:8" s="113" customFormat="1" x14ac:dyDescent="0.25">
      <c r="A3541" s="163"/>
      <c r="B3541"/>
      <c r="C3541"/>
      <c r="D3541"/>
      <c r="E3541"/>
      <c r="F3541"/>
      <c r="G3541"/>
      <c r="H3541"/>
    </row>
    <row r="3542" spans="1:8" s="113" customFormat="1" x14ac:dyDescent="0.25">
      <c r="A3542" s="163"/>
      <c r="B3542"/>
      <c r="C3542"/>
      <c r="D3542"/>
      <c r="E3542"/>
      <c r="F3542"/>
      <c r="G3542"/>
      <c r="H3542"/>
    </row>
    <row r="3543" spans="1:8" s="113" customFormat="1" x14ac:dyDescent="0.25">
      <c r="A3543" s="163"/>
      <c r="B3543"/>
      <c r="C3543"/>
      <c r="D3543"/>
      <c r="E3543"/>
      <c r="F3543"/>
      <c r="G3543"/>
      <c r="H3543"/>
    </row>
    <row r="3544" spans="1:8" s="113" customFormat="1" x14ac:dyDescent="0.25">
      <c r="A3544" s="163"/>
      <c r="B3544"/>
      <c r="C3544"/>
      <c r="D3544"/>
      <c r="E3544"/>
      <c r="F3544"/>
      <c r="G3544"/>
      <c r="H3544"/>
    </row>
    <row r="3545" spans="1:8" s="113" customFormat="1" x14ac:dyDescent="0.25">
      <c r="A3545" s="163"/>
      <c r="B3545"/>
      <c r="C3545"/>
      <c r="D3545"/>
      <c r="E3545"/>
      <c r="F3545"/>
      <c r="G3545"/>
      <c r="H3545"/>
    </row>
    <row r="3546" spans="1:8" s="113" customFormat="1" x14ac:dyDescent="0.25">
      <c r="A3546" s="163"/>
      <c r="B3546"/>
      <c r="C3546"/>
      <c r="D3546"/>
      <c r="E3546"/>
      <c r="F3546"/>
      <c r="G3546"/>
      <c r="H3546"/>
    </row>
    <row r="3547" spans="1:8" s="113" customFormat="1" x14ac:dyDescent="0.25">
      <c r="A3547" s="163"/>
      <c r="B3547"/>
      <c r="C3547"/>
      <c r="D3547"/>
      <c r="E3547"/>
      <c r="F3547"/>
      <c r="G3547"/>
      <c r="H3547"/>
    </row>
    <row r="3548" spans="1:8" s="113" customFormat="1" x14ac:dyDescent="0.25">
      <c r="A3548" s="163"/>
      <c r="B3548"/>
      <c r="C3548"/>
      <c r="D3548"/>
      <c r="E3548"/>
      <c r="F3548"/>
      <c r="G3548"/>
      <c r="H3548"/>
    </row>
    <row r="3549" spans="1:8" s="113" customFormat="1" x14ac:dyDescent="0.25">
      <c r="A3549" s="163"/>
      <c r="B3549"/>
      <c r="C3549"/>
      <c r="D3549"/>
      <c r="E3549"/>
      <c r="F3549"/>
      <c r="G3549"/>
      <c r="H3549"/>
    </row>
    <row r="3550" spans="1:8" s="113" customFormat="1" x14ac:dyDescent="0.25">
      <c r="A3550" s="163"/>
      <c r="B3550"/>
      <c r="C3550"/>
      <c r="D3550"/>
      <c r="E3550"/>
      <c r="F3550"/>
      <c r="G3550"/>
      <c r="H3550"/>
    </row>
    <row r="3551" spans="1:8" s="113" customFormat="1" x14ac:dyDescent="0.25">
      <c r="A3551" s="163"/>
      <c r="B3551"/>
      <c r="C3551"/>
      <c r="D3551"/>
      <c r="E3551"/>
      <c r="F3551"/>
      <c r="G3551"/>
      <c r="H3551"/>
    </row>
    <row r="3552" spans="1:8" s="113" customFormat="1" x14ac:dyDescent="0.25">
      <c r="A3552" s="163"/>
      <c r="B3552"/>
      <c r="C3552"/>
      <c r="D3552"/>
      <c r="E3552"/>
      <c r="F3552"/>
      <c r="G3552"/>
      <c r="H3552"/>
    </row>
    <row r="3553" spans="1:8" s="113" customFormat="1" x14ac:dyDescent="0.25">
      <c r="A3553" s="163"/>
      <c r="B3553"/>
      <c r="C3553"/>
      <c r="D3553"/>
      <c r="E3553"/>
      <c r="F3553"/>
      <c r="G3553"/>
      <c r="H3553"/>
    </row>
    <row r="3554" spans="1:8" s="113" customFormat="1" x14ac:dyDescent="0.25">
      <c r="A3554" s="163"/>
      <c r="B3554"/>
      <c r="C3554"/>
      <c r="D3554"/>
      <c r="E3554"/>
      <c r="F3554"/>
      <c r="G3554"/>
      <c r="H3554"/>
    </row>
    <row r="3555" spans="1:8" s="113" customFormat="1" x14ac:dyDescent="0.25">
      <c r="A3555" s="163"/>
      <c r="B3555"/>
      <c r="C3555"/>
      <c r="D3555"/>
      <c r="E3555"/>
      <c r="F3555"/>
      <c r="G3555"/>
      <c r="H3555"/>
    </row>
    <row r="3556" spans="1:8" s="113" customFormat="1" x14ac:dyDescent="0.25">
      <c r="A3556" s="163"/>
      <c r="B3556"/>
      <c r="C3556"/>
      <c r="D3556"/>
      <c r="E3556"/>
      <c r="F3556"/>
      <c r="G3556"/>
      <c r="H3556"/>
    </row>
    <row r="3557" spans="1:8" s="113" customFormat="1" x14ac:dyDescent="0.25">
      <c r="A3557" s="163"/>
      <c r="B3557"/>
      <c r="C3557"/>
      <c r="D3557"/>
      <c r="E3557"/>
      <c r="F3557"/>
      <c r="G3557"/>
      <c r="H3557"/>
    </row>
    <row r="3558" spans="1:8" s="113" customFormat="1" x14ac:dyDescent="0.25">
      <c r="A3558" s="163"/>
      <c r="B3558"/>
      <c r="C3558"/>
      <c r="D3558"/>
      <c r="E3558"/>
      <c r="F3558"/>
      <c r="G3558"/>
      <c r="H3558"/>
    </row>
    <row r="3559" spans="1:8" s="113" customFormat="1" x14ac:dyDescent="0.25">
      <c r="A3559" s="163"/>
      <c r="B3559"/>
      <c r="C3559"/>
      <c r="D3559"/>
      <c r="E3559"/>
      <c r="F3559"/>
      <c r="G3559"/>
      <c r="H3559"/>
    </row>
    <row r="3560" spans="1:8" s="113" customFormat="1" x14ac:dyDescent="0.25">
      <c r="A3560" s="163"/>
      <c r="B3560"/>
      <c r="C3560"/>
      <c r="D3560"/>
      <c r="E3560"/>
      <c r="F3560"/>
      <c r="G3560"/>
      <c r="H3560"/>
    </row>
    <row r="3561" spans="1:8" s="113" customFormat="1" x14ac:dyDescent="0.25">
      <c r="A3561" s="163"/>
      <c r="B3561"/>
      <c r="C3561"/>
      <c r="D3561"/>
      <c r="E3561"/>
      <c r="F3561"/>
      <c r="G3561"/>
      <c r="H3561"/>
    </row>
    <row r="3562" spans="1:8" s="113" customFormat="1" x14ac:dyDescent="0.25">
      <c r="A3562" s="163"/>
      <c r="B3562"/>
      <c r="C3562"/>
      <c r="D3562"/>
      <c r="E3562"/>
      <c r="F3562"/>
      <c r="G3562"/>
      <c r="H3562"/>
    </row>
    <row r="3563" spans="1:8" s="113" customFormat="1" x14ac:dyDescent="0.25">
      <c r="A3563" s="163"/>
      <c r="B3563"/>
      <c r="C3563"/>
      <c r="D3563"/>
      <c r="E3563"/>
      <c r="F3563"/>
      <c r="G3563"/>
      <c r="H3563"/>
    </row>
    <row r="3564" spans="1:8" s="113" customFormat="1" x14ac:dyDescent="0.25">
      <c r="A3564" s="163"/>
      <c r="B3564"/>
      <c r="C3564"/>
      <c r="D3564"/>
      <c r="E3564"/>
      <c r="F3564"/>
      <c r="G3564"/>
      <c r="H3564"/>
    </row>
    <row r="3565" spans="1:8" s="113" customFormat="1" x14ac:dyDescent="0.25">
      <c r="A3565" s="163"/>
      <c r="B3565"/>
      <c r="C3565"/>
      <c r="D3565"/>
      <c r="E3565"/>
      <c r="F3565"/>
      <c r="G3565"/>
      <c r="H3565"/>
    </row>
    <row r="3566" spans="1:8" s="113" customFormat="1" x14ac:dyDescent="0.25">
      <c r="A3566" s="163"/>
      <c r="B3566"/>
      <c r="C3566"/>
      <c r="D3566"/>
      <c r="E3566"/>
      <c r="F3566"/>
      <c r="G3566"/>
      <c r="H3566"/>
    </row>
    <row r="3567" spans="1:8" s="113" customFormat="1" x14ac:dyDescent="0.25">
      <c r="A3567" s="163"/>
      <c r="B3567"/>
      <c r="C3567"/>
      <c r="D3567"/>
      <c r="E3567"/>
      <c r="F3567"/>
      <c r="G3567"/>
      <c r="H3567"/>
    </row>
    <row r="3568" spans="1:8" s="113" customFormat="1" x14ac:dyDescent="0.25">
      <c r="A3568" s="163"/>
      <c r="B3568"/>
      <c r="C3568"/>
      <c r="D3568"/>
      <c r="E3568"/>
      <c r="F3568"/>
      <c r="G3568"/>
      <c r="H3568"/>
    </row>
    <row r="3569" spans="1:8" s="113" customFormat="1" x14ac:dyDescent="0.25">
      <c r="A3569" s="163"/>
      <c r="B3569"/>
      <c r="C3569"/>
      <c r="D3569"/>
      <c r="E3569"/>
      <c r="F3569"/>
      <c r="G3569"/>
      <c r="H3569"/>
    </row>
    <row r="3570" spans="1:8" s="113" customFormat="1" x14ac:dyDescent="0.25">
      <c r="A3570" s="163"/>
      <c r="B3570"/>
      <c r="C3570"/>
      <c r="D3570"/>
      <c r="E3570"/>
      <c r="F3570"/>
      <c r="G3570"/>
      <c r="H3570"/>
    </row>
    <row r="3571" spans="1:8" s="113" customFormat="1" x14ac:dyDescent="0.25">
      <c r="A3571" s="163"/>
      <c r="B3571"/>
      <c r="C3571"/>
      <c r="D3571"/>
      <c r="E3571"/>
      <c r="F3571"/>
      <c r="G3571"/>
      <c r="H3571"/>
    </row>
    <row r="3572" spans="1:8" s="113" customFormat="1" x14ac:dyDescent="0.25">
      <c r="A3572" s="163"/>
      <c r="B3572"/>
      <c r="C3572"/>
      <c r="D3572"/>
      <c r="E3572"/>
      <c r="F3572"/>
      <c r="G3572"/>
      <c r="H3572"/>
    </row>
    <row r="3573" spans="1:8" s="113" customFormat="1" x14ac:dyDescent="0.25">
      <c r="A3573" s="163"/>
      <c r="B3573"/>
      <c r="C3573"/>
      <c r="D3573"/>
      <c r="E3573"/>
      <c r="F3573"/>
      <c r="G3573"/>
      <c r="H3573"/>
    </row>
    <row r="3574" spans="1:8" s="113" customFormat="1" x14ac:dyDescent="0.25">
      <c r="A3574" s="163"/>
      <c r="B3574"/>
      <c r="C3574"/>
      <c r="D3574"/>
      <c r="E3574"/>
      <c r="F3574"/>
      <c r="G3574"/>
      <c r="H3574"/>
    </row>
    <row r="3575" spans="1:8" s="113" customFormat="1" x14ac:dyDescent="0.25">
      <c r="A3575" s="163"/>
      <c r="B3575"/>
      <c r="C3575"/>
      <c r="D3575"/>
      <c r="E3575"/>
      <c r="F3575"/>
      <c r="G3575"/>
      <c r="H3575"/>
    </row>
    <row r="3576" spans="1:8" s="113" customFormat="1" x14ac:dyDescent="0.25">
      <c r="A3576" s="163"/>
      <c r="B3576"/>
      <c r="C3576"/>
      <c r="D3576"/>
      <c r="E3576"/>
      <c r="F3576"/>
      <c r="G3576"/>
      <c r="H3576"/>
    </row>
    <row r="3577" spans="1:8" s="113" customFormat="1" x14ac:dyDescent="0.25">
      <c r="A3577" s="163"/>
      <c r="B3577"/>
      <c r="C3577"/>
      <c r="D3577"/>
      <c r="E3577"/>
      <c r="F3577"/>
      <c r="G3577"/>
      <c r="H3577"/>
    </row>
    <row r="3578" spans="1:8" s="113" customFormat="1" x14ac:dyDescent="0.25">
      <c r="A3578" s="163"/>
      <c r="B3578"/>
      <c r="C3578"/>
      <c r="D3578"/>
      <c r="E3578"/>
      <c r="F3578"/>
      <c r="G3578"/>
      <c r="H3578"/>
    </row>
    <row r="3579" spans="1:8" s="113" customFormat="1" x14ac:dyDescent="0.25">
      <c r="A3579" s="163"/>
      <c r="B3579"/>
      <c r="C3579"/>
      <c r="D3579"/>
      <c r="E3579"/>
      <c r="F3579"/>
      <c r="G3579"/>
      <c r="H3579"/>
    </row>
    <row r="3580" spans="1:8" s="113" customFormat="1" x14ac:dyDescent="0.25">
      <c r="A3580" s="163"/>
      <c r="B3580"/>
      <c r="C3580"/>
      <c r="D3580"/>
      <c r="E3580"/>
      <c r="F3580"/>
      <c r="G3580"/>
      <c r="H3580"/>
    </row>
    <row r="3581" spans="1:8" s="194" customFormat="1" x14ac:dyDescent="0.25">
      <c r="A3581" s="163"/>
      <c r="B3581"/>
      <c r="C3581"/>
      <c r="D3581"/>
      <c r="E3581"/>
      <c r="F3581"/>
      <c r="G3581"/>
      <c r="H3581"/>
    </row>
    <row r="3582" spans="1:8" s="113" customFormat="1" x14ac:dyDescent="0.25">
      <c r="A3582" s="163"/>
      <c r="B3582"/>
      <c r="C3582"/>
      <c r="D3582"/>
      <c r="E3582"/>
      <c r="F3582"/>
      <c r="G3582"/>
      <c r="H3582"/>
    </row>
    <row r="3583" spans="1:8" s="113" customFormat="1" x14ac:dyDescent="0.25">
      <c r="A3583" s="163"/>
      <c r="B3583"/>
      <c r="C3583"/>
      <c r="D3583"/>
      <c r="E3583"/>
      <c r="F3583"/>
      <c r="G3583"/>
      <c r="H3583"/>
    </row>
    <row r="3584" spans="1:8" s="113" customFormat="1" x14ac:dyDescent="0.25">
      <c r="A3584" s="163"/>
      <c r="B3584"/>
      <c r="C3584"/>
      <c r="D3584"/>
      <c r="E3584"/>
      <c r="F3584"/>
      <c r="G3584"/>
      <c r="H3584"/>
    </row>
    <row r="3585" spans="1:8" s="113" customFormat="1" x14ac:dyDescent="0.25">
      <c r="A3585" s="163"/>
      <c r="B3585"/>
      <c r="C3585"/>
      <c r="D3585"/>
      <c r="E3585"/>
      <c r="F3585"/>
      <c r="G3585"/>
      <c r="H3585"/>
    </row>
    <row r="3586" spans="1:8" s="113" customFormat="1" x14ac:dyDescent="0.25">
      <c r="A3586" s="163"/>
      <c r="B3586"/>
      <c r="C3586"/>
      <c r="D3586"/>
      <c r="E3586"/>
      <c r="F3586"/>
      <c r="G3586"/>
      <c r="H3586"/>
    </row>
    <row r="3587" spans="1:8" s="113" customFormat="1" x14ac:dyDescent="0.25">
      <c r="A3587" s="163"/>
      <c r="B3587"/>
      <c r="C3587"/>
      <c r="D3587"/>
      <c r="E3587"/>
      <c r="F3587"/>
      <c r="G3587"/>
      <c r="H3587"/>
    </row>
    <row r="3588" spans="1:8" s="113" customFormat="1" x14ac:dyDescent="0.25">
      <c r="A3588" s="163"/>
      <c r="B3588"/>
      <c r="C3588"/>
      <c r="D3588"/>
      <c r="E3588"/>
      <c r="F3588"/>
      <c r="G3588"/>
      <c r="H3588"/>
    </row>
    <row r="3589" spans="1:8" s="113" customFormat="1" x14ac:dyDescent="0.25">
      <c r="A3589" s="163"/>
      <c r="B3589"/>
      <c r="C3589"/>
      <c r="D3589"/>
      <c r="E3589"/>
      <c r="F3589"/>
      <c r="G3589"/>
      <c r="H3589"/>
    </row>
    <row r="3590" spans="1:8" s="113" customFormat="1" x14ac:dyDescent="0.25">
      <c r="A3590" s="163"/>
      <c r="B3590"/>
      <c r="C3590"/>
      <c r="D3590"/>
      <c r="E3590"/>
      <c r="F3590"/>
      <c r="G3590"/>
      <c r="H3590"/>
    </row>
    <row r="3591" spans="1:8" s="113" customFormat="1" x14ac:dyDescent="0.25">
      <c r="A3591" s="163"/>
      <c r="B3591"/>
      <c r="C3591"/>
      <c r="D3591"/>
      <c r="E3591"/>
      <c r="F3591"/>
      <c r="G3591"/>
      <c r="H3591"/>
    </row>
    <row r="3592" spans="1:8" s="113" customFormat="1" x14ac:dyDescent="0.25">
      <c r="A3592" s="163"/>
      <c r="B3592"/>
      <c r="C3592"/>
      <c r="D3592"/>
      <c r="E3592"/>
      <c r="F3592"/>
      <c r="G3592"/>
      <c r="H3592"/>
    </row>
    <row r="3593" spans="1:8" s="113" customFormat="1" x14ac:dyDescent="0.25">
      <c r="A3593" s="163"/>
      <c r="B3593"/>
      <c r="C3593"/>
      <c r="D3593"/>
      <c r="E3593"/>
      <c r="F3593"/>
      <c r="G3593"/>
      <c r="H3593"/>
    </row>
    <row r="3594" spans="1:8" s="113" customFormat="1" x14ac:dyDescent="0.25">
      <c r="A3594" s="163"/>
      <c r="B3594"/>
      <c r="C3594"/>
      <c r="D3594"/>
      <c r="E3594"/>
      <c r="F3594"/>
      <c r="G3594"/>
      <c r="H3594"/>
    </row>
    <row r="3595" spans="1:8" s="113" customFormat="1" x14ac:dyDescent="0.25">
      <c r="A3595" s="163"/>
      <c r="B3595"/>
      <c r="C3595"/>
      <c r="D3595"/>
      <c r="E3595"/>
      <c r="F3595"/>
      <c r="G3595"/>
      <c r="H3595"/>
    </row>
    <row r="3596" spans="1:8" s="113" customFormat="1" x14ac:dyDescent="0.25">
      <c r="A3596" s="163"/>
      <c r="B3596"/>
      <c r="C3596"/>
      <c r="D3596"/>
      <c r="E3596"/>
      <c r="F3596"/>
      <c r="G3596"/>
      <c r="H3596"/>
    </row>
    <row r="3597" spans="1:8" s="113" customFormat="1" x14ac:dyDescent="0.25">
      <c r="A3597" s="163"/>
      <c r="B3597"/>
      <c r="C3597"/>
      <c r="D3597"/>
      <c r="E3597"/>
      <c r="F3597"/>
      <c r="G3597"/>
      <c r="H3597"/>
    </row>
    <row r="3598" spans="1:8" s="113" customFormat="1" x14ac:dyDescent="0.25">
      <c r="A3598" s="163"/>
      <c r="B3598"/>
      <c r="C3598"/>
      <c r="D3598"/>
      <c r="E3598"/>
      <c r="F3598"/>
      <c r="G3598"/>
      <c r="H3598"/>
    </row>
    <row r="3599" spans="1:8" s="113" customFormat="1" x14ac:dyDescent="0.25">
      <c r="A3599" s="163"/>
      <c r="B3599"/>
      <c r="C3599"/>
      <c r="D3599"/>
      <c r="E3599"/>
      <c r="F3599"/>
      <c r="G3599"/>
      <c r="H3599"/>
    </row>
    <row r="3600" spans="1:8" s="113" customFormat="1" x14ac:dyDescent="0.25">
      <c r="A3600" s="163"/>
      <c r="B3600"/>
      <c r="C3600"/>
      <c r="D3600"/>
      <c r="E3600"/>
      <c r="F3600"/>
      <c r="G3600"/>
      <c r="H3600"/>
    </row>
    <row r="3601" spans="1:8" s="113" customFormat="1" x14ac:dyDescent="0.25">
      <c r="A3601" s="163"/>
      <c r="B3601"/>
      <c r="C3601"/>
      <c r="D3601"/>
      <c r="E3601"/>
      <c r="F3601"/>
      <c r="G3601"/>
      <c r="H3601"/>
    </row>
    <row r="3602" spans="1:8" s="113" customFormat="1" x14ac:dyDescent="0.25">
      <c r="A3602" s="163"/>
      <c r="B3602"/>
      <c r="C3602"/>
      <c r="D3602"/>
      <c r="E3602"/>
      <c r="F3602"/>
      <c r="G3602"/>
      <c r="H3602"/>
    </row>
    <row r="3603" spans="1:8" s="113" customFormat="1" x14ac:dyDescent="0.25">
      <c r="A3603" s="163"/>
      <c r="B3603"/>
      <c r="C3603"/>
      <c r="D3603"/>
      <c r="E3603"/>
      <c r="F3603"/>
      <c r="G3603"/>
      <c r="H3603"/>
    </row>
    <row r="3604" spans="1:8" s="113" customFormat="1" x14ac:dyDescent="0.25">
      <c r="A3604" s="163"/>
      <c r="B3604"/>
      <c r="C3604"/>
      <c r="D3604"/>
      <c r="E3604"/>
      <c r="F3604"/>
      <c r="G3604"/>
      <c r="H3604"/>
    </row>
    <row r="3605" spans="1:8" s="113" customFormat="1" x14ac:dyDescent="0.25">
      <c r="A3605" s="163"/>
      <c r="B3605"/>
      <c r="C3605"/>
      <c r="D3605"/>
      <c r="E3605"/>
      <c r="F3605"/>
      <c r="G3605"/>
      <c r="H3605"/>
    </row>
    <row r="3606" spans="1:8" s="113" customFormat="1" x14ac:dyDescent="0.25">
      <c r="A3606" s="163"/>
      <c r="B3606"/>
      <c r="C3606"/>
      <c r="D3606"/>
      <c r="E3606"/>
      <c r="F3606"/>
      <c r="G3606"/>
      <c r="H3606"/>
    </row>
    <row r="3607" spans="1:8" s="113" customFormat="1" x14ac:dyDescent="0.25">
      <c r="A3607" s="163"/>
      <c r="B3607"/>
      <c r="C3607"/>
      <c r="D3607"/>
      <c r="E3607"/>
      <c r="F3607"/>
      <c r="G3607"/>
      <c r="H3607"/>
    </row>
    <row r="3608" spans="1:8" s="113" customFormat="1" x14ac:dyDescent="0.25">
      <c r="A3608" s="163"/>
      <c r="B3608"/>
      <c r="C3608"/>
      <c r="D3608"/>
      <c r="E3608"/>
      <c r="F3608"/>
      <c r="G3608"/>
      <c r="H3608"/>
    </row>
    <row r="3609" spans="1:8" s="113" customFormat="1" x14ac:dyDescent="0.25">
      <c r="A3609" s="163"/>
      <c r="B3609"/>
      <c r="C3609"/>
      <c r="D3609"/>
      <c r="E3609"/>
      <c r="F3609"/>
      <c r="G3609"/>
      <c r="H3609"/>
    </row>
    <row r="3610" spans="1:8" s="113" customFormat="1" x14ac:dyDescent="0.25">
      <c r="A3610" s="163"/>
      <c r="B3610"/>
      <c r="C3610"/>
      <c r="D3610"/>
      <c r="E3610"/>
      <c r="F3610"/>
      <c r="G3610"/>
      <c r="H3610"/>
    </row>
    <row r="3611" spans="1:8" s="113" customFormat="1" x14ac:dyDescent="0.25">
      <c r="A3611" s="163"/>
      <c r="B3611"/>
      <c r="C3611"/>
      <c r="D3611"/>
      <c r="E3611"/>
      <c r="F3611"/>
      <c r="G3611"/>
      <c r="H3611"/>
    </row>
    <row r="3612" spans="1:8" s="113" customFormat="1" x14ac:dyDescent="0.25">
      <c r="A3612" s="163"/>
      <c r="B3612"/>
      <c r="C3612"/>
      <c r="D3612"/>
      <c r="E3612"/>
      <c r="F3612"/>
      <c r="G3612"/>
      <c r="H3612"/>
    </row>
    <row r="3613" spans="1:8" s="113" customFormat="1" x14ac:dyDescent="0.25">
      <c r="A3613" s="163"/>
      <c r="B3613"/>
      <c r="C3613"/>
      <c r="D3613"/>
      <c r="E3613"/>
      <c r="F3613"/>
      <c r="G3613"/>
      <c r="H3613"/>
    </row>
    <row r="3614" spans="1:8" s="113" customFormat="1" x14ac:dyDescent="0.25">
      <c r="A3614" s="163"/>
      <c r="B3614"/>
      <c r="C3614"/>
      <c r="D3614"/>
      <c r="E3614"/>
      <c r="F3614"/>
      <c r="G3614"/>
      <c r="H3614"/>
    </row>
    <row r="3615" spans="1:8" s="113" customFormat="1" x14ac:dyDescent="0.25">
      <c r="A3615" s="163"/>
      <c r="B3615"/>
      <c r="C3615"/>
      <c r="D3615"/>
      <c r="E3615"/>
      <c r="F3615"/>
      <c r="G3615"/>
      <c r="H3615"/>
    </row>
    <row r="3616" spans="1:8" s="113" customFormat="1" x14ac:dyDescent="0.25">
      <c r="A3616" s="163"/>
      <c r="B3616"/>
      <c r="C3616"/>
      <c r="D3616"/>
      <c r="E3616"/>
      <c r="F3616"/>
      <c r="G3616"/>
      <c r="H3616"/>
    </row>
    <row r="3617" spans="1:8" s="113" customFormat="1" x14ac:dyDescent="0.25">
      <c r="A3617" s="163"/>
      <c r="B3617"/>
      <c r="C3617"/>
      <c r="D3617"/>
      <c r="E3617"/>
      <c r="F3617"/>
      <c r="G3617"/>
      <c r="H3617"/>
    </row>
    <row r="3618" spans="1:8" s="113" customFormat="1" x14ac:dyDescent="0.25">
      <c r="A3618" s="163"/>
      <c r="B3618"/>
      <c r="C3618"/>
      <c r="D3618"/>
      <c r="E3618"/>
      <c r="F3618"/>
      <c r="G3618"/>
      <c r="H3618"/>
    </row>
    <row r="3619" spans="1:8" s="113" customFormat="1" x14ac:dyDescent="0.25">
      <c r="A3619" s="163"/>
      <c r="B3619"/>
      <c r="C3619"/>
      <c r="D3619"/>
      <c r="E3619"/>
      <c r="F3619"/>
      <c r="G3619"/>
      <c r="H3619"/>
    </row>
    <row r="3620" spans="1:8" s="194" customFormat="1" x14ac:dyDescent="0.25">
      <c r="A3620" s="163"/>
      <c r="B3620"/>
      <c r="C3620"/>
      <c r="D3620"/>
      <c r="E3620"/>
      <c r="F3620"/>
      <c r="G3620"/>
      <c r="H3620"/>
    </row>
    <row r="3621" spans="1:8" s="194" customFormat="1" x14ac:dyDescent="0.25">
      <c r="A3621" s="163"/>
      <c r="B3621"/>
      <c r="C3621"/>
      <c r="D3621"/>
      <c r="E3621"/>
      <c r="F3621"/>
      <c r="G3621"/>
      <c r="H3621"/>
    </row>
    <row r="3622" spans="1:8" s="194" customFormat="1" x14ac:dyDescent="0.25">
      <c r="A3622" s="163"/>
      <c r="B3622"/>
      <c r="C3622"/>
      <c r="D3622"/>
      <c r="E3622"/>
      <c r="F3622"/>
      <c r="G3622"/>
      <c r="H3622"/>
    </row>
    <row r="3623" spans="1:8" s="194" customFormat="1" x14ac:dyDescent="0.25">
      <c r="A3623" s="163"/>
      <c r="B3623"/>
      <c r="C3623"/>
      <c r="D3623"/>
      <c r="E3623"/>
      <c r="F3623"/>
      <c r="G3623"/>
      <c r="H3623"/>
    </row>
    <row r="3624" spans="1:8" s="194" customFormat="1" x14ac:dyDescent="0.25">
      <c r="A3624" s="163"/>
      <c r="B3624"/>
      <c r="C3624"/>
      <c r="D3624"/>
      <c r="E3624"/>
      <c r="F3624"/>
      <c r="G3624"/>
      <c r="H3624"/>
    </row>
    <row r="3625" spans="1:8" s="194" customFormat="1" x14ac:dyDescent="0.25">
      <c r="A3625" s="163"/>
      <c r="B3625"/>
      <c r="C3625"/>
      <c r="D3625"/>
      <c r="E3625"/>
      <c r="F3625"/>
      <c r="G3625"/>
      <c r="H3625"/>
    </row>
    <row r="3626" spans="1:8" s="194" customFormat="1" x14ac:dyDescent="0.25">
      <c r="A3626" s="163"/>
      <c r="B3626"/>
      <c r="C3626"/>
      <c r="D3626"/>
      <c r="E3626"/>
      <c r="F3626"/>
      <c r="G3626"/>
      <c r="H3626"/>
    </row>
    <row r="3627" spans="1:8" s="194" customFormat="1" x14ac:dyDescent="0.25">
      <c r="A3627" s="163"/>
      <c r="B3627"/>
      <c r="C3627"/>
      <c r="D3627"/>
      <c r="E3627"/>
      <c r="F3627"/>
      <c r="G3627"/>
      <c r="H3627"/>
    </row>
    <row r="3628" spans="1:8" s="194" customFormat="1" x14ac:dyDescent="0.25">
      <c r="A3628" s="163"/>
      <c r="B3628"/>
      <c r="C3628"/>
      <c r="D3628"/>
      <c r="E3628"/>
      <c r="F3628"/>
      <c r="G3628"/>
      <c r="H3628"/>
    </row>
    <row r="3629" spans="1:8" s="194" customFormat="1" x14ac:dyDescent="0.25">
      <c r="A3629" s="163"/>
      <c r="B3629"/>
      <c r="C3629"/>
      <c r="D3629"/>
      <c r="E3629"/>
      <c r="F3629"/>
      <c r="G3629"/>
      <c r="H3629"/>
    </row>
    <row r="3630" spans="1:8" s="194" customFormat="1" x14ac:dyDescent="0.25">
      <c r="A3630" s="163"/>
      <c r="B3630"/>
      <c r="C3630"/>
      <c r="D3630"/>
      <c r="E3630"/>
      <c r="F3630"/>
      <c r="G3630"/>
      <c r="H3630"/>
    </row>
    <row r="3631" spans="1:8" s="194" customFormat="1" x14ac:dyDescent="0.25">
      <c r="A3631" s="163"/>
      <c r="B3631"/>
      <c r="C3631"/>
      <c r="D3631"/>
      <c r="E3631"/>
      <c r="F3631"/>
      <c r="G3631"/>
      <c r="H3631"/>
    </row>
    <row r="3632" spans="1:8" s="194" customFormat="1" x14ac:dyDescent="0.25">
      <c r="A3632" s="163"/>
      <c r="B3632"/>
      <c r="C3632"/>
      <c r="D3632"/>
      <c r="E3632"/>
      <c r="F3632"/>
      <c r="G3632"/>
      <c r="H3632"/>
    </row>
    <row r="3633" spans="1:8" s="194" customFormat="1" x14ac:dyDescent="0.25">
      <c r="A3633" s="163"/>
      <c r="B3633"/>
      <c r="C3633"/>
      <c r="D3633"/>
      <c r="E3633"/>
      <c r="F3633"/>
      <c r="G3633"/>
      <c r="H3633"/>
    </row>
    <row r="3634" spans="1:8" s="194" customFormat="1" x14ac:dyDescent="0.25">
      <c r="A3634" s="163"/>
      <c r="B3634"/>
      <c r="C3634"/>
      <c r="D3634"/>
      <c r="E3634"/>
      <c r="F3634"/>
      <c r="G3634"/>
      <c r="H3634"/>
    </row>
    <row r="3635" spans="1:8" s="194" customFormat="1" x14ac:dyDescent="0.25">
      <c r="A3635" s="163"/>
      <c r="B3635"/>
      <c r="C3635"/>
      <c r="D3635"/>
      <c r="E3635"/>
      <c r="F3635"/>
      <c r="G3635"/>
      <c r="H3635"/>
    </row>
    <row r="3636" spans="1:8" s="194" customFormat="1" x14ac:dyDescent="0.25">
      <c r="A3636" s="163"/>
      <c r="B3636"/>
      <c r="C3636"/>
      <c r="D3636"/>
      <c r="E3636"/>
      <c r="F3636"/>
      <c r="G3636"/>
      <c r="H3636"/>
    </row>
    <row r="3637" spans="1:8" s="194" customFormat="1" x14ac:dyDescent="0.25">
      <c r="A3637" s="163"/>
      <c r="B3637"/>
      <c r="C3637"/>
      <c r="D3637"/>
      <c r="E3637"/>
      <c r="F3637"/>
      <c r="G3637"/>
      <c r="H3637"/>
    </row>
    <row r="3638" spans="1:8" s="194" customFormat="1" x14ac:dyDescent="0.25">
      <c r="A3638" s="163"/>
      <c r="B3638"/>
      <c r="C3638"/>
      <c r="D3638"/>
      <c r="E3638"/>
      <c r="F3638"/>
      <c r="G3638"/>
      <c r="H3638"/>
    </row>
    <row r="3642" spans="1:8" s="113" customFormat="1" x14ac:dyDescent="0.25">
      <c r="A3642" s="163"/>
      <c r="B3642"/>
      <c r="C3642"/>
      <c r="D3642"/>
      <c r="E3642"/>
      <c r="F3642"/>
      <c r="G3642"/>
      <c r="H3642"/>
    </row>
    <row r="3643" spans="1:8" s="113" customFormat="1" x14ac:dyDescent="0.25">
      <c r="A3643" s="163"/>
      <c r="B3643"/>
      <c r="C3643"/>
      <c r="D3643"/>
      <c r="E3643"/>
      <c r="F3643"/>
      <c r="G3643"/>
      <c r="H3643"/>
    </row>
    <row r="3644" spans="1:8" s="113" customFormat="1" x14ac:dyDescent="0.25">
      <c r="A3644" s="163"/>
      <c r="B3644"/>
      <c r="C3644"/>
      <c r="D3644"/>
      <c r="E3644"/>
      <c r="F3644"/>
      <c r="G3644"/>
      <c r="H3644"/>
    </row>
    <row r="3645" spans="1:8" s="113" customFormat="1" x14ac:dyDescent="0.25">
      <c r="A3645" s="163"/>
      <c r="B3645"/>
      <c r="C3645"/>
      <c r="D3645"/>
      <c r="E3645"/>
      <c r="F3645"/>
      <c r="G3645"/>
      <c r="H3645"/>
    </row>
    <row r="3646" spans="1:8" s="113" customFormat="1" x14ac:dyDescent="0.25">
      <c r="A3646" s="163"/>
      <c r="B3646"/>
      <c r="C3646"/>
      <c r="D3646"/>
      <c r="E3646"/>
      <c r="F3646"/>
      <c r="G3646"/>
      <c r="H3646"/>
    </row>
    <row r="3647" spans="1:8" s="113" customFormat="1" x14ac:dyDescent="0.25">
      <c r="A3647" s="163"/>
      <c r="B3647"/>
      <c r="C3647"/>
      <c r="D3647"/>
      <c r="E3647"/>
      <c r="F3647"/>
      <c r="G3647"/>
      <c r="H3647"/>
    </row>
    <row r="3648" spans="1:8" s="229" customFormat="1" x14ac:dyDescent="0.25">
      <c r="A3648" s="163"/>
      <c r="B3648"/>
      <c r="C3648"/>
      <c r="D3648"/>
      <c r="E3648"/>
      <c r="F3648"/>
      <c r="G3648"/>
      <c r="H3648"/>
    </row>
    <row r="3649" spans="1:8" s="194" customFormat="1" x14ac:dyDescent="0.25">
      <c r="A3649" s="163"/>
      <c r="B3649"/>
      <c r="C3649"/>
      <c r="D3649"/>
      <c r="E3649"/>
      <c r="F3649"/>
      <c r="G3649"/>
      <c r="H3649"/>
    </row>
    <row r="3650" spans="1:8" s="194" customFormat="1" x14ac:dyDescent="0.25">
      <c r="A3650" s="163"/>
      <c r="B3650"/>
      <c r="C3650"/>
      <c r="D3650"/>
      <c r="E3650"/>
      <c r="F3650"/>
      <c r="G3650"/>
      <c r="H3650"/>
    </row>
    <row r="3651" spans="1:8" s="194" customFormat="1" x14ac:dyDescent="0.25">
      <c r="A3651" s="163"/>
      <c r="B3651"/>
      <c r="C3651"/>
      <c r="D3651"/>
      <c r="E3651"/>
      <c r="F3651"/>
      <c r="G3651"/>
      <c r="H3651"/>
    </row>
    <row r="3652" spans="1:8" s="194" customFormat="1" x14ac:dyDescent="0.25">
      <c r="A3652" s="163"/>
      <c r="B3652"/>
      <c r="C3652"/>
      <c r="D3652"/>
      <c r="E3652"/>
      <c r="F3652"/>
      <c r="G3652"/>
      <c r="H3652"/>
    </row>
    <row r="3653" spans="1:8" s="194" customFormat="1" x14ac:dyDescent="0.25">
      <c r="A3653" s="163"/>
      <c r="B3653"/>
      <c r="C3653"/>
      <c r="D3653"/>
      <c r="E3653"/>
      <c r="F3653"/>
      <c r="G3653"/>
      <c r="H3653"/>
    </row>
    <row r="3654" spans="1:8" s="194" customFormat="1" x14ac:dyDescent="0.25">
      <c r="A3654" s="163"/>
      <c r="B3654"/>
      <c r="C3654"/>
      <c r="D3654"/>
      <c r="E3654"/>
      <c r="F3654"/>
      <c r="G3654"/>
      <c r="H3654"/>
    </row>
    <row r="3655" spans="1:8" s="194" customFormat="1" x14ac:dyDescent="0.25">
      <c r="A3655" s="163"/>
      <c r="B3655"/>
      <c r="C3655"/>
      <c r="D3655"/>
      <c r="E3655"/>
      <c r="F3655"/>
      <c r="G3655"/>
      <c r="H3655"/>
    </row>
    <row r="3656" spans="1:8" s="194" customFormat="1" x14ac:dyDescent="0.25">
      <c r="A3656" s="163"/>
      <c r="B3656"/>
      <c r="C3656"/>
      <c r="D3656"/>
      <c r="E3656"/>
      <c r="F3656"/>
      <c r="G3656"/>
      <c r="H3656"/>
    </row>
    <row r="3657" spans="1:8" s="194" customFormat="1" x14ac:dyDescent="0.25">
      <c r="A3657" s="163"/>
      <c r="B3657"/>
      <c r="C3657"/>
      <c r="D3657"/>
      <c r="E3657"/>
      <c r="F3657"/>
      <c r="G3657"/>
      <c r="H3657"/>
    </row>
    <row r="3658" spans="1:8" s="194" customFormat="1" x14ac:dyDescent="0.25">
      <c r="A3658" s="163"/>
      <c r="B3658"/>
      <c r="C3658"/>
      <c r="D3658"/>
      <c r="E3658"/>
      <c r="F3658"/>
      <c r="G3658"/>
      <c r="H3658"/>
    </row>
    <row r="3659" spans="1:8" s="194" customFormat="1" x14ac:dyDescent="0.25">
      <c r="A3659" s="163"/>
      <c r="B3659"/>
      <c r="C3659"/>
      <c r="D3659"/>
      <c r="E3659"/>
      <c r="F3659"/>
      <c r="G3659"/>
      <c r="H3659"/>
    </row>
    <row r="3660" spans="1:8" s="194" customFormat="1" x14ac:dyDescent="0.25">
      <c r="A3660" s="163"/>
      <c r="B3660"/>
      <c r="C3660"/>
      <c r="D3660"/>
      <c r="E3660"/>
      <c r="F3660"/>
      <c r="G3660"/>
      <c r="H3660"/>
    </row>
    <row r="3661" spans="1:8" s="194" customFormat="1" x14ac:dyDescent="0.25">
      <c r="A3661" s="163"/>
      <c r="B3661"/>
      <c r="C3661"/>
      <c r="D3661"/>
      <c r="E3661"/>
      <c r="F3661"/>
      <c r="G3661"/>
      <c r="H3661"/>
    </row>
    <row r="3662" spans="1:8" s="194" customFormat="1" x14ac:dyDescent="0.25">
      <c r="A3662" s="163"/>
      <c r="B3662"/>
      <c r="C3662"/>
      <c r="D3662"/>
      <c r="E3662"/>
      <c r="F3662"/>
      <c r="G3662"/>
      <c r="H3662"/>
    </row>
    <row r="3663" spans="1:8" s="194" customFormat="1" x14ac:dyDescent="0.25">
      <c r="A3663" s="163"/>
      <c r="B3663"/>
      <c r="C3663"/>
      <c r="D3663"/>
      <c r="E3663"/>
      <c r="F3663"/>
      <c r="G3663"/>
      <c r="H3663"/>
    </row>
    <row r="3664" spans="1:8" s="194" customFormat="1" x14ac:dyDescent="0.25">
      <c r="A3664" s="163"/>
      <c r="B3664"/>
      <c r="C3664"/>
      <c r="D3664"/>
      <c r="E3664"/>
      <c r="F3664"/>
      <c r="G3664"/>
      <c r="H3664"/>
    </row>
  </sheetData>
  <sortState ref="A7:F3508">
    <sortCondition ref="A7"/>
  </sortState>
  <pageMargins left="0.7" right="0.7" top="0.75" bottom="0.75" header="0.3" footer="0.3"/>
  <pageSetup paperSize="9" scale="6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0000"/>
    <pageSetUpPr fitToPage="1"/>
  </sheetPr>
  <dimension ref="A1:DC1048303"/>
  <sheetViews>
    <sheetView tabSelected="1" zoomScale="70" zoomScaleNormal="70" zoomScaleSheetLayoutView="5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A4" sqref="A4"/>
    </sheetView>
  </sheetViews>
  <sheetFormatPr defaultRowHeight="15" x14ac:dyDescent="0.25"/>
  <cols>
    <col min="1" max="1" width="8.85546875" customWidth="1"/>
    <col min="2" max="2" width="12.140625" customWidth="1"/>
    <col min="3" max="3" width="30.5703125" customWidth="1"/>
    <col min="4" max="4" width="12.28515625" customWidth="1"/>
    <col min="5" max="5" width="11" customWidth="1"/>
    <col min="6" max="6" width="11.5703125" customWidth="1"/>
    <col min="7" max="7" width="10.7109375" customWidth="1"/>
    <col min="8" max="8" width="13.28515625" customWidth="1"/>
    <col min="9" max="9" width="31.28515625" style="68" customWidth="1"/>
    <col min="10" max="10" width="48.28515625" style="71" customWidth="1"/>
    <col min="11" max="14" width="14.140625" customWidth="1"/>
    <col min="15" max="15" width="18.28515625" customWidth="1"/>
    <col min="16" max="16" width="19.28515625" customWidth="1"/>
    <col min="17" max="17" width="19.42578125" style="121" customWidth="1"/>
    <col min="18" max="19" width="13.42578125" customWidth="1"/>
    <col min="20" max="20" width="13.7109375" style="229" customWidth="1"/>
    <col min="21" max="21" width="13.42578125" style="229" customWidth="1"/>
    <col min="22" max="22" width="13.140625" style="229" customWidth="1"/>
    <col min="23" max="23" width="15" style="229" customWidth="1"/>
    <col min="24" max="24" width="16.42578125" style="229" customWidth="1"/>
    <col min="25" max="25" width="15.140625" style="136" customWidth="1"/>
    <col min="26" max="26" width="16.28515625" style="166" customWidth="1"/>
    <col min="27" max="27" width="25.42578125" style="166" customWidth="1"/>
    <col min="28" max="28" width="36.42578125" style="71" customWidth="1"/>
    <col min="29" max="29" width="14.42578125" customWidth="1"/>
    <col min="30" max="30" width="19.5703125" customWidth="1"/>
    <col min="31" max="36" width="12" customWidth="1"/>
  </cols>
  <sheetData>
    <row r="1" spans="1:107" x14ac:dyDescent="0.25">
      <c r="A1" s="26" t="s">
        <v>3761</v>
      </c>
      <c r="B1" s="24"/>
      <c r="C1" s="10"/>
      <c r="D1" s="11"/>
      <c r="E1" s="12"/>
      <c r="F1" s="13"/>
      <c r="G1" s="13"/>
      <c r="H1" s="14"/>
      <c r="I1" s="30"/>
      <c r="J1" s="70"/>
      <c r="K1" s="15"/>
      <c r="L1" s="16"/>
      <c r="M1" s="1"/>
      <c r="N1" s="6"/>
      <c r="O1" s="6"/>
      <c r="P1" s="6"/>
      <c r="Q1" s="29"/>
      <c r="R1" s="6"/>
      <c r="S1" s="6"/>
      <c r="T1" s="29"/>
      <c r="U1" s="29"/>
      <c r="V1" s="29"/>
      <c r="W1" s="29"/>
      <c r="X1" s="29"/>
      <c r="Y1" s="31"/>
      <c r="Z1" s="31"/>
      <c r="AA1" s="31"/>
      <c r="AB1" s="69"/>
      <c r="AC1" s="6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</row>
    <row r="2" spans="1:107" ht="15.75" thickBot="1" x14ac:dyDescent="0.3">
      <c r="A2" s="26"/>
      <c r="B2" s="24"/>
      <c r="C2" s="2"/>
      <c r="D2" s="11"/>
      <c r="E2" s="12"/>
      <c r="F2" s="13"/>
      <c r="G2" s="13"/>
      <c r="H2" s="14"/>
      <c r="I2" s="30"/>
      <c r="J2" s="70"/>
      <c r="K2" s="15"/>
      <c r="L2" s="16"/>
      <c r="M2" s="1"/>
      <c r="N2" s="6"/>
      <c r="O2" s="6"/>
      <c r="P2" s="6"/>
      <c r="Q2" s="29"/>
      <c r="R2" s="6"/>
      <c r="S2" s="6"/>
      <c r="T2" s="29"/>
      <c r="U2" s="29"/>
      <c r="V2" s="29"/>
      <c r="W2" s="29"/>
      <c r="X2" s="29"/>
      <c r="Y2" s="31"/>
      <c r="Z2" s="31"/>
      <c r="AA2" s="31"/>
      <c r="AB2" s="69"/>
      <c r="AC2" s="6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</row>
    <row r="3" spans="1:107" ht="73.900000000000006" customHeight="1" x14ac:dyDescent="0.25">
      <c r="A3" s="96" t="s">
        <v>1060</v>
      </c>
      <c r="B3" s="97" t="s">
        <v>1090</v>
      </c>
      <c r="C3" s="98" t="s">
        <v>1</v>
      </c>
      <c r="D3" s="692" t="s">
        <v>1061</v>
      </c>
      <c r="E3" s="693"/>
      <c r="F3" s="99" t="s">
        <v>1062</v>
      </c>
      <c r="G3" s="100"/>
      <c r="H3" s="101" t="s">
        <v>1063</v>
      </c>
      <c r="I3" s="102" t="s">
        <v>1064</v>
      </c>
      <c r="J3" s="103" t="s">
        <v>1065</v>
      </c>
      <c r="K3" s="105" t="s">
        <v>1066</v>
      </c>
      <c r="L3" s="105" t="s">
        <v>1067</v>
      </c>
      <c r="M3" s="105" t="s">
        <v>1123</v>
      </c>
      <c r="N3" s="105" t="s">
        <v>1122</v>
      </c>
      <c r="O3" s="105" t="s">
        <v>1237</v>
      </c>
      <c r="P3" s="106" t="s">
        <v>1108</v>
      </c>
      <c r="Q3" s="105" t="s">
        <v>1238</v>
      </c>
      <c r="R3" s="107" t="s">
        <v>3758</v>
      </c>
      <c r="S3" s="107" t="s">
        <v>3759</v>
      </c>
      <c r="T3" s="108" t="s">
        <v>3512</v>
      </c>
      <c r="U3" s="104" t="s">
        <v>3650</v>
      </c>
      <c r="V3" s="104" t="s">
        <v>2844</v>
      </c>
      <c r="W3" s="164" t="s">
        <v>2619</v>
      </c>
      <c r="X3" s="108" t="s">
        <v>2616</v>
      </c>
      <c r="Y3" s="167" t="s">
        <v>2618</v>
      </c>
      <c r="Z3" s="167" t="s">
        <v>2617</v>
      </c>
      <c r="AA3" s="109" t="s">
        <v>1068</v>
      </c>
      <c r="AB3" s="110" t="s">
        <v>1069</v>
      </c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7" s="92" customFormat="1" ht="53.25" customHeight="1" x14ac:dyDescent="0.2">
      <c r="A4" s="400">
        <v>1</v>
      </c>
      <c r="B4" s="400">
        <v>213458</v>
      </c>
      <c r="C4" s="590" t="str">
        <f>VLOOKUP(B4,база!A:F,2,FALSE)</f>
        <v>Колбай Анастасия Александровна</v>
      </c>
      <c r="D4" s="598">
        <v>45284</v>
      </c>
      <c r="E4" s="598">
        <v>45290</v>
      </c>
      <c r="F4" s="591">
        <f t="shared" ref="F4:F34" si="0">E4-D4+1</f>
        <v>7</v>
      </c>
      <c r="G4" s="591">
        <v>1300</v>
      </c>
      <c r="H4" s="591">
        <f t="shared" ref="H4:H34" si="1">G4*F4</f>
        <v>9100</v>
      </c>
      <c r="I4" s="600" t="s">
        <v>3264</v>
      </c>
      <c r="J4" s="600" t="s">
        <v>3725</v>
      </c>
      <c r="K4" s="601"/>
      <c r="L4" s="601"/>
      <c r="M4" s="601"/>
      <c r="N4" s="601"/>
      <c r="O4" s="535"/>
      <c r="P4" s="535"/>
      <c r="Q4" s="535"/>
      <c r="R4" s="535"/>
      <c r="S4" s="535"/>
      <c r="T4" s="535"/>
      <c r="U4" s="535"/>
      <c r="V4" s="535"/>
      <c r="W4" s="535"/>
      <c r="X4" s="403"/>
      <c r="Y4" s="403"/>
      <c r="Z4" s="403"/>
      <c r="AA4" s="602"/>
      <c r="AB4" s="599">
        <f t="shared" ref="AB4:AB34" si="2">SUM(O4:AA4)</f>
        <v>0</v>
      </c>
      <c r="AC4" s="201"/>
      <c r="AD4" s="42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</row>
    <row r="5" spans="1:107" s="92" customFormat="1" ht="53.25" customHeight="1" x14ac:dyDescent="0.2">
      <c r="A5" s="400">
        <v>2</v>
      </c>
      <c r="B5" s="400">
        <v>2172</v>
      </c>
      <c r="C5" s="590" t="str">
        <f>VLOOKUP(B5,база!A:F,2,FALSE)</f>
        <v>Чалей Иван Вацлавович</v>
      </c>
      <c r="D5" s="598">
        <v>45278</v>
      </c>
      <c r="E5" s="598">
        <v>45283</v>
      </c>
      <c r="F5" s="591">
        <f t="shared" si="0"/>
        <v>6</v>
      </c>
      <c r="G5" s="591">
        <v>1300</v>
      </c>
      <c r="H5" s="591">
        <f t="shared" si="1"/>
        <v>7800</v>
      </c>
      <c r="I5" s="600" t="s">
        <v>3537</v>
      </c>
      <c r="J5" s="600" t="s">
        <v>3693</v>
      </c>
      <c r="K5" s="601"/>
      <c r="L5" s="601"/>
      <c r="M5" s="601"/>
      <c r="N5" s="601"/>
      <c r="O5" s="535"/>
      <c r="P5" s="535"/>
      <c r="Q5" s="535"/>
      <c r="R5" s="535"/>
      <c r="S5" s="535"/>
      <c r="T5" s="535"/>
      <c r="U5" s="535"/>
      <c r="V5" s="535"/>
      <c r="W5" s="535"/>
      <c r="X5" s="403"/>
      <c r="Y5" s="403"/>
      <c r="Z5" s="403"/>
      <c r="AA5" s="602"/>
      <c r="AB5" s="599">
        <f t="shared" si="2"/>
        <v>0</v>
      </c>
      <c r="AC5" s="201"/>
      <c r="AD5" s="42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</row>
    <row r="6" spans="1:107" s="92" customFormat="1" ht="53.25" customHeight="1" x14ac:dyDescent="0.2">
      <c r="A6" s="400">
        <v>3</v>
      </c>
      <c r="B6" s="400">
        <v>190736</v>
      </c>
      <c r="C6" s="590" t="str">
        <f>VLOOKUP(B6,база!A:F,2,FALSE)</f>
        <v>Белугин Дмитрий Анатольевич</v>
      </c>
      <c r="D6" s="598">
        <v>45272</v>
      </c>
      <c r="E6" s="598">
        <v>45275</v>
      </c>
      <c r="F6" s="591">
        <f t="shared" si="0"/>
        <v>4</v>
      </c>
      <c r="G6" s="591">
        <v>1300</v>
      </c>
      <c r="H6" s="591">
        <f t="shared" si="1"/>
        <v>5200</v>
      </c>
      <c r="I6" s="600" t="s">
        <v>3726</v>
      </c>
      <c r="J6" s="600" t="s">
        <v>3727</v>
      </c>
      <c r="K6" s="601"/>
      <c r="L6" s="601"/>
      <c r="M6" s="601"/>
      <c r="N6" s="601"/>
      <c r="O6" s="535"/>
      <c r="P6" s="535"/>
      <c r="Q6" s="535"/>
      <c r="R6" s="535"/>
      <c r="S6" s="535"/>
      <c r="T6" s="535"/>
      <c r="U6" s="535"/>
      <c r="V6" s="535"/>
      <c r="W6" s="535"/>
      <c r="X6" s="403"/>
      <c r="Y6" s="403"/>
      <c r="Z6" s="403"/>
      <c r="AA6" s="602"/>
      <c r="AB6" s="599">
        <f t="shared" si="2"/>
        <v>0</v>
      </c>
      <c r="AC6" s="201"/>
      <c r="AD6" s="42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</row>
    <row r="7" spans="1:107" s="92" customFormat="1" ht="53.25" customHeight="1" x14ac:dyDescent="0.2">
      <c r="A7" s="400">
        <v>4</v>
      </c>
      <c r="B7" s="400">
        <v>2459</v>
      </c>
      <c r="C7" s="590" t="str">
        <f>VLOOKUP(B7,база!A:F,2,FALSE)</f>
        <v>Панов Игорь Леонидович</v>
      </c>
      <c r="D7" s="598">
        <v>45285</v>
      </c>
      <c r="E7" s="598">
        <v>45286</v>
      </c>
      <c r="F7" s="591">
        <f t="shared" si="0"/>
        <v>2</v>
      </c>
      <c r="G7" s="591">
        <v>1300</v>
      </c>
      <c r="H7" s="591">
        <f t="shared" si="1"/>
        <v>2600</v>
      </c>
      <c r="I7" s="600" t="s">
        <v>1070</v>
      </c>
      <c r="J7" s="600" t="s">
        <v>3728</v>
      </c>
      <c r="K7" s="601"/>
      <c r="L7" s="601"/>
      <c r="M7" s="601"/>
      <c r="N7" s="601"/>
      <c r="O7" s="535"/>
      <c r="P7" s="535"/>
      <c r="Q7" s="535"/>
      <c r="R7" s="535"/>
      <c r="S7" s="535"/>
      <c r="T7" s="535"/>
      <c r="U7" s="535"/>
      <c r="V7" s="535"/>
      <c r="W7" s="535"/>
      <c r="X7" s="403"/>
      <c r="Y7" s="403"/>
      <c r="Z7" s="403"/>
      <c r="AA7" s="602"/>
      <c r="AB7" s="599">
        <f t="shared" si="2"/>
        <v>0</v>
      </c>
      <c r="AC7" s="201"/>
      <c r="AD7" s="42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</row>
    <row r="8" spans="1:107" s="92" customFormat="1" ht="53.25" customHeight="1" x14ac:dyDescent="0.2">
      <c r="A8" s="400">
        <v>5</v>
      </c>
      <c r="B8" s="400">
        <v>545</v>
      </c>
      <c r="C8" s="590" t="str">
        <f>VLOOKUP(B8,база!A:F,2,FALSE)</f>
        <v>Малышкина Любовь Альфредовна</v>
      </c>
      <c r="D8" s="598">
        <v>45284</v>
      </c>
      <c r="E8" s="598">
        <v>45290</v>
      </c>
      <c r="F8" s="591">
        <f t="shared" si="0"/>
        <v>7</v>
      </c>
      <c r="G8" s="591">
        <v>1300</v>
      </c>
      <c r="H8" s="591">
        <f t="shared" si="1"/>
        <v>9100</v>
      </c>
      <c r="I8" s="600" t="s">
        <v>3264</v>
      </c>
      <c r="J8" s="600" t="s">
        <v>3725</v>
      </c>
      <c r="K8" s="601"/>
      <c r="L8" s="601"/>
      <c r="M8" s="601"/>
      <c r="N8" s="601"/>
      <c r="O8" s="535"/>
      <c r="P8" s="535"/>
      <c r="Q8" s="535"/>
      <c r="R8" s="535"/>
      <c r="S8" s="535"/>
      <c r="T8" s="535"/>
      <c r="U8" s="535"/>
      <c r="V8" s="535"/>
      <c r="W8" s="535"/>
      <c r="X8" s="403"/>
      <c r="Y8" s="403"/>
      <c r="Z8" s="403"/>
      <c r="AA8" s="602"/>
      <c r="AB8" s="599">
        <f t="shared" si="2"/>
        <v>0</v>
      </c>
      <c r="AC8" s="201"/>
      <c r="AD8" s="42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</row>
    <row r="9" spans="1:107" s="92" customFormat="1" ht="53.25" customHeight="1" x14ac:dyDescent="0.2">
      <c r="A9" s="400">
        <v>6</v>
      </c>
      <c r="B9" s="400">
        <v>2071</v>
      </c>
      <c r="C9" s="590" t="str">
        <f>VLOOKUP(B9,база!A:F,2,FALSE)</f>
        <v>Искорцева Марина Ивановна</v>
      </c>
      <c r="D9" s="598">
        <v>45277</v>
      </c>
      <c r="E9" s="598">
        <v>45289</v>
      </c>
      <c r="F9" s="591">
        <f t="shared" si="0"/>
        <v>13</v>
      </c>
      <c r="G9" s="591">
        <v>1300</v>
      </c>
      <c r="H9" s="591">
        <f t="shared" si="1"/>
        <v>16900</v>
      </c>
      <c r="I9" s="600" t="s">
        <v>3264</v>
      </c>
      <c r="J9" s="600" t="s">
        <v>3729</v>
      </c>
      <c r="K9" s="601"/>
      <c r="L9" s="601"/>
      <c r="M9" s="601"/>
      <c r="N9" s="601"/>
      <c r="O9" s="535"/>
      <c r="P9" s="535"/>
      <c r="Q9" s="535"/>
      <c r="R9" s="535"/>
      <c r="S9" s="535"/>
      <c r="T9" s="535"/>
      <c r="U9" s="535"/>
      <c r="V9" s="535"/>
      <c r="W9" s="535"/>
      <c r="X9" s="403"/>
      <c r="Y9" s="403"/>
      <c r="Z9" s="403"/>
      <c r="AA9" s="602"/>
      <c r="AB9" s="599">
        <f t="shared" si="2"/>
        <v>0</v>
      </c>
      <c r="AC9" s="201"/>
      <c r="AD9" s="42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</row>
    <row r="10" spans="1:107" s="92" customFormat="1" ht="53.25" customHeight="1" x14ac:dyDescent="0.2">
      <c r="A10" s="400">
        <v>7</v>
      </c>
      <c r="B10" s="400">
        <v>25430</v>
      </c>
      <c r="C10" s="590" t="str">
        <f>VLOOKUP(B10,база!A:F,2,FALSE)</f>
        <v>Овчаренко Андрей Владимирович</v>
      </c>
      <c r="D10" s="598">
        <v>45301</v>
      </c>
      <c r="E10" s="598">
        <v>45303</v>
      </c>
      <c r="F10" s="591">
        <f t="shared" si="0"/>
        <v>3</v>
      </c>
      <c r="G10" s="591">
        <v>1300</v>
      </c>
      <c r="H10" s="591">
        <f t="shared" si="1"/>
        <v>3900</v>
      </c>
      <c r="I10" s="600" t="s">
        <v>3699</v>
      </c>
      <c r="J10" s="600" t="s">
        <v>3700</v>
      </c>
      <c r="K10" s="601"/>
      <c r="L10" s="601"/>
      <c r="M10" s="601"/>
      <c r="N10" s="601"/>
      <c r="O10" s="535"/>
      <c r="P10" s="535"/>
      <c r="Q10" s="535"/>
      <c r="R10" s="535"/>
      <c r="S10" s="535"/>
      <c r="T10" s="535"/>
      <c r="U10" s="535"/>
      <c r="V10" s="535"/>
      <c r="W10" s="535"/>
      <c r="X10" s="403"/>
      <c r="Y10" s="403"/>
      <c r="Z10" s="403"/>
      <c r="AA10" s="602"/>
      <c r="AB10" s="599">
        <f t="shared" si="2"/>
        <v>0</v>
      </c>
      <c r="AC10" s="201"/>
      <c r="AD10" s="42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</row>
    <row r="11" spans="1:107" s="92" customFormat="1" ht="53.25" customHeight="1" x14ac:dyDescent="0.2">
      <c r="A11" s="400">
        <v>8</v>
      </c>
      <c r="B11" s="400">
        <v>590</v>
      </c>
      <c r="C11" s="590" t="str">
        <f>VLOOKUP(B11,база!A:F,2,FALSE)</f>
        <v>Маглеванная Нина Юрьевна</v>
      </c>
      <c r="D11" s="598">
        <v>45305</v>
      </c>
      <c r="E11" s="598">
        <v>45306</v>
      </c>
      <c r="F11" s="591">
        <f t="shared" si="0"/>
        <v>2</v>
      </c>
      <c r="G11" s="591">
        <v>1300</v>
      </c>
      <c r="H11" s="591">
        <f t="shared" si="1"/>
        <v>2600</v>
      </c>
      <c r="I11" s="600" t="s">
        <v>1070</v>
      </c>
      <c r="J11" s="600" t="s">
        <v>3244</v>
      </c>
      <c r="K11" s="601"/>
      <c r="L11" s="601"/>
      <c r="M11" s="601"/>
      <c r="N11" s="601"/>
      <c r="O11" s="535"/>
      <c r="P11" s="535"/>
      <c r="Q11" s="535"/>
      <c r="R11" s="535"/>
      <c r="S11" s="535"/>
      <c r="T11" s="535"/>
      <c r="U11" s="535"/>
      <c r="V11" s="535"/>
      <c r="W11" s="535"/>
      <c r="X11" s="403"/>
      <c r="Y11" s="403"/>
      <c r="Z11" s="403"/>
      <c r="AA11" s="602"/>
      <c r="AB11" s="599">
        <f t="shared" si="2"/>
        <v>0</v>
      </c>
      <c r="AC11" s="201"/>
      <c r="AD11" s="42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</row>
    <row r="12" spans="1:107" s="92" customFormat="1" ht="53.25" customHeight="1" x14ac:dyDescent="0.2">
      <c r="A12" s="400">
        <v>9</v>
      </c>
      <c r="B12" s="400">
        <v>2672</v>
      </c>
      <c r="C12" s="590" t="str">
        <f>VLOOKUP(B12,база!A:F,2,FALSE)</f>
        <v>Чижиков Леонид Борисович</v>
      </c>
      <c r="D12" s="598">
        <v>45279</v>
      </c>
      <c r="E12" s="598">
        <v>45282</v>
      </c>
      <c r="F12" s="591">
        <f t="shared" si="0"/>
        <v>4</v>
      </c>
      <c r="G12" s="591">
        <v>1300</v>
      </c>
      <c r="H12" s="591">
        <f t="shared" si="1"/>
        <v>5200</v>
      </c>
      <c r="I12" s="600" t="s">
        <v>3537</v>
      </c>
      <c r="J12" s="600" t="s">
        <v>3693</v>
      </c>
      <c r="K12" s="601"/>
      <c r="L12" s="601"/>
      <c r="M12" s="601"/>
      <c r="N12" s="601"/>
      <c r="O12" s="535"/>
      <c r="P12" s="535"/>
      <c r="Q12" s="535"/>
      <c r="R12" s="535"/>
      <c r="S12" s="535"/>
      <c r="T12" s="535"/>
      <c r="U12" s="535"/>
      <c r="V12" s="535"/>
      <c r="W12" s="535"/>
      <c r="X12" s="403"/>
      <c r="Y12" s="403"/>
      <c r="Z12" s="403"/>
      <c r="AA12" s="602"/>
      <c r="AB12" s="599">
        <f t="shared" si="2"/>
        <v>0</v>
      </c>
      <c r="AC12" s="201"/>
      <c r="AD12" s="42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</row>
    <row r="13" spans="1:107" s="92" customFormat="1" ht="53.25" customHeight="1" x14ac:dyDescent="0.2">
      <c r="A13" s="400">
        <v>10</v>
      </c>
      <c r="B13" s="400">
        <v>69629</v>
      </c>
      <c r="C13" s="590" t="str">
        <f>VLOOKUP(B13,база!A:F,2,FALSE)</f>
        <v>Рахманин Алексей Николаевич</v>
      </c>
      <c r="D13" s="598">
        <v>45298</v>
      </c>
      <c r="E13" s="598">
        <v>45299</v>
      </c>
      <c r="F13" s="591">
        <f t="shared" si="0"/>
        <v>2</v>
      </c>
      <c r="G13" s="591">
        <v>1300</v>
      </c>
      <c r="H13" s="591">
        <f t="shared" si="1"/>
        <v>2600</v>
      </c>
      <c r="I13" s="600" t="s">
        <v>3691</v>
      </c>
      <c r="J13" s="600" t="s">
        <v>3692</v>
      </c>
      <c r="K13" s="601"/>
      <c r="L13" s="601"/>
      <c r="M13" s="601"/>
      <c r="N13" s="601"/>
      <c r="O13" s="535"/>
      <c r="P13" s="535"/>
      <c r="Q13" s="535"/>
      <c r="R13" s="535"/>
      <c r="S13" s="535"/>
      <c r="T13" s="535"/>
      <c r="U13" s="535"/>
      <c r="V13" s="535"/>
      <c r="W13" s="535"/>
      <c r="X13" s="403"/>
      <c r="Y13" s="403"/>
      <c r="Z13" s="403"/>
      <c r="AA13" s="602"/>
      <c r="AB13" s="599">
        <f t="shared" si="2"/>
        <v>0</v>
      </c>
      <c r="AC13" s="201"/>
      <c r="AD13" s="42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</row>
    <row r="14" spans="1:107" s="386" customFormat="1" ht="53.25" customHeight="1" x14ac:dyDescent="0.2">
      <c r="A14" s="400">
        <v>11</v>
      </c>
      <c r="B14" s="400">
        <v>2129</v>
      </c>
      <c r="C14" s="590" t="str">
        <f>VLOOKUP(B14,база!A:F,2,FALSE)</f>
        <v>Лавренчук Татьяна Сергеевна</v>
      </c>
      <c r="D14" s="598">
        <v>45284</v>
      </c>
      <c r="E14" s="598">
        <v>45290</v>
      </c>
      <c r="F14" s="591">
        <f t="shared" si="0"/>
        <v>7</v>
      </c>
      <c r="G14" s="591">
        <v>1300</v>
      </c>
      <c r="H14" s="591">
        <f t="shared" si="1"/>
        <v>9100</v>
      </c>
      <c r="I14" s="600" t="s">
        <v>3264</v>
      </c>
      <c r="J14" s="600" t="s">
        <v>3725</v>
      </c>
      <c r="K14" s="601"/>
      <c r="L14" s="601"/>
      <c r="M14" s="601"/>
      <c r="N14" s="601"/>
      <c r="O14" s="535"/>
      <c r="P14" s="535"/>
      <c r="Q14" s="535"/>
      <c r="R14" s="535"/>
      <c r="S14" s="535"/>
      <c r="T14" s="535"/>
      <c r="U14" s="535"/>
      <c r="V14" s="535"/>
      <c r="W14" s="535"/>
      <c r="X14" s="403"/>
      <c r="Y14" s="403"/>
      <c r="Z14" s="403"/>
      <c r="AA14" s="602"/>
      <c r="AB14" s="599">
        <f t="shared" si="2"/>
        <v>0</v>
      </c>
      <c r="AC14" s="39"/>
      <c r="AD14" s="42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</row>
    <row r="15" spans="1:107" s="386" customFormat="1" ht="53.25" customHeight="1" x14ac:dyDescent="0.2">
      <c r="A15" s="400">
        <v>12</v>
      </c>
      <c r="B15" s="400">
        <v>76377</v>
      </c>
      <c r="C15" s="590" t="str">
        <f>VLOOKUP(B15,база!A:F,2,FALSE)</f>
        <v>Гареев Филус Фанусович</v>
      </c>
      <c r="D15" s="598">
        <v>45300</v>
      </c>
      <c r="E15" s="598">
        <v>45303</v>
      </c>
      <c r="F15" s="591">
        <f t="shared" si="0"/>
        <v>4</v>
      </c>
      <c r="G15" s="591">
        <v>1300</v>
      </c>
      <c r="H15" s="591">
        <f t="shared" si="1"/>
        <v>5200</v>
      </c>
      <c r="I15" s="600" t="s">
        <v>3730</v>
      </c>
      <c r="J15" s="600" t="s">
        <v>3731</v>
      </c>
      <c r="K15" s="601"/>
      <c r="L15" s="601"/>
      <c r="M15" s="601"/>
      <c r="N15" s="601"/>
      <c r="O15" s="535"/>
      <c r="P15" s="535"/>
      <c r="Q15" s="535"/>
      <c r="R15" s="535"/>
      <c r="S15" s="535"/>
      <c r="T15" s="535"/>
      <c r="U15" s="535"/>
      <c r="V15" s="535"/>
      <c r="W15" s="535"/>
      <c r="X15" s="403"/>
      <c r="Y15" s="403"/>
      <c r="Z15" s="403"/>
      <c r="AA15" s="602"/>
      <c r="AB15" s="599">
        <f t="shared" si="2"/>
        <v>0</v>
      </c>
      <c r="AC15" s="39"/>
      <c r="AD15" s="42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</row>
    <row r="16" spans="1:107" s="92" customFormat="1" ht="53.25" customHeight="1" x14ac:dyDescent="0.2">
      <c r="A16" s="400">
        <v>13</v>
      </c>
      <c r="B16" s="400">
        <v>129747</v>
      </c>
      <c r="C16" s="590" t="str">
        <f>VLOOKUP(B16,база!A:F,2,FALSE)</f>
        <v>Музафарова Надежда Андреевна</v>
      </c>
      <c r="D16" s="598">
        <v>45300</v>
      </c>
      <c r="E16" s="598">
        <v>45307</v>
      </c>
      <c r="F16" s="591">
        <f t="shared" si="0"/>
        <v>8</v>
      </c>
      <c r="G16" s="591">
        <v>1300</v>
      </c>
      <c r="H16" s="591">
        <f t="shared" si="1"/>
        <v>10400</v>
      </c>
      <c r="I16" s="600" t="s">
        <v>3688</v>
      </c>
      <c r="J16" s="600" t="s">
        <v>3689</v>
      </c>
      <c r="K16" s="601"/>
      <c r="L16" s="601"/>
      <c r="M16" s="601"/>
      <c r="N16" s="601"/>
      <c r="O16" s="535"/>
      <c r="P16" s="535"/>
      <c r="Q16" s="535"/>
      <c r="R16" s="535"/>
      <c r="S16" s="535"/>
      <c r="T16" s="535"/>
      <c r="U16" s="535"/>
      <c r="V16" s="535"/>
      <c r="W16" s="535"/>
      <c r="X16" s="403"/>
      <c r="Y16" s="403"/>
      <c r="Z16" s="403"/>
      <c r="AA16" s="602"/>
      <c r="AB16" s="599">
        <f t="shared" si="2"/>
        <v>0</v>
      </c>
      <c r="AC16" s="201"/>
      <c r="AD16" s="42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</row>
    <row r="17" spans="1:106" s="92" customFormat="1" ht="53.25" customHeight="1" x14ac:dyDescent="0.2">
      <c r="A17" s="400">
        <v>14</v>
      </c>
      <c r="B17" s="400">
        <v>19714</v>
      </c>
      <c r="C17" s="590" t="str">
        <f>VLOOKUP(B17,база!A:F,2,FALSE)</f>
        <v>Идрисов Раиль Инилович</v>
      </c>
      <c r="D17" s="598">
        <v>45301</v>
      </c>
      <c r="E17" s="598">
        <v>45303</v>
      </c>
      <c r="F17" s="591">
        <f t="shared" si="0"/>
        <v>3</v>
      </c>
      <c r="G17" s="591">
        <v>1300</v>
      </c>
      <c r="H17" s="591">
        <f t="shared" si="1"/>
        <v>3900</v>
      </c>
      <c r="I17" s="600" t="s">
        <v>3276</v>
      </c>
      <c r="J17" s="600" t="s">
        <v>3732</v>
      </c>
      <c r="K17" s="601"/>
      <c r="L17" s="601"/>
      <c r="M17" s="601"/>
      <c r="N17" s="601"/>
      <c r="O17" s="535"/>
      <c r="P17" s="535"/>
      <c r="Q17" s="535"/>
      <c r="R17" s="535"/>
      <c r="S17" s="535"/>
      <c r="T17" s="535"/>
      <c r="U17" s="535"/>
      <c r="V17" s="535"/>
      <c r="W17" s="535"/>
      <c r="X17" s="403"/>
      <c r="Y17" s="403"/>
      <c r="Z17" s="403"/>
      <c r="AA17" s="602"/>
      <c r="AB17" s="599">
        <f t="shared" si="2"/>
        <v>0</v>
      </c>
      <c r="AC17" s="201"/>
      <c r="AD17" s="42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</row>
    <row r="18" spans="1:106" s="92" customFormat="1" ht="53.25" customHeight="1" x14ac:dyDescent="0.2">
      <c r="A18" s="400">
        <v>16</v>
      </c>
      <c r="B18" s="400">
        <v>2673</v>
      </c>
      <c r="C18" s="590" t="str">
        <f>VLOOKUP(B18,база!A:F,2,FALSE)</f>
        <v>Сластенин Сергей Александрович</v>
      </c>
      <c r="D18" s="598">
        <v>45279</v>
      </c>
      <c r="E18" s="598">
        <v>45282</v>
      </c>
      <c r="F18" s="591">
        <f t="shared" si="0"/>
        <v>4</v>
      </c>
      <c r="G18" s="591">
        <v>1300</v>
      </c>
      <c r="H18" s="591">
        <f t="shared" si="1"/>
        <v>5200</v>
      </c>
      <c r="I18" s="600" t="s">
        <v>3537</v>
      </c>
      <c r="J18" s="600" t="s">
        <v>3683</v>
      </c>
      <c r="K18" s="601"/>
      <c r="L18" s="601"/>
      <c r="M18" s="601"/>
      <c r="N18" s="601"/>
      <c r="O18" s="535"/>
      <c r="P18" s="535"/>
      <c r="Q18" s="535"/>
      <c r="R18" s="535"/>
      <c r="S18" s="535"/>
      <c r="T18" s="535"/>
      <c r="U18" s="535"/>
      <c r="V18" s="535"/>
      <c r="W18" s="535"/>
      <c r="X18" s="403"/>
      <c r="Y18" s="403"/>
      <c r="Z18" s="403"/>
      <c r="AA18" s="602"/>
      <c r="AB18" s="599">
        <f t="shared" si="2"/>
        <v>0</v>
      </c>
      <c r="AC18" s="201"/>
      <c r="AD18" s="42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</row>
    <row r="19" spans="1:106" s="386" customFormat="1" ht="53.25" customHeight="1" x14ac:dyDescent="0.2">
      <c r="A19" s="400">
        <v>17</v>
      </c>
      <c r="B19" s="400">
        <v>2802</v>
      </c>
      <c r="C19" s="590" t="str">
        <f>VLOOKUP(B19,база!A:F,2,FALSE)</f>
        <v>Хасбиев Арсений Фларисович</v>
      </c>
      <c r="D19" s="598">
        <v>45279</v>
      </c>
      <c r="E19" s="598">
        <v>45282</v>
      </c>
      <c r="F19" s="591">
        <f t="shared" si="0"/>
        <v>4</v>
      </c>
      <c r="G19" s="591">
        <v>1300</v>
      </c>
      <c r="H19" s="591">
        <f t="shared" si="1"/>
        <v>5200</v>
      </c>
      <c r="I19" s="600" t="s">
        <v>3537</v>
      </c>
      <c r="J19" s="600" t="s">
        <v>3683</v>
      </c>
      <c r="K19" s="601"/>
      <c r="L19" s="601"/>
      <c r="M19" s="601"/>
      <c r="N19" s="601"/>
      <c r="O19" s="535"/>
      <c r="P19" s="535"/>
      <c r="Q19" s="535"/>
      <c r="R19" s="535"/>
      <c r="S19" s="535"/>
      <c r="T19" s="535"/>
      <c r="U19" s="535"/>
      <c r="V19" s="535"/>
      <c r="W19" s="535"/>
      <c r="X19" s="403"/>
      <c r="Y19" s="403"/>
      <c r="Z19" s="403"/>
      <c r="AA19" s="602"/>
      <c r="AB19" s="599">
        <f t="shared" si="2"/>
        <v>0</v>
      </c>
      <c r="AC19" s="39"/>
      <c r="AD19" s="42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</row>
    <row r="20" spans="1:106" s="386" customFormat="1" ht="53.25" customHeight="1" x14ac:dyDescent="0.2">
      <c r="A20" s="400">
        <v>18</v>
      </c>
      <c r="B20" s="400">
        <v>2671</v>
      </c>
      <c r="C20" s="590" t="str">
        <f>VLOOKUP(B20,база!A:F,2,FALSE)</f>
        <v>Мазалов Константин Валерьевич</v>
      </c>
      <c r="D20" s="598">
        <v>45279</v>
      </c>
      <c r="E20" s="598">
        <v>45282</v>
      </c>
      <c r="F20" s="591">
        <f t="shared" si="0"/>
        <v>4</v>
      </c>
      <c r="G20" s="591">
        <v>1300</v>
      </c>
      <c r="H20" s="591">
        <f t="shared" si="1"/>
        <v>5200</v>
      </c>
      <c r="I20" s="600" t="s">
        <v>1070</v>
      </c>
      <c r="J20" s="600" t="s">
        <v>3666</v>
      </c>
      <c r="K20" s="601"/>
      <c r="L20" s="601"/>
      <c r="M20" s="601"/>
      <c r="N20" s="601"/>
      <c r="O20" s="535"/>
      <c r="P20" s="535"/>
      <c r="Q20" s="535"/>
      <c r="R20" s="535"/>
      <c r="S20" s="535"/>
      <c r="T20" s="535"/>
      <c r="U20" s="535"/>
      <c r="V20" s="535"/>
      <c r="W20" s="535"/>
      <c r="X20" s="403"/>
      <c r="Y20" s="403"/>
      <c r="Z20" s="403"/>
      <c r="AA20" s="602"/>
      <c r="AB20" s="599">
        <f t="shared" si="2"/>
        <v>0</v>
      </c>
      <c r="AC20" s="39"/>
      <c r="AD20" s="42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</row>
    <row r="21" spans="1:106" s="386" customFormat="1" ht="53.25" customHeight="1" x14ac:dyDescent="0.2">
      <c r="A21" s="400">
        <v>19</v>
      </c>
      <c r="B21" s="400">
        <v>2914</v>
      </c>
      <c r="C21" s="590" t="str">
        <f>VLOOKUP(B21,база!A:F,2,FALSE)</f>
        <v>Чудина Анастасия Геннадьевна</v>
      </c>
      <c r="D21" s="598">
        <v>45277</v>
      </c>
      <c r="E21" s="598">
        <v>45281</v>
      </c>
      <c r="F21" s="591">
        <f t="shared" si="0"/>
        <v>5</v>
      </c>
      <c r="G21" s="591">
        <v>1300</v>
      </c>
      <c r="H21" s="591">
        <f t="shared" si="1"/>
        <v>6500</v>
      </c>
      <c r="I21" s="600" t="s">
        <v>1070</v>
      </c>
      <c r="J21" s="600" t="s">
        <v>3666</v>
      </c>
      <c r="K21" s="601"/>
      <c r="L21" s="601"/>
      <c r="M21" s="601"/>
      <c r="N21" s="601"/>
      <c r="O21" s="535"/>
      <c r="P21" s="535"/>
      <c r="Q21" s="535"/>
      <c r="R21" s="535"/>
      <c r="S21" s="535"/>
      <c r="T21" s="535"/>
      <c r="U21" s="535"/>
      <c r="V21" s="535"/>
      <c r="W21" s="535"/>
      <c r="X21" s="403"/>
      <c r="Y21" s="403"/>
      <c r="Z21" s="403"/>
      <c r="AA21" s="602"/>
      <c r="AB21" s="599">
        <f t="shared" si="2"/>
        <v>0</v>
      </c>
      <c r="AC21" s="39"/>
      <c r="AD21" s="42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</row>
    <row r="22" spans="1:106" s="386" customFormat="1" ht="53.25" customHeight="1" x14ac:dyDescent="0.2">
      <c r="A22" s="400">
        <v>20</v>
      </c>
      <c r="B22" s="400">
        <v>2689</v>
      </c>
      <c r="C22" s="590" t="str">
        <f>VLOOKUP(B22,база!A:F,2,FALSE)</f>
        <v>Иванов Дмитрий Владимирович</v>
      </c>
      <c r="D22" s="598">
        <v>45637</v>
      </c>
      <c r="E22" s="598">
        <v>45640</v>
      </c>
      <c r="F22" s="591">
        <f t="shared" si="0"/>
        <v>4</v>
      </c>
      <c r="G22" s="591">
        <v>1300</v>
      </c>
      <c r="H22" s="591">
        <f t="shared" si="1"/>
        <v>5200</v>
      </c>
      <c r="I22" s="600" t="s">
        <v>1070</v>
      </c>
      <c r="J22" s="600" t="s">
        <v>3666</v>
      </c>
      <c r="K22" s="601"/>
      <c r="L22" s="601"/>
      <c r="M22" s="601"/>
      <c r="N22" s="601"/>
      <c r="O22" s="535"/>
      <c r="P22" s="535"/>
      <c r="Q22" s="535"/>
      <c r="R22" s="535"/>
      <c r="S22" s="535"/>
      <c r="T22" s="535"/>
      <c r="U22" s="535"/>
      <c r="V22" s="535"/>
      <c r="W22" s="535"/>
      <c r="X22" s="403"/>
      <c r="Y22" s="403"/>
      <c r="Z22" s="403"/>
      <c r="AA22" s="602"/>
      <c r="AB22" s="599">
        <f t="shared" si="2"/>
        <v>0</v>
      </c>
      <c r="AC22" s="39"/>
      <c r="AD22" s="42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</row>
    <row r="23" spans="1:106" s="92" customFormat="1" ht="53.25" customHeight="1" x14ac:dyDescent="0.2">
      <c r="A23" s="400">
        <v>21</v>
      </c>
      <c r="B23" s="400">
        <v>2411</v>
      </c>
      <c r="C23" s="590" t="str">
        <f>VLOOKUP(B23,база!A:F,2,FALSE)</f>
        <v>Резчикова Евгения Ивановна</v>
      </c>
      <c r="D23" s="598">
        <v>45295</v>
      </c>
      <c r="E23" s="598">
        <v>45300</v>
      </c>
      <c r="F23" s="591">
        <f t="shared" si="0"/>
        <v>6</v>
      </c>
      <c r="G23" s="591">
        <v>1300</v>
      </c>
      <c r="H23" s="591">
        <f t="shared" si="1"/>
        <v>7800</v>
      </c>
      <c r="I23" s="600" t="s">
        <v>1070</v>
      </c>
      <c r="J23" s="600" t="s">
        <v>3696</v>
      </c>
      <c r="K23" s="601"/>
      <c r="L23" s="601"/>
      <c r="M23" s="601"/>
      <c r="N23" s="601"/>
      <c r="O23" s="535"/>
      <c r="P23" s="535"/>
      <c r="Q23" s="535"/>
      <c r="R23" s="535"/>
      <c r="S23" s="535"/>
      <c r="T23" s="535"/>
      <c r="U23" s="535"/>
      <c r="V23" s="535"/>
      <c r="W23" s="535"/>
      <c r="X23" s="403"/>
      <c r="Y23" s="403"/>
      <c r="Z23" s="403"/>
      <c r="AA23" s="602"/>
      <c r="AB23" s="599">
        <f t="shared" si="2"/>
        <v>0</v>
      </c>
      <c r="AC23" s="201"/>
      <c r="AD23" s="42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</row>
    <row r="24" spans="1:106" s="92" customFormat="1" ht="53.25" customHeight="1" x14ac:dyDescent="0.2">
      <c r="A24" s="400">
        <v>22</v>
      </c>
      <c r="B24" s="400">
        <v>161850</v>
      </c>
      <c r="C24" s="590" t="str">
        <f>VLOOKUP(B24,база!A:F,2,FALSE)</f>
        <v>Юрасова Анна Владимировна</v>
      </c>
      <c r="D24" s="598">
        <v>45302</v>
      </c>
      <c r="E24" s="598">
        <v>45303</v>
      </c>
      <c r="F24" s="591">
        <f t="shared" si="0"/>
        <v>2</v>
      </c>
      <c r="G24" s="591">
        <v>1300</v>
      </c>
      <c r="H24" s="591">
        <f t="shared" si="1"/>
        <v>2600</v>
      </c>
      <c r="I24" s="600" t="s">
        <v>3015</v>
      </c>
      <c r="J24" s="600" t="s">
        <v>3706</v>
      </c>
      <c r="K24" s="601"/>
      <c r="L24" s="601"/>
      <c r="M24" s="601"/>
      <c r="N24" s="601"/>
      <c r="O24" s="535"/>
      <c r="P24" s="535"/>
      <c r="Q24" s="535"/>
      <c r="R24" s="535"/>
      <c r="S24" s="535"/>
      <c r="T24" s="535"/>
      <c r="U24" s="535"/>
      <c r="V24" s="535"/>
      <c r="W24" s="535"/>
      <c r="X24" s="403"/>
      <c r="Y24" s="403"/>
      <c r="Z24" s="403"/>
      <c r="AA24" s="602"/>
      <c r="AB24" s="599">
        <f t="shared" si="2"/>
        <v>0</v>
      </c>
      <c r="AC24" s="201"/>
      <c r="AD24" s="42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</row>
    <row r="25" spans="1:106" s="92" customFormat="1" ht="53.25" customHeight="1" x14ac:dyDescent="0.2">
      <c r="A25" s="400">
        <v>23</v>
      </c>
      <c r="B25" s="400">
        <v>12936</v>
      </c>
      <c r="C25" s="590" t="str">
        <f>VLOOKUP(B25,база!A:F,2,FALSE)</f>
        <v>Кастерин Анатолий Алексеевич</v>
      </c>
      <c r="D25" s="598">
        <v>45300</v>
      </c>
      <c r="E25" s="598">
        <v>45301</v>
      </c>
      <c r="F25" s="591">
        <f t="shared" si="0"/>
        <v>2</v>
      </c>
      <c r="G25" s="591">
        <v>1300</v>
      </c>
      <c r="H25" s="591">
        <f t="shared" si="1"/>
        <v>2600</v>
      </c>
      <c r="I25" s="600" t="s">
        <v>3264</v>
      </c>
      <c r="J25" s="600" t="s">
        <v>3707</v>
      </c>
      <c r="K25" s="601"/>
      <c r="L25" s="601"/>
      <c r="M25" s="601"/>
      <c r="N25" s="601"/>
      <c r="O25" s="535"/>
      <c r="P25" s="535"/>
      <c r="Q25" s="535"/>
      <c r="R25" s="535"/>
      <c r="S25" s="535"/>
      <c r="T25" s="535"/>
      <c r="U25" s="535"/>
      <c r="V25" s="535"/>
      <c r="W25" s="535"/>
      <c r="X25" s="403"/>
      <c r="Y25" s="403"/>
      <c r="Z25" s="403"/>
      <c r="AA25" s="602"/>
      <c r="AB25" s="599">
        <f t="shared" si="2"/>
        <v>0</v>
      </c>
      <c r="AC25" s="201"/>
      <c r="AD25" s="42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</row>
    <row r="26" spans="1:106" s="92" customFormat="1" ht="53.25" customHeight="1" x14ac:dyDescent="0.2">
      <c r="A26" s="400">
        <v>24</v>
      </c>
      <c r="B26" s="400">
        <v>118542</v>
      </c>
      <c r="C26" s="590" t="str">
        <f>VLOOKUP(B26,база!A:F,2,FALSE)</f>
        <v>Газизов Илдар Шамилович</v>
      </c>
      <c r="D26" s="598">
        <v>45296</v>
      </c>
      <c r="E26" s="598">
        <v>45303</v>
      </c>
      <c r="F26" s="591">
        <f t="shared" si="0"/>
        <v>8</v>
      </c>
      <c r="G26" s="591">
        <v>1300</v>
      </c>
      <c r="H26" s="591">
        <f t="shared" si="1"/>
        <v>10400</v>
      </c>
      <c r="I26" s="600" t="s">
        <v>3559</v>
      </c>
      <c r="J26" s="600" t="s">
        <v>3562</v>
      </c>
      <c r="K26" s="601"/>
      <c r="L26" s="601"/>
      <c r="M26" s="601"/>
      <c r="N26" s="601"/>
      <c r="O26" s="535"/>
      <c r="P26" s="535"/>
      <c r="Q26" s="535"/>
      <c r="R26" s="535"/>
      <c r="S26" s="535"/>
      <c r="T26" s="535"/>
      <c r="U26" s="535"/>
      <c r="V26" s="535"/>
      <c r="W26" s="535"/>
      <c r="X26" s="403"/>
      <c r="Y26" s="403"/>
      <c r="Z26" s="403"/>
      <c r="AA26" s="602"/>
      <c r="AB26" s="599">
        <f t="shared" si="2"/>
        <v>0</v>
      </c>
      <c r="AC26" s="201"/>
      <c r="AD26" s="42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</row>
    <row r="27" spans="1:106" s="92" customFormat="1" ht="53.25" customHeight="1" x14ac:dyDescent="0.2">
      <c r="A27" s="400">
        <v>25</v>
      </c>
      <c r="B27" s="400">
        <v>43715</v>
      </c>
      <c r="C27" s="590" t="str">
        <f>VLOOKUP(B27,база!A:F,2,FALSE)</f>
        <v>Курбанов Даниил Маратович</v>
      </c>
      <c r="D27" s="598">
        <v>45302</v>
      </c>
      <c r="E27" s="598">
        <v>45306</v>
      </c>
      <c r="F27" s="591">
        <f t="shared" si="0"/>
        <v>5</v>
      </c>
      <c r="G27" s="591">
        <v>1300</v>
      </c>
      <c r="H27" s="591">
        <f t="shared" si="1"/>
        <v>6500</v>
      </c>
      <c r="I27" s="600" t="s">
        <v>1070</v>
      </c>
      <c r="J27" s="600" t="s">
        <v>3708</v>
      </c>
      <c r="K27" s="601"/>
      <c r="L27" s="601"/>
      <c r="M27" s="601"/>
      <c r="N27" s="601"/>
      <c r="O27" s="535"/>
      <c r="P27" s="535"/>
      <c r="Q27" s="535"/>
      <c r="R27" s="535"/>
      <c r="S27" s="535"/>
      <c r="T27" s="535"/>
      <c r="U27" s="535"/>
      <c r="V27" s="535"/>
      <c r="W27" s="535"/>
      <c r="X27" s="403"/>
      <c r="Y27" s="403"/>
      <c r="Z27" s="403"/>
      <c r="AA27" s="602"/>
      <c r="AB27" s="599">
        <f t="shared" si="2"/>
        <v>0</v>
      </c>
      <c r="AC27" s="201"/>
      <c r="AD27" s="42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</row>
    <row r="28" spans="1:106" s="92" customFormat="1" ht="53.25" customHeight="1" x14ac:dyDescent="0.2">
      <c r="A28" s="400">
        <v>26</v>
      </c>
      <c r="B28" s="400">
        <v>2107</v>
      </c>
      <c r="C28" s="590" t="str">
        <f>VLOOKUP(B28,база!A:F,2,FALSE)</f>
        <v>Михайлова Елена Петровна</v>
      </c>
      <c r="D28" s="598">
        <v>45645</v>
      </c>
      <c r="E28" s="598">
        <v>45648</v>
      </c>
      <c r="F28" s="591">
        <f t="shared" si="0"/>
        <v>4</v>
      </c>
      <c r="G28" s="591">
        <v>1300</v>
      </c>
      <c r="H28" s="591">
        <f t="shared" si="1"/>
        <v>5200</v>
      </c>
      <c r="I28" s="600" t="s">
        <v>3537</v>
      </c>
      <c r="J28" s="600" t="s">
        <v>3683</v>
      </c>
      <c r="K28" s="601"/>
      <c r="L28" s="601"/>
      <c r="M28" s="601"/>
      <c r="N28" s="601"/>
      <c r="O28" s="535"/>
      <c r="P28" s="535"/>
      <c r="Q28" s="535"/>
      <c r="R28" s="535"/>
      <c r="S28" s="535"/>
      <c r="T28" s="535"/>
      <c r="U28" s="535"/>
      <c r="V28" s="535"/>
      <c r="W28" s="535"/>
      <c r="X28" s="403"/>
      <c r="Y28" s="403"/>
      <c r="Z28" s="403"/>
      <c r="AA28" s="602"/>
      <c r="AB28" s="599">
        <f t="shared" si="2"/>
        <v>0</v>
      </c>
      <c r="AC28" s="201"/>
      <c r="AD28" s="42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</row>
    <row r="29" spans="1:106" s="92" customFormat="1" ht="53.25" customHeight="1" x14ac:dyDescent="0.2">
      <c r="A29" s="400">
        <v>27</v>
      </c>
      <c r="B29" s="400">
        <v>83048</v>
      </c>
      <c r="C29" s="590" t="str">
        <f>VLOOKUP(B29,база!A:F,2,FALSE)</f>
        <v>Зива Алексей Валерьевич</v>
      </c>
      <c r="D29" s="598">
        <v>45307</v>
      </c>
      <c r="E29" s="598">
        <v>45308</v>
      </c>
      <c r="F29" s="591">
        <f t="shared" si="0"/>
        <v>2</v>
      </c>
      <c r="G29" s="591">
        <v>1300</v>
      </c>
      <c r="H29" s="591">
        <f t="shared" si="1"/>
        <v>2600</v>
      </c>
      <c r="I29" s="600" t="s">
        <v>3015</v>
      </c>
      <c r="J29" s="600" t="s">
        <v>3709</v>
      </c>
      <c r="K29" s="601"/>
      <c r="L29" s="601"/>
      <c r="M29" s="601"/>
      <c r="N29" s="601"/>
      <c r="O29" s="535"/>
      <c r="P29" s="535"/>
      <c r="Q29" s="535"/>
      <c r="R29" s="535"/>
      <c r="S29" s="535"/>
      <c r="T29" s="535"/>
      <c r="U29" s="535"/>
      <c r="V29" s="535"/>
      <c r="W29" s="535"/>
      <c r="X29" s="403"/>
      <c r="Y29" s="403"/>
      <c r="Z29" s="403"/>
      <c r="AA29" s="602"/>
      <c r="AB29" s="599">
        <f t="shared" si="2"/>
        <v>0</v>
      </c>
      <c r="AC29" s="201"/>
      <c r="AD29" s="42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</row>
    <row r="30" spans="1:106" s="92" customFormat="1" ht="53.25" customHeight="1" x14ac:dyDescent="0.2">
      <c r="A30" s="400">
        <v>28</v>
      </c>
      <c r="B30" s="400">
        <v>245601</v>
      </c>
      <c r="C30" s="590" t="str">
        <f>VLOOKUP(B30,база!A:F,2,FALSE)</f>
        <v>Писарев Дмитрий Сергеевич</v>
      </c>
      <c r="D30" s="598">
        <v>45307</v>
      </c>
      <c r="E30" s="598">
        <v>45308</v>
      </c>
      <c r="F30" s="591">
        <f t="shared" si="0"/>
        <v>2</v>
      </c>
      <c r="G30" s="591">
        <v>1300</v>
      </c>
      <c r="H30" s="591">
        <f t="shared" si="1"/>
        <v>2600</v>
      </c>
      <c r="I30" s="600" t="s">
        <v>3276</v>
      </c>
      <c r="J30" s="600" t="s">
        <v>3710</v>
      </c>
      <c r="K30" s="601"/>
      <c r="L30" s="601"/>
      <c r="M30" s="601"/>
      <c r="N30" s="601"/>
      <c r="O30" s="535"/>
      <c r="P30" s="535"/>
      <c r="Q30" s="535"/>
      <c r="R30" s="535"/>
      <c r="S30" s="535"/>
      <c r="T30" s="535"/>
      <c r="U30" s="535"/>
      <c r="V30" s="535"/>
      <c r="W30" s="535"/>
      <c r="X30" s="403"/>
      <c r="Y30" s="403"/>
      <c r="Z30" s="403"/>
      <c r="AA30" s="602"/>
      <c r="AB30" s="599">
        <f t="shared" si="2"/>
        <v>0</v>
      </c>
      <c r="AC30" s="201"/>
      <c r="AD30" s="42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</row>
    <row r="31" spans="1:106" s="92" customFormat="1" ht="53.25" customHeight="1" x14ac:dyDescent="0.2">
      <c r="A31" s="400">
        <v>29</v>
      </c>
      <c r="B31" s="400">
        <v>124532</v>
      </c>
      <c r="C31" s="590" t="str">
        <f>VLOOKUP(B31,база!A:F,2,FALSE)</f>
        <v>Куза Руслан Ростиславович</v>
      </c>
      <c r="D31" s="598">
        <v>45307</v>
      </c>
      <c r="E31" s="598">
        <v>45308</v>
      </c>
      <c r="F31" s="591">
        <f t="shared" si="0"/>
        <v>2</v>
      </c>
      <c r="G31" s="591">
        <v>1300</v>
      </c>
      <c r="H31" s="591">
        <f t="shared" si="1"/>
        <v>2600</v>
      </c>
      <c r="I31" s="600" t="s">
        <v>1070</v>
      </c>
      <c r="J31" s="600" t="s">
        <v>3711</v>
      </c>
      <c r="K31" s="601"/>
      <c r="L31" s="601"/>
      <c r="M31" s="601"/>
      <c r="N31" s="601"/>
      <c r="O31" s="535"/>
      <c r="P31" s="535"/>
      <c r="Q31" s="535"/>
      <c r="R31" s="535"/>
      <c r="S31" s="535"/>
      <c r="T31" s="535"/>
      <c r="U31" s="535"/>
      <c r="V31" s="535"/>
      <c r="W31" s="535"/>
      <c r="X31" s="403"/>
      <c r="Y31" s="403"/>
      <c r="Z31" s="403"/>
      <c r="AA31" s="602"/>
      <c r="AB31" s="599">
        <f t="shared" si="2"/>
        <v>0</v>
      </c>
      <c r="AC31" s="201"/>
      <c r="AD31" s="42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</row>
    <row r="32" spans="1:106" s="92" customFormat="1" ht="53.25" customHeight="1" x14ac:dyDescent="0.2">
      <c r="A32" s="400">
        <v>30</v>
      </c>
      <c r="B32" s="400">
        <v>13570</v>
      </c>
      <c r="C32" s="590" t="str">
        <f>VLOOKUP(B32,база!A:F,2,FALSE)</f>
        <v>Самыкин Виктор Николаевич</v>
      </c>
      <c r="D32" s="598">
        <v>45307</v>
      </c>
      <c r="E32" s="598">
        <v>45310</v>
      </c>
      <c r="F32" s="591">
        <f t="shared" si="0"/>
        <v>4</v>
      </c>
      <c r="G32" s="591">
        <v>1300</v>
      </c>
      <c r="H32" s="591">
        <f t="shared" si="1"/>
        <v>5200</v>
      </c>
      <c r="I32" s="600" t="s">
        <v>1070</v>
      </c>
      <c r="J32" s="600" t="s">
        <v>3696</v>
      </c>
      <c r="K32" s="601"/>
      <c r="L32" s="601"/>
      <c r="M32" s="601"/>
      <c r="N32" s="601"/>
      <c r="O32" s="535"/>
      <c r="P32" s="535"/>
      <c r="Q32" s="535"/>
      <c r="R32" s="535"/>
      <c r="S32" s="535"/>
      <c r="T32" s="535"/>
      <c r="U32" s="535"/>
      <c r="V32" s="535"/>
      <c r="W32" s="535"/>
      <c r="X32" s="403"/>
      <c r="Y32" s="403"/>
      <c r="Z32" s="403"/>
      <c r="AA32" s="602"/>
      <c r="AB32" s="599">
        <f t="shared" si="2"/>
        <v>0</v>
      </c>
      <c r="AC32" s="201"/>
      <c r="AD32" s="42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</row>
    <row r="33" spans="1:106" s="92" customFormat="1" ht="53.25" customHeight="1" x14ac:dyDescent="0.2">
      <c r="A33" s="400">
        <v>31</v>
      </c>
      <c r="B33" s="400">
        <v>92738</v>
      </c>
      <c r="C33" s="590" t="str">
        <f>VLOOKUP(B33,база!A:F,2,FALSE)</f>
        <v>Цесарж Антон Николаевич</v>
      </c>
      <c r="D33" s="598">
        <v>45287</v>
      </c>
      <c r="E33" s="598">
        <v>45288</v>
      </c>
      <c r="F33" s="591">
        <f t="shared" si="0"/>
        <v>2</v>
      </c>
      <c r="G33" s="591">
        <v>1300</v>
      </c>
      <c r="H33" s="591">
        <f t="shared" si="1"/>
        <v>2600</v>
      </c>
      <c r="I33" s="600" t="s">
        <v>3015</v>
      </c>
      <c r="J33" s="600" t="s">
        <v>3740</v>
      </c>
      <c r="K33" s="601"/>
      <c r="L33" s="601"/>
      <c r="M33" s="601"/>
      <c r="N33" s="601"/>
      <c r="O33" s="535"/>
      <c r="P33" s="535"/>
      <c r="Q33" s="535"/>
      <c r="R33" s="535"/>
      <c r="S33" s="535"/>
      <c r="T33" s="535"/>
      <c r="U33" s="535"/>
      <c r="V33" s="535"/>
      <c r="W33" s="535"/>
      <c r="X33" s="403"/>
      <c r="Y33" s="403"/>
      <c r="Z33" s="403"/>
      <c r="AA33" s="602"/>
      <c r="AB33" s="599">
        <f t="shared" si="2"/>
        <v>0</v>
      </c>
      <c r="AC33" s="201"/>
      <c r="AD33" s="42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</row>
    <row r="34" spans="1:106" s="92" customFormat="1" ht="53.25" customHeight="1" x14ac:dyDescent="0.2">
      <c r="A34" s="400">
        <v>32</v>
      </c>
      <c r="B34" s="400">
        <v>26611</v>
      </c>
      <c r="C34" s="590" t="str">
        <f>VLOOKUP(B34,база!A:F,2,FALSE)</f>
        <v>Плешивых Евгений Васильевич</v>
      </c>
      <c r="D34" s="598">
        <v>45287</v>
      </c>
      <c r="E34" s="598">
        <v>45288</v>
      </c>
      <c r="F34" s="591">
        <f t="shared" si="0"/>
        <v>2</v>
      </c>
      <c r="G34" s="591">
        <v>1300</v>
      </c>
      <c r="H34" s="591">
        <f t="shared" si="1"/>
        <v>2600</v>
      </c>
      <c r="I34" s="600" t="s">
        <v>3015</v>
      </c>
      <c r="J34" s="600" t="s">
        <v>3740</v>
      </c>
      <c r="K34" s="601"/>
      <c r="L34" s="601"/>
      <c r="M34" s="601"/>
      <c r="N34" s="601"/>
      <c r="O34" s="535"/>
      <c r="P34" s="535"/>
      <c r="Q34" s="535"/>
      <c r="R34" s="535"/>
      <c r="S34" s="535"/>
      <c r="T34" s="535"/>
      <c r="U34" s="535"/>
      <c r="V34" s="535"/>
      <c r="W34" s="535"/>
      <c r="X34" s="403"/>
      <c r="Y34" s="403"/>
      <c r="Z34" s="403"/>
      <c r="AA34" s="602"/>
      <c r="AB34" s="599">
        <f t="shared" si="2"/>
        <v>0</v>
      </c>
      <c r="AC34" s="201"/>
      <c r="AD34" s="42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</row>
    <row r="35" spans="1:106" s="92" customFormat="1" ht="53.25" customHeight="1" x14ac:dyDescent="0.2">
      <c r="A35" s="400">
        <v>33</v>
      </c>
      <c r="B35" s="400">
        <v>241630</v>
      </c>
      <c r="C35" s="590" t="str">
        <f>VLOOKUP(B35,база!A:F,2,FALSE)</f>
        <v>Потапов Андрей Юрьевич</v>
      </c>
      <c r="D35" s="598">
        <v>45294</v>
      </c>
      <c r="E35" s="598">
        <v>45299</v>
      </c>
      <c r="F35" s="591">
        <f t="shared" ref="F35:F50" si="3">E35-D35+1</f>
        <v>6</v>
      </c>
      <c r="G35" s="591">
        <v>1300</v>
      </c>
      <c r="H35" s="591">
        <f t="shared" ref="H35:H50" si="4">G35*F35</f>
        <v>7800</v>
      </c>
      <c r="I35" s="600" t="s">
        <v>3741</v>
      </c>
      <c r="J35" s="600" t="s">
        <v>373</v>
      </c>
      <c r="K35" s="601"/>
      <c r="L35" s="601"/>
      <c r="M35" s="601"/>
      <c r="N35" s="601"/>
      <c r="O35" s="535"/>
      <c r="P35" s="535"/>
      <c r="Q35" s="535"/>
      <c r="R35" s="535"/>
      <c r="S35" s="535"/>
      <c r="T35" s="535"/>
      <c r="U35" s="535"/>
      <c r="V35" s="535"/>
      <c r="W35" s="535"/>
      <c r="X35" s="403"/>
      <c r="Y35" s="403"/>
      <c r="Z35" s="403"/>
      <c r="AA35" s="602"/>
      <c r="AB35" s="599">
        <f t="shared" ref="AB35:AB65" si="5">SUM(O35:AA35)</f>
        <v>0</v>
      </c>
      <c r="AC35" s="201"/>
      <c r="AD35" s="42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</row>
    <row r="36" spans="1:106" s="92" customFormat="1" ht="53.25" customHeight="1" x14ac:dyDescent="0.2">
      <c r="A36" s="400">
        <v>34</v>
      </c>
      <c r="B36" s="400">
        <v>39725</v>
      </c>
      <c r="C36" s="590" t="str">
        <f>VLOOKUP(B36,база!A:F,2,FALSE)</f>
        <v>Бутузов Владимир Александрович</v>
      </c>
      <c r="D36" s="598">
        <v>45290</v>
      </c>
      <c r="E36" s="598">
        <v>45294</v>
      </c>
      <c r="F36" s="591">
        <f t="shared" si="3"/>
        <v>5</v>
      </c>
      <c r="G36" s="591">
        <v>1300</v>
      </c>
      <c r="H36" s="591">
        <f t="shared" si="4"/>
        <v>6500</v>
      </c>
      <c r="I36" s="600" t="s">
        <v>3652</v>
      </c>
      <c r="J36" s="600" t="s">
        <v>3596</v>
      </c>
      <c r="K36" s="601"/>
      <c r="L36" s="601"/>
      <c r="M36" s="601"/>
      <c r="N36" s="601"/>
      <c r="O36" s="535"/>
      <c r="P36" s="535"/>
      <c r="Q36" s="535"/>
      <c r="R36" s="535"/>
      <c r="S36" s="535"/>
      <c r="T36" s="535"/>
      <c r="U36" s="535"/>
      <c r="V36" s="535"/>
      <c r="W36" s="535"/>
      <c r="X36" s="403"/>
      <c r="Y36" s="403"/>
      <c r="Z36" s="403"/>
      <c r="AA36" s="602"/>
      <c r="AB36" s="599">
        <f t="shared" si="5"/>
        <v>0</v>
      </c>
      <c r="AC36" s="201"/>
      <c r="AD36" s="42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</row>
    <row r="37" spans="1:106" s="92" customFormat="1" ht="53.25" customHeight="1" x14ac:dyDescent="0.2">
      <c r="A37" s="400">
        <v>35</v>
      </c>
      <c r="B37" s="400">
        <v>2532</v>
      </c>
      <c r="C37" s="590" t="str">
        <f>VLOOKUP(B37,база!A:F,2,FALSE)</f>
        <v>Панасюк Александр Александрович</v>
      </c>
      <c r="D37" s="598">
        <v>45288</v>
      </c>
      <c r="E37" s="598">
        <v>45289</v>
      </c>
      <c r="F37" s="591">
        <f t="shared" si="3"/>
        <v>2</v>
      </c>
      <c r="G37" s="591">
        <v>1300</v>
      </c>
      <c r="H37" s="591">
        <f t="shared" si="4"/>
        <v>2600</v>
      </c>
      <c r="I37" s="600" t="s">
        <v>3697</v>
      </c>
      <c r="J37" s="600" t="s">
        <v>3047</v>
      </c>
      <c r="K37" s="601"/>
      <c r="L37" s="601"/>
      <c r="M37" s="601"/>
      <c r="N37" s="601"/>
      <c r="O37" s="535"/>
      <c r="P37" s="535"/>
      <c r="Q37" s="535"/>
      <c r="R37" s="535"/>
      <c r="S37" s="535"/>
      <c r="T37" s="535"/>
      <c r="U37" s="535"/>
      <c r="V37" s="535"/>
      <c r="W37" s="535"/>
      <c r="X37" s="403"/>
      <c r="Y37" s="403"/>
      <c r="Z37" s="403"/>
      <c r="AA37" s="602"/>
      <c r="AB37" s="599">
        <f t="shared" si="5"/>
        <v>0</v>
      </c>
      <c r="AC37" s="201"/>
      <c r="AD37" s="42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</row>
    <row r="38" spans="1:106" s="92" customFormat="1" ht="53.25" customHeight="1" x14ac:dyDescent="0.2">
      <c r="A38" s="400">
        <v>36</v>
      </c>
      <c r="B38" s="400">
        <v>33698</v>
      </c>
      <c r="C38" s="590" t="str">
        <f>VLOOKUP(B38,база!A:F,2,FALSE)</f>
        <v>Абдрахимов Олег Фанилович</v>
      </c>
      <c r="D38" s="598">
        <v>45295</v>
      </c>
      <c r="E38" s="598">
        <v>45303</v>
      </c>
      <c r="F38" s="591">
        <f t="shared" si="3"/>
        <v>9</v>
      </c>
      <c r="G38" s="591">
        <v>1300</v>
      </c>
      <c r="H38" s="591">
        <f t="shared" si="4"/>
        <v>11700</v>
      </c>
      <c r="I38" s="600" t="s">
        <v>3652</v>
      </c>
      <c r="J38" s="600" t="s">
        <v>3684</v>
      </c>
      <c r="K38" s="601"/>
      <c r="L38" s="601"/>
      <c r="M38" s="601"/>
      <c r="N38" s="601"/>
      <c r="O38" s="535"/>
      <c r="P38" s="535"/>
      <c r="Q38" s="535"/>
      <c r="R38" s="535"/>
      <c r="S38" s="535"/>
      <c r="T38" s="535"/>
      <c r="U38" s="535"/>
      <c r="V38" s="535"/>
      <c r="W38" s="535"/>
      <c r="X38" s="403"/>
      <c r="Y38" s="403"/>
      <c r="Z38" s="403"/>
      <c r="AA38" s="602"/>
      <c r="AB38" s="599">
        <f t="shared" si="5"/>
        <v>0</v>
      </c>
      <c r="AC38" s="201"/>
      <c r="AD38" s="42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</row>
    <row r="39" spans="1:106" s="92" customFormat="1" ht="53.25" customHeight="1" x14ac:dyDescent="0.2">
      <c r="A39" s="400">
        <v>37</v>
      </c>
      <c r="B39" s="400">
        <v>188704</v>
      </c>
      <c r="C39" s="590" t="str">
        <f>VLOOKUP(B39,база!A:F,2,FALSE)</f>
        <v>Крафт Андрей Анатольевич</v>
      </c>
      <c r="D39" s="598">
        <v>45284</v>
      </c>
      <c r="E39" s="598">
        <v>45295</v>
      </c>
      <c r="F39" s="591">
        <f t="shared" si="3"/>
        <v>12</v>
      </c>
      <c r="G39" s="591">
        <v>1300</v>
      </c>
      <c r="H39" s="591">
        <f t="shared" si="4"/>
        <v>15600</v>
      </c>
      <c r="I39" s="600" t="s">
        <v>3652</v>
      </c>
      <c r="J39" s="600" t="s">
        <v>3684</v>
      </c>
      <c r="K39" s="601"/>
      <c r="L39" s="601"/>
      <c r="M39" s="601"/>
      <c r="N39" s="601"/>
      <c r="O39" s="535"/>
      <c r="P39" s="535"/>
      <c r="Q39" s="535"/>
      <c r="R39" s="535"/>
      <c r="S39" s="535"/>
      <c r="T39" s="535"/>
      <c r="U39" s="535"/>
      <c r="V39" s="535"/>
      <c r="W39" s="535"/>
      <c r="X39" s="403"/>
      <c r="Y39" s="403"/>
      <c r="Z39" s="403"/>
      <c r="AA39" s="602"/>
      <c r="AB39" s="599">
        <f t="shared" si="5"/>
        <v>0</v>
      </c>
      <c r="AC39" s="201"/>
      <c r="AD39" s="42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</row>
    <row r="40" spans="1:106" s="92" customFormat="1" ht="53.25" customHeight="1" x14ac:dyDescent="0.2">
      <c r="A40" s="400">
        <v>38</v>
      </c>
      <c r="B40" s="400">
        <v>14239</v>
      </c>
      <c r="C40" s="590" t="str">
        <f>VLOOKUP(B40,база!A:F,2,FALSE)</f>
        <v>Антонова Ольга Сергеевна</v>
      </c>
      <c r="D40" s="598">
        <v>45306</v>
      </c>
      <c r="E40" s="598">
        <v>45307</v>
      </c>
      <c r="F40" s="591">
        <f t="shared" si="3"/>
        <v>2</v>
      </c>
      <c r="G40" s="591">
        <v>1300</v>
      </c>
      <c r="H40" s="591">
        <f t="shared" si="4"/>
        <v>2600</v>
      </c>
      <c r="I40" s="600" t="s">
        <v>3015</v>
      </c>
      <c r="J40" s="600" t="s">
        <v>3740</v>
      </c>
      <c r="K40" s="601"/>
      <c r="L40" s="601"/>
      <c r="M40" s="601"/>
      <c r="N40" s="601"/>
      <c r="O40" s="535"/>
      <c r="P40" s="535"/>
      <c r="Q40" s="535"/>
      <c r="R40" s="535"/>
      <c r="S40" s="535"/>
      <c r="T40" s="535"/>
      <c r="U40" s="535"/>
      <c r="V40" s="535"/>
      <c r="W40" s="535"/>
      <c r="X40" s="403"/>
      <c r="Y40" s="403"/>
      <c r="Z40" s="403"/>
      <c r="AA40" s="602"/>
      <c r="AB40" s="599">
        <f t="shared" si="5"/>
        <v>0</v>
      </c>
      <c r="AC40" s="201"/>
      <c r="AD40" s="42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</row>
    <row r="41" spans="1:106" s="92" customFormat="1" ht="53.25" customHeight="1" x14ac:dyDescent="0.2">
      <c r="A41" s="400">
        <v>39</v>
      </c>
      <c r="B41" s="400">
        <v>123558</v>
      </c>
      <c r="C41" s="590" t="str">
        <f>VLOOKUP(B41,база!A:F,2,FALSE)</f>
        <v>Андреев Михаил Александрович</v>
      </c>
      <c r="D41" s="598">
        <v>45306</v>
      </c>
      <c r="E41" s="598">
        <v>45307</v>
      </c>
      <c r="F41" s="591">
        <f t="shared" si="3"/>
        <v>2</v>
      </c>
      <c r="G41" s="591">
        <v>1300</v>
      </c>
      <c r="H41" s="591">
        <f t="shared" si="4"/>
        <v>2600</v>
      </c>
      <c r="I41" s="600" t="s">
        <v>3742</v>
      </c>
      <c r="J41" s="600" t="s">
        <v>3047</v>
      </c>
      <c r="K41" s="601"/>
      <c r="L41" s="601"/>
      <c r="M41" s="601"/>
      <c r="N41" s="601"/>
      <c r="O41" s="535"/>
      <c r="P41" s="535"/>
      <c r="Q41" s="535"/>
      <c r="R41" s="535"/>
      <c r="S41" s="535"/>
      <c r="T41" s="535"/>
      <c r="U41" s="535"/>
      <c r="V41" s="535"/>
      <c r="W41" s="535"/>
      <c r="X41" s="403"/>
      <c r="Y41" s="403"/>
      <c r="Z41" s="403"/>
      <c r="AA41" s="602"/>
      <c r="AB41" s="599">
        <f t="shared" si="5"/>
        <v>0</v>
      </c>
      <c r="AC41" s="201"/>
      <c r="AD41" s="42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</row>
    <row r="42" spans="1:106" s="92" customFormat="1" ht="53.25" customHeight="1" x14ac:dyDescent="0.2">
      <c r="A42" s="400">
        <v>40</v>
      </c>
      <c r="B42" s="400">
        <v>231433</v>
      </c>
      <c r="C42" s="590" t="str">
        <f>VLOOKUP(B42,база!A:F,2,FALSE)</f>
        <v>Фетисов Павел Сергеевич</v>
      </c>
      <c r="D42" s="598">
        <v>45300</v>
      </c>
      <c r="E42" s="598">
        <v>45309</v>
      </c>
      <c r="F42" s="591">
        <f t="shared" si="3"/>
        <v>10</v>
      </c>
      <c r="G42" s="591">
        <v>1300</v>
      </c>
      <c r="H42" s="591">
        <f t="shared" si="4"/>
        <v>13000</v>
      </c>
      <c r="I42" s="600" t="s">
        <v>3690</v>
      </c>
      <c r="J42" s="600" t="s">
        <v>3031</v>
      </c>
      <c r="K42" s="601"/>
      <c r="L42" s="601"/>
      <c r="M42" s="601"/>
      <c r="N42" s="601"/>
      <c r="O42" s="535"/>
      <c r="P42" s="535"/>
      <c r="Q42" s="535"/>
      <c r="R42" s="535"/>
      <c r="S42" s="535"/>
      <c r="T42" s="535"/>
      <c r="U42" s="535"/>
      <c r="V42" s="535"/>
      <c r="W42" s="535"/>
      <c r="X42" s="403"/>
      <c r="Y42" s="403"/>
      <c r="Z42" s="403"/>
      <c r="AA42" s="602"/>
      <c r="AB42" s="599">
        <f t="shared" si="5"/>
        <v>0</v>
      </c>
      <c r="AC42" s="201"/>
      <c r="AD42" s="42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</row>
    <row r="43" spans="1:106" s="92" customFormat="1" ht="53.25" customHeight="1" x14ac:dyDescent="0.2">
      <c r="A43" s="400">
        <v>41</v>
      </c>
      <c r="B43" s="400">
        <v>2709</v>
      </c>
      <c r="C43" s="590" t="str">
        <f>VLOOKUP(B43,база!A:F,2,FALSE)</f>
        <v>Жуков Сергей Вячеславович</v>
      </c>
      <c r="D43" s="598">
        <v>45308</v>
      </c>
      <c r="E43" s="598">
        <v>45310</v>
      </c>
      <c r="F43" s="591">
        <f t="shared" si="3"/>
        <v>3</v>
      </c>
      <c r="G43" s="591">
        <v>1300</v>
      </c>
      <c r="H43" s="591">
        <f t="shared" si="4"/>
        <v>3900</v>
      </c>
      <c r="I43" s="600" t="s">
        <v>1070</v>
      </c>
      <c r="J43" s="600" t="s">
        <v>3696</v>
      </c>
      <c r="K43" s="601"/>
      <c r="L43" s="601"/>
      <c r="M43" s="601"/>
      <c r="N43" s="601"/>
      <c r="O43" s="535"/>
      <c r="P43" s="535"/>
      <c r="Q43" s="535"/>
      <c r="R43" s="535"/>
      <c r="S43" s="535"/>
      <c r="T43" s="535"/>
      <c r="U43" s="535"/>
      <c r="V43" s="535"/>
      <c r="W43" s="535"/>
      <c r="X43" s="403"/>
      <c r="Y43" s="403"/>
      <c r="Z43" s="403"/>
      <c r="AA43" s="602"/>
      <c r="AB43" s="599">
        <f t="shared" si="5"/>
        <v>0</v>
      </c>
      <c r="AC43" s="201"/>
      <c r="AD43" s="42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</row>
    <row r="44" spans="1:106" s="92" customFormat="1" ht="53.25" customHeight="1" x14ac:dyDescent="0.2">
      <c r="A44" s="400">
        <v>43</v>
      </c>
      <c r="B44" s="400">
        <v>89021</v>
      </c>
      <c r="C44" s="590" t="str">
        <f>VLOOKUP(B44,база!A:F,2,FALSE)</f>
        <v>Болгарова Светлана Андреевна</v>
      </c>
      <c r="D44" s="598">
        <v>45300</v>
      </c>
      <c r="E44" s="598">
        <v>45310</v>
      </c>
      <c r="F44" s="591">
        <f t="shared" si="3"/>
        <v>11</v>
      </c>
      <c r="G44" s="591">
        <v>1300</v>
      </c>
      <c r="H44" s="591">
        <f t="shared" si="4"/>
        <v>14300</v>
      </c>
      <c r="I44" s="600" t="s">
        <v>3675</v>
      </c>
      <c r="J44" s="600" t="s">
        <v>3676</v>
      </c>
      <c r="K44" s="601"/>
      <c r="L44" s="601"/>
      <c r="M44" s="601"/>
      <c r="N44" s="601"/>
      <c r="O44" s="535"/>
      <c r="P44" s="535"/>
      <c r="Q44" s="535"/>
      <c r="R44" s="535"/>
      <c r="S44" s="535"/>
      <c r="T44" s="535"/>
      <c r="U44" s="535"/>
      <c r="V44" s="535"/>
      <c r="W44" s="535"/>
      <c r="X44" s="403"/>
      <c r="Y44" s="403"/>
      <c r="Z44" s="403"/>
      <c r="AA44" s="602"/>
      <c r="AB44" s="599">
        <f t="shared" si="5"/>
        <v>0</v>
      </c>
      <c r="AC44" s="201"/>
      <c r="AD44" s="42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</row>
    <row r="45" spans="1:106" s="92" customFormat="1" ht="53.25" customHeight="1" x14ac:dyDescent="0.2">
      <c r="A45" s="400">
        <v>44</v>
      </c>
      <c r="B45" s="400">
        <v>2476</v>
      </c>
      <c r="C45" s="590" t="str">
        <f>VLOOKUP(B45,база!A:F,2,FALSE)</f>
        <v>Бэц Олег Ионович</v>
      </c>
      <c r="D45" s="598">
        <v>45306</v>
      </c>
      <c r="E45" s="598">
        <v>45308</v>
      </c>
      <c r="F45" s="591">
        <f t="shared" si="3"/>
        <v>3</v>
      </c>
      <c r="G45" s="591">
        <v>1300</v>
      </c>
      <c r="H45" s="591">
        <f t="shared" si="4"/>
        <v>3900</v>
      </c>
      <c r="I45" s="600" t="s">
        <v>3675</v>
      </c>
      <c r="J45" s="600" t="s">
        <v>3676</v>
      </c>
      <c r="K45" s="601"/>
      <c r="L45" s="601"/>
      <c r="M45" s="601"/>
      <c r="N45" s="601"/>
      <c r="O45" s="535"/>
      <c r="P45" s="535"/>
      <c r="Q45" s="535"/>
      <c r="R45" s="535"/>
      <c r="S45" s="535"/>
      <c r="T45" s="535"/>
      <c r="U45" s="535"/>
      <c r="V45" s="535"/>
      <c r="W45" s="535"/>
      <c r="X45" s="403"/>
      <c r="Y45" s="403"/>
      <c r="Z45" s="403"/>
      <c r="AA45" s="602"/>
      <c r="AB45" s="599">
        <f t="shared" si="5"/>
        <v>0</v>
      </c>
      <c r="AC45" s="201"/>
      <c r="AD45" s="42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</row>
    <row r="46" spans="1:106" s="92" customFormat="1" ht="53.25" customHeight="1" x14ac:dyDescent="0.2">
      <c r="A46" s="400">
        <v>45</v>
      </c>
      <c r="B46" s="400">
        <v>48767</v>
      </c>
      <c r="C46" s="590" t="str">
        <f>VLOOKUP(B46,база!A:F,2,FALSE)</f>
        <v>Афанасьев Виталий Викторович</v>
      </c>
      <c r="D46" s="598">
        <v>45306</v>
      </c>
      <c r="E46" s="598">
        <v>45308</v>
      </c>
      <c r="F46" s="591">
        <f t="shared" si="3"/>
        <v>3</v>
      </c>
      <c r="G46" s="591">
        <v>1300</v>
      </c>
      <c r="H46" s="591">
        <f t="shared" si="4"/>
        <v>3900</v>
      </c>
      <c r="I46" s="600" t="s">
        <v>3675</v>
      </c>
      <c r="J46" s="600" t="s">
        <v>3676</v>
      </c>
      <c r="K46" s="601"/>
      <c r="L46" s="601"/>
      <c r="M46" s="601"/>
      <c r="N46" s="601"/>
      <c r="O46" s="535"/>
      <c r="P46" s="535"/>
      <c r="Q46" s="535"/>
      <c r="R46" s="535"/>
      <c r="S46" s="535"/>
      <c r="T46" s="535"/>
      <c r="U46" s="535"/>
      <c r="V46" s="535"/>
      <c r="W46" s="535"/>
      <c r="X46" s="403"/>
      <c r="Y46" s="403"/>
      <c r="Z46" s="403"/>
      <c r="AA46" s="602"/>
      <c r="AB46" s="599">
        <f t="shared" si="5"/>
        <v>0</v>
      </c>
      <c r="AC46" s="201"/>
      <c r="AD46" s="42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</row>
    <row r="47" spans="1:106" s="92" customFormat="1" ht="53.25" customHeight="1" x14ac:dyDescent="0.2">
      <c r="A47" s="400">
        <v>46</v>
      </c>
      <c r="B47" s="400">
        <v>57288</v>
      </c>
      <c r="C47" s="590" t="str">
        <f>VLOOKUP(B47,база!A:F,2,FALSE)</f>
        <v>Шпак Денис Викторович</v>
      </c>
      <c r="D47" s="598">
        <v>45310</v>
      </c>
      <c r="E47" s="598">
        <v>45311</v>
      </c>
      <c r="F47" s="591">
        <f t="shared" si="3"/>
        <v>2</v>
      </c>
      <c r="G47" s="591">
        <v>1300</v>
      </c>
      <c r="H47" s="591">
        <f t="shared" si="4"/>
        <v>2600</v>
      </c>
      <c r="I47" s="600" t="s">
        <v>3691</v>
      </c>
      <c r="J47" s="600" t="s">
        <v>3692</v>
      </c>
      <c r="K47" s="601"/>
      <c r="L47" s="601"/>
      <c r="M47" s="601"/>
      <c r="N47" s="601"/>
      <c r="O47" s="535"/>
      <c r="P47" s="535"/>
      <c r="Q47" s="535"/>
      <c r="R47" s="535"/>
      <c r="S47" s="535"/>
      <c r="T47" s="535"/>
      <c r="U47" s="535"/>
      <c r="V47" s="535"/>
      <c r="W47" s="535"/>
      <c r="X47" s="403"/>
      <c r="Y47" s="403"/>
      <c r="Z47" s="403"/>
      <c r="AA47" s="602"/>
      <c r="AB47" s="599">
        <f t="shared" si="5"/>
        <v>0</v>
      </c>
      <c r="AC47" s="201"/>
      <c r="AD47" s="42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</row>
    <row r="48" spans="1:106" s="92" customFormat="1" ht="53.25" customHeight="1" x14ac:dyDescent="0.2">
      <c r="A48" s="400">
        <v>47</v>
      </c>
      <c r="B48" s="400">
        <v>69629</v>
      </c>
      <c r="C48" s="590" t="str">
        <f>VLOOKUP(B48,база!A:F,2,FALSE)</f>
        <v>Рахманин Алексей Николаевич</v>
      </c>
      <c r="D48" s="598">
        <v>45310</v>
      </c>
      <c r="E48" s="598">
        <v>45311</v>
      </c>
      <c r="F48" s="591">
        <f t="shared" si="3"/>
        <v>2</v>
      </c>
      <c r="G48" s="591">
        <v>1300</v>
      </c>
      <c r="H48" s="591">
        <f t="shared" si="4"/>
        <v>2600</v>
      </c>
      <c r="I48" s="600" t="s">
        <v>3691</v>
      </c>
      <c r="J48" s="600" t="s">
        <v>3692</v>
      </c>
      <c r="K48" s="601"/>
      <c r="L48" s="601"/>
      <c r="M48" s="601"/>
      <c r="N48" s="601"/>
      <c r="O48" s="535"/>
      <c r="P48" s="535"/>
      <c r="Q48" s="535"/>
      <c r="R48" s="535"/>
      <c r="S48" s="535"/>
      <c r="T48" s="535"/>
      <c r="U48" s="535"/>
      <c r="V48" s="535"/>
      <c r="W48" s="535"/>
      <c r="X48" s="403"/>
      <c r="Y48" s="403"/>
      <c r="Z48" s="403"/>
      <c r="AA48" s="602"/>
      <c r="AB48" s="599">
        <f t="shared" si="5"/>
        <v>0</v>
      </c>
      <c r="AC48" s="201"/>
      <c r="AD48" s="42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</row>
    <row r="49" spans="1:106" s="92" customFormat="1" ht="53.25" customHeight="1" x14ac:dyDescent="0.2">
      <c r="A49" s="400">
        <v>48</v>
      </c>
      <c r="B49" s="400">
        <v>174122</v>
      </c>
      <c r="C49" s="590" t="str">
        <f>VLOOKUP(B49,база!A:F,2,FALSE)</f>
        <v>Качубей Александр Александрович</v>
      </c>
      <c r="D49" s="598">
        <v>45305</v>
      </c>
      <c r="E49" s="598">
        <v>45308</v>
      </c>
      <c r="F49" s="591">
        <f t="shared" si="3"/>
        <v>4</v>
      </c>
      <c r="G49" s="591">
        <v>1300</v>
      </c>
      <c r="H49" s="591">
        <f t="shared" si="4"/>
        <v>5200</v>
      </c>
      <c r="I49" s="600" t="s">
        <v>3675</v>
      </c>
      <c r="J49" s="600" t="s">
        <v>3676</v>
      </c>
      <c r="K49" s="601"/>
      <c r="L49" s="601"/>
      <c r="M49" s="601"/>
      <c r="N49" s="601"/>
      <c r="O49" s="535"/>
      <c r="P49" s="535"/>
      <c r="Q49" s="535"/>
      <c r="R49" s="535"/>
      <c r="S49" s="535"/>
      <c r="T49" s="535"/>
      <c r="U49" s="535"/>
      <c r="V49" s="535"/>
      <c r="W49" s="535"/>
      <c r="X49" s="403"/>
      <c r="Y49" s="403"/>
      <c r="Z49" s="403"/>
      <c r="AA49" s="602"/>
      <c r="AB49" s="599">
        <f t="shared" si="5"/>
        <v>0</v>
      </c>
      <c r="AC49" s="201"/>
      <c r="AD49" s="42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</row>
    <row r="50" spans="1:106" s="92" customFormat="1" ht="53.25" customHeight="1" x14ac:dyDescent="0.2">
      <c r="A50" s="400">
        <v>49</v>
      </c>
      <c r="B50" s="400">
        <v>1782</v>
      </c>
      <c r="C50" s="590" t="str">
        <f>VLOOKUP(B50,база!A:F,2,FALSE)</f>
        <v>Гукенгеймер Виталий Рудольфович</v>
      </c>
      <c r="D50" s="598">
        <v>45309</v>
      </c>
      <c r="E50" s="598">
        <v>45310</v>
      </c>
      <c r="F50" s="591">
        <f t="shared" si="3"/>
        <v>2</v>
      </c>
      <c r="G50" s="591">
        <v>1300</v>
      </c>
      <c r="H50" s="591">
        <f t="shared" si="4"/>
        <v>2600</v>
      </c>
      <c r="I50" s="600" t="s">
        <v>3264</v>
      </c>
      <c r="J50" s="600" t="s">
        <v>3743</v>
      </c>
      <c r="K50" s="601"/>
      <c r="L50" s="601"/>
      <c r="M50" s="601"/>
      <c r="N50" s="601"/>
      <c r="O50" s="535"/>
      <c r="P50" s="535"/>
      <c r="Q50" s="535"/>
      <c r="R50" s="535"/>
      <c r="S50" s="535"/>
      <c r="T50" s="535"/>
      <c r="U50" s="535"/>
      <c r="V50" s="535"/>
      <c r="W50" s="535"/>
      <c r="X50" s="403"/>
      <c r="Y50" s="403"/>
      <c r="Z50" s="403"/>
      <c r="AA50" s="602"/>
      <c r="AB50" s="599">
        <f t="shared" si="5"/>
        <v>0</v>
      </c>
      <c r="AC50" s="201"/>
      <c r="AD50" s="42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</row>
    <row r="51" spans="1:106" s="92" customFormat="1" ht="53.25" customHeight="1" x14ac:dyDescent="0.2">
      <c r="A51" s="400">
        <v>50</v>
      </c>
      <c r="B51" s="400">
        <v>419</v>
      </c>
      <c r="C51" s="590" t="e">
        <f>VLOOKUP(B51,база!A:F,2,FALSE)</f>
        <v>#N/A</v>
      </c>
      <c r="D51" s="598">
        <v>45310</v>
      </c>
      <c r="E51" s="598">
        <v>45310</v>
      </c>
      <c r="F51" s="591"/>
      <c r="G51" s="591"/>
      <c r="H51" s="591"/>
      <c r="I51" s="600" t="s">
        <v>1070</v>
      </c>
      <c r="J51" s="600" t="s">
        <v>3696</v>
      </c>
      <c r="K51" s="601"/>
      <c r="L51" s="601"/>
      <c r="M51" s="601"/>
      <c r="N51" s="601"/>
      <c r="O51" s="535"/>
      <c r="P51" s="535"/>
      <c r="Q51" s="535"/>
      <c r="R51" s="535"/>
      <c r="S51" s="535"/>
      <c r="T51" s="535"/>
      <c r="U51" s="535"/>
      <c r="V51" s="535"/>
      <c r="W51" s="535"/>
      <c r="X51" s="403"/>
      <c r="Y51" s="403"/>
      <c r="Z51" s="403"/>
      <c r="AA51" s="602"/>
      <c r="AB51" s="599">
        <f t="shared" si="5"/>
        <v>0</v>
      </c>
      <c r="AC51" s="201"/>
      <c r="AD51" s="42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</row>
    <row r="52" spans="1:106" s="92" customFormat="1" ht="53.25" customHeight="1" x14ac:dyDescent="0.2">
      <c r="A52" s="400">
        <v>51</v>
      </c>
      <c r="B52" s="400">
        <v>132321</v>
      </c>
      <c r="C52" s="590" t="str">
        <f>VLOOKUP(B52,база!A:F,2,FALSE)</f>
        <v>Смоленцев Константин Николаевич</v>
      </c>
      <c r="D52" s="598">
        <v>45310</v>
      </c>
      <c r="E52" s="598">
        <v>45310</v>
      </c>
      <c r="F52" s="591"/>
      <c r="G52" s="591"/>
      <c r="H52" s="591"/>
      <c r="I52" s="600" t="s">
        <v>3713</v>
      </c>
      <c r="J52" s="600" t="s">
        <v>3714</v>
      </c>
      <c r="K52" s="601"/>
      <c r="L52" s="601"/>
      <c r="M52" s="601"/>
      <c r="N52" s="601"/>
      <c r="O52" s="535"/>
      <c r="P52" s="535"/>
      <c r="Q52" s="535"/>
      <c r="R52" s="535"/>
      <c r="S52" s="535"/>
      <c r="T52" s="535"/>
      <c r="U52" s="535"/>
      <c r="V52" s="535"/>
      <c r="W52" s="535"/>
      <c r="X52" s="403"/>
      <c r="Y52" s="403"/>
      <c r="Z52" s="403"/>
      <c r="AA52" s="602"/>
      <c r="AB52" s="599">
        <f t="shared" si="5"/>
        <v>0</v>
      </c>
      <c r="AC52" s="201"/>
      <c r="AD52" s="42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</row>
    <row r="53" spans="1:106" s="92" customFormat="1" ht="53.25" customHeight="1" x14ac:dyDescent="0.2">
      <c r="A53" s="400">
        <v>52</v>
      </c>
      <c r="B53" s="400">
        <v>2095</v>
      </c>
      <c r="C53" s="590" t="str">
        <f>VLOOKUP(B53,база!A:F,2,FALSE)</f>
        <v>Ляховец Светлана Петровна</v>
      </c>
      <c r="D53" s="598">
        <v>45308</v>
      </c>
      <c r="E53" s="598">
        <v>45310</v>
      </c>
      <c r="F53" s="591">
        <f t="shared" ref="F53:F73" si="6">E53-D53+1</f>
        <v>3</v>
      </c>
      <c r="G53" s="591">
        <v>1300</v>
      </c>
      <c r="H53" s="591">
        <f t="shared" ref="H53:H90" si="7">G53*F53</f>
        <v>3900</v>
      </c>
      <c r="I53" s="600" t="s">
        <v>1070</v>
      </c>
      <c r="J53" s="600" t="s">
        <v>3244</v>
      </c>
      <c r="K53" s="601"/>
      <c r="L53" s="601"/>
      <c r="M53" s="601"/>
      <c r="N53" s="601"/>
      <c r="O53" s="535"/>
      <c r="P53" s="535"/>
      <c r="Q53" s="535"/>
      <c r="R53" s="535"/>
      <c r="S53" s="535"/>
      <c r="T53" s="535"/>
      <c r="U53" s="535"/>
      <c r="V53" s="535"/>
      <c r="W53" s="535"/>
      <c r="X53" s="403"/>
      <c r="Y53" s="403"/>
      <c r="Z53" s="403"/>
      <c r="AA53" s="602"/>
      <c r="AB53" s="599">
        <f t="shared" si="5"/>
        <v>0</v>
      </c>
      <c r="AC53" s="201"/>
      <c r="AD53" s="42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</row>
    <row r="54" spans="1:106" s="92" customFormat="1" ht="53.25" customHeight="1" x14ac:dyDescent="0.2">
      <c r="A54" s="400">
        <v>53</v>
      </c>
      <c r="B54" s="400">
        <v>656</v>
      </c>
      <c r="C54" s="590" t="str">
        <f>VLOOKUP(B54,база!A:F,2,FALSE)</f>
        <v>Волынкина Александра Викторовна</v>
      </c>
      <c r="D54" s="598">
        <v>45308</v>
      </c>
      <c r="E54" s="598">
        <v>45310</v>
      </c>
      <c r="F54" s="591">
        <f t="shared" si="6"/>
        <v>3</v>
      </c>
      <c r="G54" s="591">
        <v>1300</v>
      </c>
      <c r="H54" s="591">
        <f t="shared" si="7"/>
        <v>3900</v>
      </c>
      <c r="I54" s="600" t="s">
        <v>1070</v>
      </c>
      <c r="J54" s="600" t="s">
        <v>3244</v>
      </c>
      <c r="K54" s="601"/>
      <c r="L54" s="601"/>
      <c r="M54" s="601"/>
      <c r="N54" s="601"/>
      <c r="O54" s="535"/>
      <c r="P54" s="535"/>
      <c r="Q54" s="535"/>
      <c r="R54" s="535"/>
      <c r="S54" s="535"/>
      <c r="T54" s="535"/>
      <c r="U54" s="535"/>
      <c r="V54" s="535"/>
      <c r="W54" s="535"/>
      <c r="X54" s="403"/>
      <c r="Y54" s="403"/>
      <c r="Z54" s="403"/>
      <c r="AA54" s="602"/>
      <c r="AB54" s="599">
        <f t="shared" si="5"/>
        <v>0</v>
      </c>
      <c r="AC54" s="201"/>
      <c r="AD54" s="42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</row>
    <row r="55" spans="1:106" s="92" customFormat="1" ht="53.25" customHeight="1" x14ac:dyDescent="0.2">
      <c r="A55" s="400">
        <v>54</v>
      </c>
      <c r="B55" s="400">
        <v>39725</v>
      </c>
      <c r="C55" s="590" t="str">
        <f>VLOOKUP(B55,база!A:F,2,FALSE)</f>
        <v>Бутузов Владимир Александрович</v>
      </c>
      <c r="D55" s="598">
        <v>45308</v>
      </c>
      <c r="E55" s="598">
        <v>45310</v>
      </c>
      <c r="F55" s="591">
        <f t="shared" si="6"/>
        <v>3</v>
      </c>
      <c r="G55" s="591">
        <v>1300</v>
      </c>
      <c r="H55" s="591">
        <f t="shared" si="7"/>
        <v>3900</v>
      </c>
      <c r="I55" s="600" t="s">
        <v>3625</v>
      </c>
      <c r="J55" s="600" t="s">
        <v>3596</v>
      </c>
      <c r="K55" s="601"/>
      <c r="L55" s="601"/>
      <c r="M55" s="601"/>
      <c r="N55" s="601"/>
      <c r="O55" s="535"/>
      <c r="P55" s="535"/>
      <c r="Q55" s="535"/>
      <c r="R55" s="535"/>
      <c r="S55" s="535"/>
      <c r="T55" s="535"/>
      <c r="U55" s="535"/>
      <c r="V55" s="535"/>
      <c r="W55" s="535"/>
      <c r="X55" s="403"/>
      <c r="Y55" s="403"/>
      <c r="Z55" s="403"/>
      <c r="AA55" s="602"/>
      <c r="AB55" s="599">
        <f t="shared" si="5"/>
        <v>0</v>
      </c>
      <c r="AC55" s="201"/>
      <c r="AD55" s="42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</row>
    <row r="56" spans="1:106" s="92" customFormat="1" ht="53.25" customHeight="1" x14ac:dyDescent="0.2">
      <c r="A56" s="400">
        <v>55</v>
      </c>
      <c r="B56" s="400">
        <v>40179</v>
      </c>
      <c r="C56" s="590" t="str">
        <f>VLOOKUP(B56,база!A:F,2,FALSE)</f>
        <v>Лаптев Александр Владимирович</v>
      </c>
      <c r="D56" s="598">
        <v>45294</v>
      </c>
      <c r="E56" s="598">
        <v>45303</v>
      </c>
      <c r="F56" s="591">
        <f t="shared" si="6"/>
        <v>10</v>
      </c>
      <c r="G56" s="591">
        <v>1300</v>
      </c>
      <c r="H56" s="591">
        <f t="shared" si="7"/>
        <v>13000</v>
      </c>
      <c r="I56" s="600" t="s">
        <v>3715</v>
      </c>
      <c r="J56" s="600" t="s">
        <v>373</v>
      </c>
      <c r="K56" s="601"/>
      <c r="L56" s="601"/>
      <c r="M56" s="601"/>
      <c r="N56" s="601"/>
      <c r="O56" s="535"/>
      <c r="P56" s="535"/>
      <c r="Q56" s="535"/>
      <c r="R56" s="535"/>
      <c r="S56" s="535"/>
      <c r="T56" s="535"/>
      <c r="U56" s="535"/>
      <c r="V56" s="535"/>
      <c r="W56" s="535"/>
      <c r="X56" s="403"/>
      <c r="Y56" s="403"/>
      <c r="Z56" s="403"/>
      <c r="AA56" s="602"/>
      <c r="AB56" s="599">
        <f t="shared" si="5"/>
        <v>0</v>
      </c>
      <c r="AC56" s="201"/>
      <c r="AD56" s="42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</row>
    <row r="57" spans="1:106" s="92" customFormat="1" ht="53.25" customHeight="1" x14ac:dyDescent="0.2">
      <c r="A57" s="400">
        <v>56</v>
      </c>
      <c r="B57" s="400">
        <v>204448</v>
      </c>
      <c r="C57" s="590" t="str">
        <f>VLOOKUP(B57,база!A:F,2,FALSE)</f>
        <v>Цуканов Кирилл Владимирович</v>
      </c>
      <c r="D57" s="598">
        <v>45306</v>
      </c>
      <c r="E57" s="598">
        <v>45310</v>
      </c>
      <c r="F57" s="591">
        <f t="shared" si="6"/>
        <v>5</v>
      </c>
      <c r="G57" s="591">
        <v>1300</v>
      </c>
      <c r="H57" s="591">
        <f t="shared" si="7"/>
        <v>6500</v>
      </c>
      <c r="I57" s="600" t="s">
        <v>3563</v>
      </c>
      <c r="J57" s="600" t="s">
        <v>3047</v>
      </c>
      <c r="K57" s="601"/>
      <c r="L57" s="601"/>
      <c r="M57" s="601"/>
      <c r="N57" s="601"/>
      <c r="O57" s="535"/>
      <c r="P57" s="535"/>
      <c r="Q57" s="535"/>
      <c r="R57" s="535"/>
      <c r="S57" s="535"/>
      <c r="T57" s="535"/>
      <c r="U57" s="535"/>
      <c r="V57" s="535"/>
      <c r="W57" s="535"/>
      <c r="X57" s="403"/>
      <c r="Y57" s="403"/>
      <c r="Z57" s="403"/>
      <c r="AA57" s="602"/>
      <c r="AB57" s="599">
        <f t="shared" si="5"/>
        <v>0</v>
      </c>
      <c r="AC57" s="201"/>
      <c r="AD57" s="42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</row>
    <row r="58" spans="1:106" s="92" customFormat="1" ht="53.25" customHeight="1" x14ac:dyDescent="0.2">
      <c r="A58" s="400">
        <v>57</v>
      </c>
      <c r="B58" s="400">
        <v>90380</v>
      </c>
      <c r="C58" s="590" t="str">
        <f>VLOOKUP(B58,база!A:F,2,FALSE)</f>
        <v>Билый Александр Игоревич</v>
      </c>
      <c r="D58" s="598">
        <v>45308</v>
      </c>
      <c r="E58" s="598">
        <v>45311</v>
      </c>
      <c r="F58" s="591">
        <f t="shared" si="6"/>
        <v>4</v>
      </c>
      <c r="G58" s="591">
        <v>1300</v>
      </c>
      <c r="H58" s="591">
        <f t="shared" si="7"/>
        <v>5200</v>
      </c>
      <c r="I58" s="600" t="s">
        <v>3754</v>
      </c>
      <c r="J58" s="600" t="s">
        <v>3744</v>
      </c>
      <c r="K58" s="601"/>
      <c r="L58" s="601"/>
      <c r="M58" s="601"/>
      <c r="N58" s="601"/>
      <c r="O58" s="535">
        <v>39264.18</v>
      </c>
      <c r="P58" s="535"/>
      <c r="Q58" s="535"/>
      <c r="R58" s="535"/>
      <c r="S58" s="535"/>
      <c r="T58" s="535"/>
      <c r="U58" s="535"/>
      <c r="V58" s="535"/>
      <c r="W58" s="535"/>
      <c r="X58" s="403"/>
      <c r="Y58" s="403"/>
      <c r="Z58" s="403"/>
      <c r="AA58" s="602"/>
      <c r="AB58" s="599">
        <f t="shared" si="5"/>
        <v>39264.18</v>
      </c>
      <c r="AC58" s="201"/>
      <c r="AD58" s="42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</row>
    <row r="59" spans="1:106" s="92" customFormat="1" ht="53.25" customHeight="1" x14ac:dyDescent="0.2">
      <c r="A59" s="400">
        <v>58</v>
      </c>
      <c r="B59" s="400">
        <v>259046</v>
      </c>
      <c r="C59" s="590" t="str">
        <f>VLOOKUP(B59,база!A:F,2,FALSE)</f>
        <v>Евсиевич Михаил Олегович</v>
      </c>
      <c r="D59" s="598">
        <v>45308</v>
      </c>
      <c r="E59" s="598">
        <v>45311</v>
      </c>
      <c r="F59" s="591">
        <f t="shared" si="6"/>
        <v>4</v>
      </c>
      <c r="G59" s="591">
        <v>1300</v>
      </c>
      <c r="H59" s="591">
        <f t="shared" si="7"/>
        <v>5200</v>
      </c>
      <c r="I59" s="600" t="s">
        <v>3754</v>
      </c>
      <c r="J59" s="600" t="s">
        <v>3733</v>
      </c>
      <c r="K59" s="601"/>
      <c r="L59" s="601"/>
      <c r="M59" s="601"/>
      <c r="N59" s="601"/>
      <c r="O59" s="535">
        <v>82875.539999999994</v>
      </c>
      <c r="P59" s="535"/>
      <c r="Q59" s="535"/>
      <c r="R59" s="535"/>
      <c r="S59" s="535"/>
      <c r="T59" s="535"/>
      <c r="U59" s="535"/>
      <c r="V59" s="535"/>
      <c r="W59" s="535"/>
      <c r="X59" s="403"/>
      <c r="Y59" s="403"/>
      <c r="Z59" s="403"/>
      <c r="AA59" s="602"/>
      <c r="AB59" s="599">
        <f t="shared" si="5"/>
        <v>82875.539999999994</v>
      </c>
      <c r="AC59" s="201"/>
      <c r="AD59" s="42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</row>
    <row r="60" spans="1:106" s="92" customFormat="1" ht="53.25" customHeight="1" x14ac:dyDescent="0.2">
      <c r="A60" s="400">
        <v>59</v>
      </c>
      <c r="B60" s="400">
        <v>2524</v>
      </c>
      <c r="C60" s="590" t="str">
        <f>VLOOKUP(B60,база!A:F,2,FALSE)</f>
        <v>Моиспанова Ольга Анатольевна</v>
      </c>
      <c r="D60" s="598">
        <v>45308</v>
      </c>
      <c r="E60" s="598">
        <v>45311</v>
      </c>
      <c r="F60" s="591">
        <f t="shared" si="6"/>
        <v>4</v>
      </c>
      <c r="G60" s="591">
        <v>1300</v>
      </c>
      <c r="H60" s="591">
        <f t="shared" si="7"/>
        <v>5200</v>
      </c>
      <c r="I60" s="600" t="s">
        <v>3754</v>
      </c>
      <c r="J60" s="600" t="s">
        <v>3733</v>
      </c>
      <c r="K60" s="601"/>
      <c r="L60" s="601"/>
      <c r="M60" s="601"/>
      <c r="N60" s="601"/>
      <c r="O60" s="535">
        <v>40291.46</v>
      </c>
      <c r="P60" s="535"/>
      <c r="Q60" s="535"/>
      <c r="R60" s="535"/>
      <c r="S60" s="535"/>
      <c r="T60" s="535"/>
      <c r="U60" s="535"/>
      <c r="V60" s="535"/>
      <c r="W60" s="535"/>
      <c r="X60" s="403"/>
      <c r="Y60" s="403"/>
      <c r="Z60" s="403"/>
      <c r="AA60" s="602"/>
      <c r="AB60" s="599">
        <f t="shared" si="5"/>
        <v>40291.46</v>
      </c>
      <c r="AC60" s="201"/>
      <c r="AD60" s="42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</row>
    <row r="61" spans="1:106" s="92" customFormat="1" ht="53.25" customHeight="1" x14ac:dyDescent="0.2">
      <c r="A61" s="400">
        <v>60</v>
      </c>
      <c r="B61" s="400">
        <v>306740</v>
      </c>
      <c r="C61" s="590" t="str">
        <f>VLOOKUP(B61,база!A:F,2,FALSE)</f>
        <v>Семенов Дмитрий Александрович</v>
      </c>
      <c r="D61" s="598">
        <v>45313</v>
      </c>
      <c r="E61" s="598">
        <v>45315</v>
      </c>
      <c r="F61" s="591">
        <f t="shared" si="6"/>
        <v>3</v>
      </c>
      <c r="G61" s="591">
        <v>1300</v>
      </c>
      <c r="H61" s="591">
        <f t="shared" si="7"/>
        <v>3900</v>
      </c>
      <c r="I61" s="600" t="s">
        <v>3745</v>
      </c>
      <c r="J61" s="600" t="s">
        <v>3047</v>
      </c>
      <c r="K61" s="601"/>
      <c r="L61" s="601"/>
      <c r="M61" s="601"/>
      <c r="N61" s="601"/>
      <c r="O61" s="535"/>
      <c r="P61" s="535"/>
      <c r="Q61" s="535"/>
      <c r="R61" s="535"/>
      <c r="S61" s="535"/>
      <c r="T61" s="535"/>
      <c r="U61" s="535"/>
      <c r="V61" s="535"/>
      <c r="W61" s="535"/>
      <c r="X61" s="403"/>
      <c r="Y61" s="403"/>
      <c r="Z61" s="403"/>
      <c r="AA61" s="602"/>
      <c r="AB61" s="599">
        <f t="shared" si="5"/>
        <v>0</v>
      </c>
      <c r="AC61" s="201"/>
      <c r="AD61" s="42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</row>
    <row r="62" spans="1:106" s="92" customFormat="1" ht="53.25" customHeight="1" x14ac:dyDescent="0.2">
      <c r="A62" s="400">
        <v>61</v>
      </c>
      <c r="B62" s="400">
        <v>246934</v>
      </c>
      <c r="C62" s="590" t="str">
        <f>VLOOKUP(B62,база!A:F,2,FALSE)</f>
        <v>Шаповалова Светлана Владимировна</v>
      </c>
      <c r="D62" s="598">
        <v>45313</v>
      </c>
      <c r="E62" s="598">
        <v>45315</v>
      </c>
      <c r="F62" s="591">
        <f t="shared" si="6"/>
        <v>3</v>
      </c>
      <c r="G62" s="591">
        <v>1300</v>
      </c>
      <c r="H62" s="591">
        <f t="shared" si="7"/>
        <v>3900</v>
      </c>
      <c r="I62" s="600" t="s">
        <v>3699</v>
      </c>
      <c r="J62" s="600" t="s">
        <v>3734</v>
      </c>
      <c r="K62" s="601"/>
      <c r="L62" s="601"/>
      <c r="M62" s="601"/>
      <c r="N62" s="601"/>
      <c r="O62" s="535"/>
      <c r="P62" s="535"/>
      <c r="Q62" s="535"/>
      <c r="R62" s="535"/>
      <c r="S62" s="535"/>
      <c r="T62" s="535"/>
      <c r="U62" s="535"/>
      <c r="V62" s="535"/>
      <c r="W62" s="535"/>
      <c r="X62" s="403"/>
      <c r="Y62" s="403"/>
      <c r="Z62" s="403"/>
      <c r="AA62" s="602"/>
      <c r="AB62" s="599">
        <f t="shared" si="5"/>
        <v>0</v>
      </c>
      <c r="AC62" s="201"/>
      <c r="AD62" s="42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</row>
    <row r="63" spans="1:106" s="92" customFormat="1" ht="53.25" customHeight="1" x14ac:dyDescent="0.2">
      <c r="A63" s="400">
        <v>62</v>
      </c>
      <c r="B63" s="400">
        <v>261616</v>
      </c>
      <c r="C63" s="590" t="str">
        <f>VLOOKUP(B63,база!A:F,2,FALSE)</f>
        <v>Жебит Павел Михайлович</v>
      </c>
      <c r="D63" s="598">
        <v>45313</v>
      </c>
      <c r="E63" s="598">
        <v>45316</v>
      </c>
      <c r="F63" s="591">
        <f t="shared" si="6"/>
        <v>4</v>
      </c>
      <c r="G63" s="591">
        <v>1300</v>
      </c>
      <c r="H63" s="591">
        <f t="shared" si="7"/>
        <v>5200</v>
      </c>
      <c r="I63" s="600" t="s">
        <v>3699</v>
      </c>
      <c r="J63" s="600" t="s">
        <v>3734</v>
      </c>
      <c r="K63" s="601"/>
      <c r="L63" s="601"/>
      <c r="M63" s="601"/>
      <c r="N63" s="601"/>
      <c r="O63" s="535"/>
      <c r="P63" s="535"/>
      <c r="Q63" s="535"/>
      <c r="R63" s="535"/>
      <c r="S63" s="535"/>
      <c r="T63" s="535"/>
      <c r="U63" s="535"/>
      <c r="V63" s="535"/>
      <c r="W63" s="535"/>
      <c r="X63" s="403"/>
      <c r="Y63" s="403"/>
      <c r="Z63" s="403"/>
      <c r="AA63" s="602"/>
      <c r="AB63" s="599">
        <f t="shared" si="5"/>
        <v>0</v>
      </c>
      <c r="AC63" s="201"/>
      <c r="AD63" s="42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</row>
    <row r="64" spans="1:106" s="92" customFormat="1" ht="53.25" customHeight="1" x14ac:dyDescent="0.2">
      <c r="A64" s="400">
        <v>63</v>
      </c>
      <c r="B64" s="400">
        <v>141799</v>
      </c>
      <c r="C64" s="590" t="str">
        <f>VLOOKUP(B64,база!A:F,2,FALSE)</f>
        <v>Башлыков Дмитрий Викторович</v>
      </c>
      <c r="D64" s="598">
        <v>45310</v>
      </c>
      <c r="E64" s="598">
        <v>45312</v>
      </c>
      <c r="F64" s="591">
        <f t="shared" si="6"/>
        <v>3</v>
      </c>
      <c r="G64" s="591">
        <v>1300</v>
      </c>
      <c r="H64" s="591">
        <f t="shared" si="7"/>
        <v>3900</v>
      </c>
      <c r="I64" s="600" t="s">
        <v>1070</v>
      </c>
      <c r="J64" s="600" t="s">
        <v>3717</v>
      </c>
      <c r="K64" s="601"/>
      <c r="L64" s="601"/>
      <c r="M64" s="601"/>
      <c r="N64" s="601"/>
      <c r="O64" s="535"/>
      <c r="P64" s="535"/>
      <c r="Q64" s="535"/>
      <c r="R64" s="535"/>
      <c r="S64" s="535"/>
      <c r="T64" s="535"/>
      <c r="U64" s="535"/>
      <c r="V64" s="535"/>
      <c r="W64" s="535"/>
      <c r="X64" s="403"/>
      <c r="Y64" s="403"/>
      <c r="Z64" s="403"/>
      <c r="AA64" s="602"/>
      <c r="AB64" s="599">
        <f t="shared" si="5"/>
        <v>0</v>
      </c>
      <c r="AC64" s="201"/>
      <c r="AD64" s="42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</row>
    <row r="65" spans="1:106" s="92" customFormat="1" ht="53.25" customHeight="1" x14ac:dyDescent="0.2">
      <c r="A65" s="400">
        <v>64</v>
      </c>
      <c r="B65" s="400">
        <v>179213</v>
      </c>
      <c r="C65" s="590" t="str">
        <f>VLOOKUP(B65,база!A:F,2,FALSE)</f>
        <v>Слепцов Александр Константинович</v>
      </c>
      <c r="D65" s="598">
        <v>45315</v>
      </c>
      <c r="E65" s="598">
        <v>45316</v>
      </c>
      <c r="F65" s="591">
        <f t="shared" si="6"/>
        <v>2</v>
      </c>
      <c r="G65" s="591">
        <v>1300</v>
      </c>
      <c r="H65" s="591">
        <f t="shared" si="7"/>
        <v>2600</v>
      </c>
      <c r="I65" s="600" t="s">
        <v>3718</v>
      </c>
      <c r="J65" s="600" t="s">
        <v>797</v>
      </c>
      <c r="K65" s="601"/>
      <c r="L65" s="601"/>
      <c r="M65" s="601"/>
      <c r="N65" s="601"/>
      <c r="O65" s="535"/>
      <c r="P65" s="535"/>
      <c r="Q65" s="535"/>
      <c r="R65" s="535"/>
      <c r="S65" s="535"/>
      <c r="T65" s="535"/>
      <c r="U65" s="535"/>
      <c r="V65" s="535"/>
      <c r="W65" s="535"/>
      <c r="X65" s="403"/>
      <c r="Y65" s="403"/>
      <c r="Z65" s="403"/>
      <c r="AA65" s="602"/>
      <c r="AB65" s="599">
        <f t="shared" si="5"/>
        <v>0</v>
      </c>
      <c r="AC65" s="201"/>
      <c r="AD65" s="42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</row>
    <row r="66" spans="1:106" s="92" customFormat="1" ht="53.25" customHeight="1" x14ac:dyDescent="0.2">
      <c r="A66" s="400">
        <v>65</v>
      </c>
      <c r="B66" s="400">
        <v>2613</v>
      </c>
      <c r="C66" s="590" t="str">
        <f>VLOOKUP(B66,база!A:F,2,FALSE)</f>
        <v>Сафиуллина Светлана Геннадьевна</v>
      </c>
      <c r="D66" s="598">
        <v>45307</v>
      </c>
      <c r="E66" s="598">
        <v>45311</v>
      </c>
      <c r="F66" s="591">
        <f t="shared" si="6"/>
        <v>5</v>
      </c>
      <c r="G66" s="591">
        <v>1300</v>
      </c>
      <c r="H66" s="591">
        <f t="shared" si="7"/>
        <v>6500</v>
      </c>
      <c r="I66" s="600" t="s">
        <v>3719</v>
      </c>
      <c r="J66" s="600" t="s">
        <v>3720</v>
      </c>
      <c r="K66" s="601"/>
      <c r="L66" s="601"/>
      <c r="M66" s="601"/>
      <c r="N66" s="601"/>
      <c r="O66" s="535"/>
      <c r="P66" s="535"/>
      <c r="Q66" s="535"/>
      <c r="R66" s="535"/>
      <c r="S66" s="535"/>
      <c r="T66" s="535"/>
      <c r="U66" s="535"/>
      <c r="V66" s="535"/>
      <c r="W66" s="535"/>
      <c r="X66" s="403"/>
      <c r="Y66" s="403"/>
      <c r="Z66" s="403"/>
      <c r="AA66" s="602"/>
      <c r="AB66" s="599">
        <f t="shared" ref="AB66:AB90" si="8">SUM(O66:AA66)</f>
        <v>0</v>
      </c>
      <c r="AC66" s="201"/>
      <c r="AD66" s="42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</row>
    <row r="67" spans="1:106" s="92" customFormat="1" ht="53.25" customHeight="1" x14ac:dyDescent="0.2">
      <c r="A67" s="400">
        <v>66</v>
      </c>
      <c r="B67" s="400">
        <v>26321</v>
      </c>
      <c r="C67" s="590" t="str">
        <f>VLOOKUP(B67,база!A:F,2,FALSE)</f>
        <v>Березкин Кирилл Аркадьевич</v>
      </c>
      <c r="D67" s="598">
        <v>45315</v>
      </c>
      <c r="E67" s="598">
        <v>45316</v>
      </c>
      <c r="F67" s="591">
        <f t="shared" si="6"/>
        <v>2</v>
      </c>
      <c r="G67" s="591">
        <v>1300</v>
      </c>
      <c r="H67" s="591">
        <f t="shared" si="7"/>
        <v>2600</v>
      </c>
      <c r="I67" s="600" t="s">
        <v>3746</v>
      </c>
      <c r="J67" s="600" t="s">
        <v>3046</v>
      </c>
      <c r="K67" s="601"/>
      <c r="L67" s="601"/>
      <c r="M67" s="601"/>
      <c r="N67" s="601"/>
      <c r="O67" s="535"/>
      <c r="P67" s="535"/>
      <c r="Q67" s="535"/>
      <c r="R67" s="535"/>
      <c r="S67" s="535"/>
      <c r="T67" s="535"/>
      <c r="U67" s="535"/>
      <c r="V67" s="535"/>
      <c r="W67" s="535"/>
      <c r="X67" s="403"/>
      <c r="Y67" s="403"/>
      <c r="Z67" s="403"/>
      <c r="AA67" s="602"/>
      <c r="AB67" s="599">
        <f t="shared" si="8"/>
        <v>0</v>
      </c>
      <c r="AC67" s="201"/>
      <c r="AD67" s="42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</row>
    <row r="68" spans="1:106" s="92" customFormat="1" ht="53.25" customHeight="1" x14ac:dyDescent="0.2">
      <c r="A68" s="400">
        <v>67</v>
      </c>
      <c r="B68" s="400">
        <v>82383</v>
      </c>
      <c r="C68" s="590" t="str">
        <f>VLOOKUP(B68,база!A:F,2,FALSE)</f>
        <v>Власов Дмитрий Михайлович</v>
      </c>
      <c r="D68" s="598">
        <v>45314</v>
      </c>
      <c r="E68" s="598">
        <v>45316</v>
      </c>
      <c r="F68" s="591">
        <f t="shared" si="6"/>
        <v>3</v>
      </c>
      <c r="G68" s="591">
        <v>1300</v>
      </c>
      <c r="H68" s="591">
        <f t="shared" si="7"/>
        <v>3900</v>
      </c>
      <c r="I68" s="600" t="s">
        <v>3697</v>
      </c>
      <c r="J68" s="600" t="s">
        <v>3047</v>
      </c>
      <c r="K68" s="601"/>
      <c r="L68" s="601"/>
      <c r="M68" s="601"/>
      <c r="N68" s="601"/>
      <c r="O68" s="535"/>
      <c r="P68" s="535"/>
      <c r="Q68" s="535"/>
      <c r="R68" s="535"/>
      <c r="S68" s="535"/>
      <c r="T68" s="535"/>
      <c r="U68" s="535"/>
      <c r="V68" s="535"/>
      <c r="W68" s="535"/>
      <c r="X68" s="403"/>
      <c r="Y68" s="403"/>
      <c r="Z68" s="403"/>
      <c r="AA68" s="602"/>
      <c r="AB68" s="599">
        <f t="shared" si="8"/>
        <v>0</v>
      </c>
      <c r="AC68" s="201"/>
      <c r="AD68" s="42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</row>
    <row r="69" spans="1:106" s="92" customFormat="1" ht="53.25" customHeight="1" x14ac:dyDescent="0.2">
      <c r="A69" s="400">
        <v>68</v>
      </c>
      <c r="B69" s="400">
        <v>106594</v>
      </c>
      <c r="C69" s="590" t="str">
        <f>VLOOKUP(B69,база!A:F,2,FALSE)</f>
        <v>Кучеренко Андрей Юрьевич</v>
      </c>
      <c r="D69" s="598">
        <v>45313</v>
      </c>
      <c r="E69" s="598">
        <v>45317</v>
      </c>
      <c r="F69" s="591">
        <f t="shared" si="6"/>
        <v>5</v>
      </c>
      <c r="G69" s="591">
        <v>1300</v>
      </c>
      <c r="H69" s="591">
        <f t="shared" si="7"/>
        <v>6500</v>
      </c>
      <c r="I69" s="600" t="s">
        <v>3652</v>
      </c>
      <c r="J69" s="600" t="s">
        <v>3596</v>
      </c>
      <c r="K69" s="601"/>
      <c r="L69" s="601"/>
      <c r="M69" s="601"/>
      <c r="N69" s="601"/>
      <c r="O69" s="535"/>
      <c r="P69" s="535"/>
      <c r="Q69" s="535"/>
      <c r="R69" s="535"/>
      <c r="S69" s="535"/>
      <c r="T69" s="535"/>
      <c r="U69" s="535"/>
      <c r="V69" s="535"/>
      <c r="W69" s="535"/>
      <c r="X69" s="403"/>
      <c r="Y69" s="403"/>
      <c r="Z69" s="403"/>
      <c r="AA69" s="602"/>
      <c r="AB69" s="599">
        <f t="shared" si="8"/>
        <v>0</v>
      </c>
      <c r="AC69" s="201"/>
      <c r="AD69" s="42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</row>
    <row r="70" spans="1:106" s="92" customFormat="1" ht="53.25" customHeight="1" x14ac:dyDescent="0.2">
      <c r="A70" s="400">
        <v>69</v>
      </c>
      <c r="B70" s="400">
        <v>160425</v>
      </c>
      <c r="C70" s="590" t="str">
        <f>VLOOKUP(B70,база!A:F,2,FALSE)</f>
        <v>Карпухин Федор Геннадьевич</v>
      </c>
      <c r="D70" s="598">
        <v>45313</v>
      </c>
      <c r="E70" s="598">
        <v>45317</v>
      </c>
      <c r="F70" s="591">
        <f t="shared" si="6"/>
        <v>5</v>
      </c>
      <c r="G70" s="591">
        <v>1300</v>
      </c>
      <c r="H70" s="591">
        <f t="shared" si="7"/>
        <v>6500</v>
      </c>
      <c r="I70" s="600" t="s">
        <v>3697</v>
      </c>
      <c r="J70" s="600" t="s">
        <v>3047</v>
      </c>
      <c r="K70" s="601"/>
      <c r="L70" s="601"/>
      <c r="M70" s="601"/>
      <c r="N70" s="601"/>
      <c r="O70" s="535"/>
      <c r="P70" s="535"/>
      <c r="Q70" s="535"/>
      <c r="R70" s="535"/>
      <c r="S70" s="535"/>
      <c r="T70" s="535"/>
      <c r="U70" s="535"/>
      <c r="V70" s="535"/>
      <c r="W70" s="535"/>
      <c r="X70" s="403"/>
      <c r="Y70" s="403"/>
      <c r="Z70" s="403"/>
      <c r="AA70" s="602"/>
      <c r="AB70" s="599">
        <f t="shared" si="8"/>
        <v>0</v>
      </c>
      <c r="AC70" s="201"/>
      <c r="AD70" s="42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</row>
    <row r="71" spans="1:106" s="92" customFormat="1" ht="53.25" customHeight="1" x14ac:dyDescent="0.2">
      <c r="A71" s="400">
        <v>70</v>
      </c>
      <c r="B71" s="400">
        <v>1773</v>
      </c>
      <c r="C71" s="590" t="str">
        <f>VLOOKUP(B71,база!A:F,2,FALSE)</f>
        <v>Колмаков Алексей Викторович</v>
      </c>
      <c r="D71" s="598">
        <v>45316</v>
      </c>
      <c r="E71" s="598">
        <v>45317</v>
      </c>
      <c r="F71" s="591">
        <f t="shared" si="6"/>
        <v>2</v>
      </c>
      <c r="G71" s="591">
        <v>1300</v>
      </c>
      <c r="H71" s="591">
        <f t="shared" si="7"/>
        <v>2600</v>
      </c>
      <c r="I71" s="600" t="s">
        <v>3015</v>
      </c>
      <c r="J71" s="600" t="s">
        <v>3490</v>
      </c>
      <c r="K71" s="601"/>
      <c r="L71" s="601"/>
      <c r="M71" s="601"/>
      <c r="N71" s="601"/>
      <c r="O71" s="535"/>
      <c r="P71" s="535"/>
      <c r="Q71" s="535"/>
      <c r="R71" s="535"/>
      <c r="S71" s="535"/>
      <c r="T71" s="535"/>
      <c r="U71" s="535"/>
      <c r="V71" s="535"/>
      <c r="W71" s="535"/>
      <c r="X71" s="403"/>
      <c r="Y71" s="403"/>
      <c r="Z71" s="403"/>
      <c r="AA71" s="602"/>
      <c r="AB71" s="599">
        <f t="shared" si="8"/>
        <v>0</v>
      </c>
      <c r="AC71" s="201"/>
      <c r="AD71" s="42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</row>
    <row r="72" spans="1:106" s="92" customFormat="1" ht="53.25" customHeight="1" x14ac:dyDescent="0.2">
      <c r="A72" s="400">
        <v>71</v>
      </c>
      <c r="B72" s="400">
        <v>13570</v>
      </c>
      <c r="C72" s="590" t="str">
        <f>VLOOKUP(B72,база!A:F,2,FALSE)</f>
        <v>Самыкин Виктор Николаевич</v>
      </c>
      <c r="D72" s="598">
        <v>45315</v>
      </c>
      <c r="E72" s="598">
        <v>45317</v>
      </c>
      <c r="F72" s="591">
        <f t="shared" si="6"/>
        <v>3</v>
      </c>
      <c r="G72" s="591">
        <v>1300</v>
      </c>
      <c r="H72" s="591">
        <f t="shared" si="7"/>
        <v>3900</v>
      </c>
      <c r="I72" s="600" t="s">
        <v>3264</v>
      </c>
      <c r="J72" s="600" t="s">
        <v>3698</v>
      </c>
      <c r="K72" s="601"/>
      <c r="L72" s="601"/>
      <c r="M72" s="601"/>
      <c r="N72" s="601"/>
      <c r="O72" s="535"/>
      <c r="P72" s="535"/>
      <c r="Q72" s="535"/>
      <c r="R72" s="535"/>
      <c r="S72" s="535"/>
      <c r="T72" s="535"/>
      <c r="U72" s="535"/>
      <c r="V72" s="535"/>
      <c r="W72" s="535"/>
      <c r="X72" s="403"/>
      <c r="Y72" s="403"/>
      <c r="Z72" s="403"/>
      <c r="AA72" s="602"/>
      <c r="AB72" s="599">
        <f t="shared" si="8"/>
        <v>0</v>
      </c>
      <c r="AC72" s="201"/>
      <c r="AD72" s="42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</row>
    <row r="73" spans="1:106" s="92" customFormat="1" ht="53.25" customHeight="1" x14ac:dyDescent="0.2">
      <c r="A73" s="400">
        <v>73</v>
      </c>
      <c r="B73" s="400">
        <v>2677</v>
      </c>
      <c r="C73" s="590" t="str">
        <f>VLOOKUP(B73,база!A:F,2,FALSE)</f>
        <v>Михайленко Александр Владимирович</v>
      </c>
      <c r="D73" s="598">
        <v>45315</v>
      </c>
      <c r="E73" s="598">
        <v>45318</v>
      </c>
      <c r="F73" s="591">
        <f t="shared" si="6"/>
        <v>4</v>
      </c>
      <c r="G73" s="591">
        <v>1300</v>
      </c>
      <c r="H73" s="591">
        <f t="shared" si="7"/>
        <v>5200</v>
      </c>
      <c r="I73" s="600" t="s">
        <v>3672</v>
      </c>
      <c r="J73" s="600" t="s">
        <v>3735</v>
      </c>
      <c r="K73" s="601"/>
      <c r="L73" s="601"/>
      <c r="M73" s="601"/>
      <c r="N73" s="601"/>
      <c r="O73" s="535"/>
      <c r="P73" s="535"/>
      <c r="Q73" s="535"/>
      <c r="R73" s="535"/>
      <c r="S73" s="535"/>
      <c r="T73" s="535"/>
      <c r="U73" s="535"/>
      <c r="V73" s="535"/>
      <c r="W73" s="535"/>
      <c r="X73" s="403"/>
      <c r="Y73" s="403"/>
      <c r="Z73" s="403"/>
      <c r="AA73" s="602"/>
      <c r="AB73" s="599">
        <f t="shared" si="8"/>
        <v>0</v>
      </c>
      <c r="AC73" s="201"/>
      <c r="AD73" s="42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</row>
    <row r="74" spans="1:106" s="92" customFormat="1" ht="53.25" customHeight="1" x14ac:dyDescent="0.2">
      <c r="A74" s="400">
        <v>74</v>
      </c>
      <c r="B74" s="400">
        <v>107052</v>
      </c>
      <c r="C74" s="590" t="str">
        <f>VLOOKUP(B74,база!A:F,2,FALSE)</f>
        <v>Исаков Сергей Викторович</v>
      </c>
      <c r="D74" s="598">
        <v>45315</v>
      </c>
      <c r="E74" s="598">
        <v>45317</v>
      </c>
      <c r="F74" s="591">
        <v>2.5</v>
      </c>
      <c r="G74" s="591">
        <v>1300</v>
      </c>
      <c r="H74" s="591">
        <f t="shared" si="7"/>
        <v>3250</v>
      </c>
      <c r="I74" s="600" t="s">
        <v>3736</v>
      </c>
      <c r="J74" s="600" t="s">
        <v>3737</v>
      </c>
      <c r="K74" s="601"/>
      <c r="L74" s="601"/>
      <c r="M74" s="601"/>
      <c r="N74" s="601"/>
      <c r="O74" s="535"/>
      <c r="P74" s="535"/>
      <c r="Q74" s="535"/>
      <c r="R74" s="535"/>
      <c r="S74" s="535"/>
      <c r="T74" s="535"/>
      <c r="U74" s="535"/>
      <c r="V74" s="535"/>
      <c r="W74" s="535"/>
      <c r="X74" s="403"/>
      <c r="Y74" s="403"/>
      <c r="Z74" s="403"/>
      <c r="AA74" s="602"/>
      <c r="AB74" s="599">
        <f t="shared" si="8"/>
        <v>0</v>
      </c>
      <c r="AC74" s="201"/>
      <c r="AD74" s="42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</row>
    <row r="75" spans="1:106" s="92" customFormat="1" ht="53.25" customHeight="1" x14ac:dyDescent="0.2">
      <c r="A75" s="400">
        <v>75</v>
      </c>
      <c r="B75" s="400">
        <v>2346</v>
      </c>
      <c r="C75" s="590" t="str">
        <f>VLOOKUP(B75,база!A:F,2,FALSE)</f>
        <v>Бурмасов Игорь Андреевич</v>
      </c>
      <c r="D75" s="598">
        <v>45316</v>
      </c>
      <c r="E75" s="598">
        <v>45318</v>
      </c>
      <c r="F75" s="591">
        <f t="shared" ref="F75:F89" si="9">E75-D75+1</f>
        <v>3</v>
      </c>
      <c r="G75" s="591">
        <v>1300</v>
      </c>
      <c r="H75" s="591">
        <f t="shared" si="7"/>
        <v>3900</v>
      </c>
      <c r="I75" s="600" t="s">
        <v>1070</v>
      </c>
      <c r="J75" s="600" t="s">
        <v>3711</v>
      </c>
      <c r="K75" s="601"/>
      <c r="L75" s="601"/>
      <c r="M75" s="601"/>
      <c r="N75" s="601"/>
      <c r="O75" s="535"/>
      <c r="P75" s="535"/>
      <c r="Q75" s="535"/>
      <c r="R75" s="535"/>
      <c r="S75" s="535"/>
      <c r="T75" s="535"/>
      <c r="U75" s="535"/>
      <c r="V75" s="535"/>
      <c r="W75" s="535"/>
      <c r="X75" s="403"/>
      <c r="Y75" s="403"/>
      <c r="Z75" s="403"/>
      <c r="AA75" s="602"/>
      <c r="AB75" s="599">
        <f t="shared" si="8"/>
        <v>0</v>
      </c>
      <c r="AC75" s="201"/>
      <c r="AD75" s="42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</row>
    <row r="76" spans="1:106" s="92" customFormat="1" ht="53.25" customHeight="1" x14ac:dyDescent="0.2">
      <c r="A76" s="400">
        <v>76</v>
      </c>
      <c r="B76" s="400">
        <v>160425</v>
      </c>
      <c r="C76" s="590" t="str">
        <f>VLOOKUP(B76,база!A:F,2,FALSE)</f>
        <v>Карпухин Федор Геннадьевич</v>
      </c>
      <c r="D76" s="598">
        <v>45306</v>
      </c>
      <c r="E76" s="598">
        <v>45310</v>
      </c>
      <c r="F76" s="591">
        <f t="shared" si="9"/>
        <v>5</v>
      </c>
      <c r="G76" s="591">
        <v>1300</v>
      </c>
      <c r="H76" s="591">
        <f t="shared" si="7"/>
        <v>6500</v>
      </c>
      <c r="I76" s="600" t="s">
        <v>3563</v>
      </c>
      <c r="J76" s="600" t="s">
        <v>3047</v>
      </c>
      <c r="K76" s="601"/>
      <c r="L76" s="601"/>
      <c r="M76" s="601"/>
      <c r="N76" s="601"/>
      <c r="O76" s="535"/>
      <c r="P76" s="535"/>
      <c r="Q76" s="535"/>
      <c r="R76" s="535"/>
      <c r="S76" s="535"/>
      <c r="T76" s="535"/>
      <c r="U76" s="535"/>
      <c r="V76" s="535"/>
      <c r="W76" s="535"/>
      <c r="X76" s="403"/>
      <c r="Y76" s="403"/>
      <c r="Z76" s="403"/>
      <c r="AA76" s="602"/>
      <c r="AB76" s="599">
        <f t="shared" si="8"/>
        <v>0</v>
      </c>
      <c r="AC76" s="201"/>
      <c r="AD76" s="42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</row>
    <row r="77" spans="1:106" s="92" customFormat="1" ht="53.25" customHeight="1" x14ac:dyDescent="0.2">
      <c r="A77" s="400">
        <v>77</v>
      </c>
      <c r="B77" s="400">
        <v>113837</v>
      </c>
      <c r="C77" s="590" t="str">
        <f>VLOOKUP(B77,база!A:F,2,FALSE)</f>
        <v>Сушинцев Валерий Валентинович</v>
      </c>
      <c r="D77" s="598">
        <v>45315</v>
      </c>
      <c r="E77" s="598">
        <v>45318</v>
      </c>
      <c r="F77" s="591">
        <f t="shared" si="9"/>
        <v>4</v>
      </c>
      <c r="G77" s="591">
        <v>1300</v>
      </c>
      <c r="H77" s="591">
        <f t="shared" si="7"/>
        <v>5200</v>
      </c>
      <c r="I77" s="600" t="s">
        <v>3721</v>
      </c>
      <c r="J77" s="600" t="s">
        <v>3722</v>
      </c>
      <c r="K77" s="601"/>
      <c r="L77" s="601"/>
      <c r="M77" s="601"/>
      <c r="N77" s="601"/>
      <c r="O77" s="535"/>
      <c r="P77" s="535"/>
      <c r="Q77" s="535"/>
      <c r="R77" s="535"/>
      <c r="S77" s="535"/>
      <c r="T77" s="535"/>
      <c r="U77" s="535"/>
      <c r="V77" s="535"/>
      <c r="W77" s="535"/>
      <c r="X77" s="403"/>
      <c r="Y77" s="403"/>
      <c r="Z77" s="403"/>
      <c r="AA77" s="602"/>
      <c r="AB77" s="599">
        <f t="shared" si="8"/>
        <v>0</v>
      </c>
      <c r="AC77" s="201"/>
      <c r="AD77" s="42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</row>
    <row r="78" spans="1:106" s="92" customFormat="1" ht="53.25" customHeight="1" x14ac:dyDescent="0.2">
      <c r="A78" s="400">
        <v>78</v>
      </c>
      <c r="B78" s="400">
        <v>2524</v>
      </c>
      <c r="C78" s="590" t="str">
        <f>VLOOKUP(B78,база!A:F,2,FALSE)</f>
        <v>Моиспанова Ольга Анатольевна</v>
      </c>
      <c r="D78" s="598">
        <v>45316</v>
      </c>
      <c r="E78" s="598">
        <v>45318</v>
      </c>
      <c r="F78" s="591">
        <f t="shared" si="9"/>
        <v>3</v>
      </c>
      <c r="G78" s="591">
        <v>1300</v>
      </c>
      <c r="H78" s="591">
        <f t="shared" si="7"/>
        <v>3900</v>
      </c>
      <c r="I78" s="600" t="s">
        <v>1070</v>
      </c>
      <c r="J78" s="600" t="s">
        <v>3711</v>
      </c>
      <c r="K78" s="601"/>
      <c r="L78" s="601"/>
      <c r="M78" s="601"/>
      <c r="N78" s="601"/>
      <c r="O78" s="535"/>
      <c r="P78" s="535"/>
      <c r="Q78" s="535"/>
      <c r="R78" s="535"/>
      <c r="S78" s="535"/>
      <c r="T78" s="535"/>
      <c r="U78" s="535"/>
      <c r="V78" s="535"/>
      <c r="W78" s="535"/>
      <c r="X78" s="403"/>
      <c r="Y78" s="403"/>
      <c r="Z78" s="403"/>
      <c r="AA78" s="602"/>
      <c r="AB78" s="599">
        <f t="shared" si="8"/>
        <v>0</v>
      </c>
      <c r="AC78" s="201"/>
      <c r="AD78" s="42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</row>
    <row r="79" spans="1:106" s="92" customFormat="1" ht="53.25" customHeight="1" x14ac:dyDescent="0.2">
      <c r="A79" s="400">
        <v>79</v>
      </c>
      <c r="B79" s="400">
        <v>2709</v>
      </c>
      <c r="C79" s="590" t="str">
        <f>VLOOKUP(B79,база!A:F,2,FALSE)</f>
        <v>Жуков Сергей Вячеславович</v>
      </c>
      <c r="D79" s="598">
        <v>45314</v>
      </c>
      <c r="E79" s="598">
        <v>45318</v>
      </c>
      <c r="F79" s="591">
        <f t="shared" si="9"/>
        <v>5</v>
      </c>
      <c r="G79" s="591">
        <v>1300</v>
      </c>
      <c r="H79" s="591">
        <f t="shared" si="7"/>
        <v>6500</v>
      </c>
      <c r="I79" s="600" t="s">
        <v>1070</v>
      </c>
      <c r="J79" s="600" t="s">
        <v>3696</v>
      </c>
      <c r="K79" s="601"/>
      <c r="L79" s="601"/>
      <c r="M79" s="601"/>
      <c r="N79" s="601"/>
      <c r="O79" s="535"/>
      <c r="P79" s="535"/>
      <c r="Q79" s="535"/>
      <c r="R79" s="535"/>
      <c r="S79" s="535"/>
      <c r="T79" s="535"/>
      <c r="U79" s="535"/>
      <c r="V79" s="535"/>
      <c r="W79" s="535"/>
      <c r="X79" s="403"/>
      <c r="Y79" s="403"/>
      <c r="Z79" s="403"/>
      <c r="AA79" s="602"/>
      <c r="AB79" s="599">
        <f t="shared" si="8"/>
        <v>0</v>
      </c>
      <c r="AC79" s="201"/>
      <c r="AD79" s="42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</row>
    <row r="80" spans="1:106" s="92" customFormat="1" ht="53.25" customHeight="1" x14ac:dyDescent="0.2">
      <c r="A80" s="400">
        <v>80</v>
      </c>
      <c r="B80" s="400">
        <v>1785</v>
      </c>
      <c r="C80" s="590" t="str">
        <f>VLOOKUP(B80,база!A:F,2,FALSE)</f>
        <v>Стачинская Оксана Владимировна</v>
      </c>
      <c r="D80" s="598">
        <v>45314</v>
      </c>
      <c r="E80" s="598">
        <v>45318</v>
      </c>
      <c r="F80" s="591">
        <f t="shared" si="9"/>
        <v>5</v>
      </c>
      <c r="G80" s="591">
        <v>1300</v>
      </c>
      <c r="H80" s="591">
        <f t="shared" si="7"/>
        <v>6500</v>
      </c>
      <c r="I80" s="600" t="s">
        <v>1070</v>
      </c>
      <c r="J80" s="600" t="s">
        <v>3696</v>
      </c>
      <c r="K80" s="601"/>
      <c r="L80" s="601"/>
      <c r="M80" s="601"/>
      <c r="N80" s="601"/>
      <c r="O80" s="535"/>
      <c r="P80" s="535"/>
      <c r="Q80" s="535"/>
      <c r="R80" s="535"/>
      <c r="S80" s="535"/>
      <c r="T80" s="535"/>
      <c r="U80" s="535"/>
      <c r="V80" s="535"/>
      <c r="W80" s="535"/>
      <c r="X80" s="403"/>
      <c r="Y80" s="403"/>
      <c r="Z80" s="403"/>
      <c r="AA80" s="602"/>
      <c r="AB80" s="599">
        <f t="shared" si="8"/>
        <v>0</v>
      </c>
      <c r="AC80" s="201"/>
      <c r="AD80" s="42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</row>
    <row r="81" spans="1:106" s="92" customFormat="1" ht="53.25" customHeight="1" x14ac:dyDescent="0.2">
      <c r="A81" s="400">
        <v>81</v>
      </c>
      <c r="B81" s="400">
        <v>2962</v>
      </c>
      <c r="C81" s="590" t="str">
        <f>VLOOKUP(B81,база!A:F,2,FALSE)</f>
        <v>Крюкова Ксения Константиновна</v>
      </c>
      <c r="D81" s="598">
        <v>45314</v>
      </c>
      <c r="E81" s="598">
        <v>45318</v>
      </c>
      <c r="F81" s="591">
        <f t="shared" si="9"/>
        <v>5</v>
      </c>
      <c r="G81" s="591">
        <v>1300</v>
      </c>
      <c r="H81" s="591">
        <f t="shared" si="7"/>
        <v>6500</v>
      </c>
      <c r="I81" s="600" t="s">
        <v>1070</v>
      </c>
      <c r="J81" s="600" t="s">
        <v>3696</v>
      </c>
      <c r="K81" s="601"/>
      <c r="L81" s="601"/>
      <c r="M81" s="601"/>
      <c r="N81" s="601"/>
      <c r="O81" s="535"/>
      <c r="P81" s="535"/>
      <c r="Q81" s="535"/>
      <c r="R81" s="535"/>
      <c r="S81" s="535"/>
      <c r="T81" s="535"/>
      <c r="U81" s="535"/>
      <c r="V81" s="535"/>
      <c r="W81" s="535"/>
      <c r="X81" s="403"/>
      <c r="Y81" s="403"/>
      <c r="Z81" s="403"/>
      <c r="AA81" s="602"/>
      <c r="AB81" s="599">
        <f t="shared" si="8"/>
        <v>0</v>
      </c>
      <c r="AC81" s="201"/>
      <c r="AD81" s="42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</row>
    <row r="82" spans="1:106" s="92" customFormat="1" ht="53.25" customHeight="1" x14ac:dyDescent="0.2">
      <c r="A82" s="400">
        <v>82</v>
      </c>
      <c r="B82" s="400">
        <v>15329</v>
      </c>
      <c r="C82" s="590" t="str">
        <f>VLOOKUP(B82,база!A:F,2,FALSE)</f>
        <v>Миннуллин Ренат Фанильевич</v>
      </c>
      <c r="D82" s="598">
        <v>45280</v>
      </c>
      <c r="E82" s="598">
        <v>45290</v>
      </c>
      <c r="F82" s="591">
        <f t="shared" si="9"/>
        <v>11</v>
      </c>
      <c r="G82" s="591">
        <v>1300</v>
      </c>
      <c r="H82" s="591">
        <f t="shared" si="7"/>
        <v>14300</v>
      </c>
      <c r="I82" s="600" t="s">
        <v>3495</v>
      </c>
      <c r="J82" s="600" t="s">
        <v>3747</v>
      </c>
      <c r="K82" s="601"/>
      <c r="L82" s="601"/>
      <c r="M82" s="601"/>
      <c r="N82" s="601"/>
      <c r="O82" s="535"/>
      <c r="P82" s="535"/>
      <c r="Q82" s="535"/>
      <c r="R82" s="535"/>
      <c r="S82" s="535"/>
      <c r="T82" s="535"/>
      <c r="U82" s="535"/>
      <c r="V82" s="535"/>
      <c r="W82" s="535"/>
      <c r="X82" s="403"/>
      <c r="Y82" s="403"/>
      <c r="Z82" s="403"/>
      <c r="AA82" s="602"/>
      <c r="AB82" s="599">
        <f t="shared" si="8"/>
        <v>0</v>
      </c>
      <c r="AC82" s="201"/>
      <c r="AD82" s="42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</row>
    <row r="83" spans="1:106" s="92" customFormat="1" ht="53.25" customHeight="1" x14ac:dyDescent="0.2">
      <c r="A83" s="400">
        <v>83</v>
      </c>
      <c r="B83" s="400">
        <v>308</v>
      </c>
      <c r="C83" s="590" t="str">
        <f>VLOOKUP(B83,база!A:F,2,FALSE)</f>
        <v>Гимранов Ринат Дамирович</v>
      </c>
      <c r="D83" s="598">
        <v>45317</v>
      </c>
      <c r="E83" s="598">
        <v>45318</v>
      </c>
      <c r="F83" s="591">
        <f t="shared" si="9"/>
        <v>2</v>
      </c>
      <c r="G83" s="591">
        <v>1300</v>
      </c>
      <c r="H83" s="591">
        <f t="shared" si="7"/>
        <v>2600</v>
      </c>
      <c r="I83" s="600" t="s">
        <v>3264</v>
      </c>
      <c r="J83" s="600" t="s">
        <v>3698</v>
      </c>
      <c r="K83" s="601"/>
      <c r="L83" s="601"/>
      <c r="M83" s="601"/>
      <c r="N83" s="601"/>
      <c r="O83" s="535"/>
      <c r="P83" s="535"/>
      <c r="Q83" s="535"/>
      <c r="R83" s="535"/>
      <c r="S83" s="535"/>
      <c r="T83" s="535"/>
      <c r="U83" s="535"/>
      <c r="V83" s="535"/>
      <c r="W83" s="535"/>
      <c r="X83" s="403"/>
      <c r="Y83" s="403"/>
      <c r="Z83" s="403"/>
      <c r="AA83" s="602"/>
      <c r="AB83" s="599">
        <f t="shared" si="8"/>
        <v>0</v>
      </c>
      <c r="AC83" s="201"/>
      <c r="AD83" s="42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</row>
    <row r="84" spans="1:106" s="92" customFormat="1" ht="53.25" customHeight="1" x14ac:dyDescent="0.2">
      <c r="A84" s="400">
        <v>84</v>
      </c>
      <c r="B84" s="400">
        <v>2107</v>
      </c>
      <c r="C84" s="590" t="str">
        <f>VLOOKUP(B84,база!A:F,2,FALSE)</f>
        <v>Михайлова Елена Петровна</v>
      </c>
      <c r="D84" s="598">
        <v>45305</v>
      </c>
      <c r="E84" s="598">
        <v>45311</v>
      </c>
      <c r="F84" s="591">
        <f t="shared" si="9"/>
        <v>7</v>
      </c>
      <c r="G84" s="591">
        <v>1300</v>
      </c>
      <c r="H84" s="591">
        <f t="shared" si="7"/>
        <v>9100</v>
      </c>
      <c r="I84" s="600" t="s">
        <v>3537</v>
      </c>
      <c r="J84" s="600" t="s">
        <v>3683</v>
      </c>
      <c r="K84" s="601"/>
      <c r="L84" s="601"/>
      <c r="M84" s="601"/>
      <c r="N84" s="601"/>
      <c r="O84" s="535"/>
      <c r="P84" s="535"/>
      <c r="Q84" s="535"/>
      <c r="R84" s="535"/>
      <c r="S84" s="535"/>
      <c r="T84" s="535"/>
      <c r="U84" s="535"/>
      <c r="V84" s="535"/>
      <c r="W84" s="535"/>
      <c r="X84" s="403"/>
      <c r="Y84" s="403"/>
      <c r="Z84" s="403"/>
      <c r="AA84" s="602"/>
      <c r="AB84" s="599">
        <f t="shared" si="8"/>
        <v>0</v>
      </c>
      <c r="AC84" s="201"/>
      <c r="AD84" s="42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</row>
    <row r="85" spans="1:106" s="92" customFormat="1" ht="53.25" customHeight="1" x14ac:dyDescent="0.2">
      <c r="A85" s="400">
        <v>85</v>
      </c>
      <c r="B85" s="400">
        <v>49189</v>
      </c>
      <c r="C85" s="590" t="str">
        <f>VLOOKUP(B85,база!A:F,2,FALSE)</f>
        <v>Габдрафиков Рашид Тагирович</v>
      </c>
      <c r="D85" s="598">
        <v>45316</v>
      </c>
      <c r="E85" s="598">
        <v>45318</v>
      </c>
      <c r="F85" s="591">
        <f t="shared" si="9"/>
        <v>3</v>
      </c>
      <c r="G85" s="591">
        <v>1300</v>
      </c>
      <c r="H85" s="591">
        <f t="shared" si="7"/>
        <v>3900</v>
      </c>
      <c r="I85" s="600" t="s">
        <v>3682</v>
      </c>
      <c r="J85" s="600" t="s">
        <v>3723</v>
      </c>
      <c r="K85" s="601"/>
      <c r="L85" s="601"/>
      <c r="M85" s="601"/>
      <c r="N85" s="601"/>
      <c r="O85" s="535"/>
      <c r="P85" s="535"/>
      <c r="Q85" s="535"/>
      <c r="R85" s="535"/>
      <c r="S85" s="535"/>
      <c r="T85" s="535"/>
      <c r="U85" s="535"/>
      <c r="V85" s="535"/>
      <c r="W85" s="535"/>
      <c r="X85" s="403"/>
      <c r="Y85" s="403"/>
      <c r="Z85" s="403"/>
      <c r="AA85" s="602"/>
      <c r="AB85" s="599">
        <f t="shared" si="8"/>
        <v>0</v>
      </c>
      <c r="AC85" s="201"/>
      <c r="AD85" s="42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</row>
    <row r="86" spans="1:106" s="92" customFormat="1" ht="53.25" customHeight="1" x14ac:dyDescent="0.2">
      <c r="A86" s="400">
        <v>86</v>
      </c>
      <c r="B86" s="400">
        <v>118375</v>
      </c>
      <c r="C86" s="590" t="str">
        <f>VLOOKUP(B86,база!A:F,2,FALSE)</f>
        <v>Постыляков Павел Николаевич</v>
      </c>
      <c r="D86" s="598">
        <v>45313</v>
      </c>
      <c r="E86" s="598">
        <v>45316</v>
      </c>
      <c r="F86" s="591">
        <f t="shared" si="9"/>
        <v>4</v>
      </c>
      <c r="G86" s="591">
        <v>1300</v>
      </c>
      <c r="H86" s="591">
        <f t="shared" si="7"/>
        <v>5200</v>
      </c>
      <c r="I86" s="600" t="s">
        <v>3699</v>
      </c>
      <c r="J86" s="600" t="s">
        <v>3724</v>
      </c>
      <c r="K86" s="601"/>
      <c r="L86" s="601"/>
      <c r="M86" s="601"/>
      <c r="N86" s="601"/>
      <c r="O86" s="535"/>
      <c r="P86" s="535"/>
      <c r="Q86" s="535"/>
      <c r="R86" s="535"/>
      <c r="S86" s="535"/>
      <c r="T86" s="535"/>
      <c r="U86" s="535"/>
      <c r="V86" s="535"/>
      <c r="W86" s="535"/>
      <c r="X86" s="403"/>
      <c r="Y86" s="403"/>
      <c r="Z86" s="403"/>
      <c r="AA86" s="602"/>
      <c r="AB86" s="599">
        <f t="shared" si="8"/>
        <v>0</v>
      </c>
      <c r="AC86" s="201"/>
      <c r="AD86" s="42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</row>
    <row r="87" spans="1:106" s="92" customFormat="1" ht="53.25" customHeight="1" x14ac:dyDescent="0.2">
      <c r="A87" s="400">
        <v>87</v>
      </c>
      <c r="B87" s="400">
        <v>286</v>
      </c>
      <c r="C87" s="590" t="str">
        <f>VLOOKUP(B87,база!A:F,2,FALSE)</f>
        <v>Курочкин Виктор Васильевич</v>
      </c>
      <c r="D87" s="598">
        <v>45315</v>
      </c>
      <c r="E87" s="598">
        <v>45316</v>
      </c>
      <c r="F87" s="591">
        <f t="shared" si="9"/>
        <v>2</v>
      </c>
      <c r="G87" s="591">
        <v>1300</v>
      </c>
      <c r="H87" s="591">
        <f t="shared" si="7"/>
        <v>2600</v>
      </c>
      <c r="I87" s="600" t="s">
        <v>3738</v>
      </c>
      <c r="J87" s="600" t="s">
        <v>3692</v>
      </c>
      <c r="K87" s="601"/>
      <c r="L87" s="601"/>
      <c r="M87" s="601"/>
      <c r="N87" s="601"/>
      <c r="O87" s="535"/>
      <c r="P87" s="535"/>
      <c r="Q87" s="535"/>
      <c r="R87" s="535"/>
      <c r="S87" s="535"/>
      <c r="T87" s="535"/>
      <c r="U87" s="535"/>
      <c r="V87" s="535"/>
      <c r="W87" s="535"/>
      <c r="X87" s="403"/>
      <c r="Y87" s="403"/>
      <c r="Z87" s="403"/>
      <c r="AA87" s="602"/>
      <c r="AB87" s="599">
        <f t="shared" si="8"/>
        <v>0</v>
      </c>
      <c r="AC87" s="201"/>
      <c r="AD87" s="42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</row>
    <row r="88" spans="1:106" s="92" customFormat="1" ht="53.25" customHeight="1" x14ac:dyDescent="0.2">
      <c r="A88" s="400">
        <v>88</v>
      </c>
      <c r="B88" s="400">
        <v>2843</v>
      </c>
      <c r="C88" s="590" t="str">
        <f>VLOOKUP(B88,база!A:F,2,FALSE)</f>
        <v>Феденков Владимир Владимирович</v>
      </c>
      <c r="D88" s="598">
        <v>45315</v>
      </c>
      <c r="E88" s="598">
        <v>45316</v>
      </c>
      <c r="F88" s="591">
        <f t="shared" si="9"/>
        <v>2</v>
      </c>
      <c r="G88" s="591">
        <v>1300</v>
      </c>
      <c r="H88" s="591">
        <f t="shared" si="7"/>
        <v>2600</v>
      </c>
      <c r="I88" s="600" t="s">
        <v>3738</v>
      </c>
      <c r="J88" s="600" t="s">
        <v>3692</v>
      </c>
      <c r="K88" s="601"/>
      <c r="L88" s="601"/>
      <c r="M88" s="601"/>
      <c r="N88" s="601"/>
      <c r="O88" s="535"/>
      <c r="P88" s="535"/>
      <c r="Q88" s="535"/>
      <c r="R88" s="535"/>
      <c r="S88" s="535"/>
      <c r="T88" s="535"/>
      <c r="U88" s="535"/>
      <c r="V88" s="535"/>
      <c r="W88" s="535"/>
      <c r="X88" s="403"/>
      <c r="Y88" s="403"/>
      <c r="Z88" s="403"/>
      <c r="AA88" s="602"/>
      <c r="AB88" s="599">
        <f t="shared" si="8"/>
        <v>0</v>
      </c>
      <c r="AC88" s="201"/>
      <c r="AD88" s="42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</row>
    <row r="89" spans="1:106" s="92" customFormat="1" ht="53.25" customHeight="1" x14ac:dyDescent="0.2">
      <c r="A89" s="400">
        <v>89</v>
      </c>
      <c r="B89" s="400">
        <v>41976</v>
      </c>
      <c r="C89" s="590" t="str">
        <f>VLOOKUP(B89,база!A:F,2,FALSE)</f>
        <v>Рыбакова Татьяна Сергеевна</v>
      </c>
      <c r="D89" s="598">
        <v>45315</v>
      </c>
      <c r="E89" s="598">
        <v>45317</v>
      </c>
      <c r="F89" s="591">
        <f t="shared" si="9"/>
        <v>3</v>
      </c>
      <c r="G89" s="591">
        <v>1300</v>
      </c>
      <c r="H89" s="591">
        <f t="shared" si="7"/>
        <v>3900</v>
      </c>
      <c r="I89" s="600" t="s">
        <v>3672</v>
      </c>
      <c r="J89" s="600" t="s">
        <v>3739</v>
      </c>
      <c r="K89" s="601"/>
      <c r="L89" s="601"/>
      <c r="M89" s="601"/>
      <c r="N89" s="601"/>
      <c r="O89" s="535"/>
      <c r="P89" s="535"/>
      <c r="Q89" s="535"/>
      <c r="R89" s="535"/>
      <c r="S89" s="535"/>
      <c r="T89" s="535"/>
      <c r="U89" s="535"/>
      <c r="V89" s="535"/>
      <c r="W89" s="535"/>
      <c r="X89" s="403"/>
      <c r="Y89" s="403"/>
      <c r="Z89" s="403"/>
      <c r="AA89" s="602"/>
      <c r="AB89" s="599">
        <f t="shared" si="8"/>
        <v>0</v>
      </c>
      <c r="AC89" s="201"/>
      <c r="AD89" s="42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</row>
    <row r="90" spans="1:106" s="92" customFormat="1" ht="53.25" customHeight="1" x14ac:dyDescent="0.2">
      <c r="A90" s="400">
        <v>90</v>
      </c>
      <c r="B90" s="400">
        <v>140828</v>
      </c>
      <c r="C90" s="590" t="str">
        <f>VLOOKUP(B90,база!A:F,2,FALSE)</f>
        <v>Дряхленков Максим Юрьевич</v>
      </c>
      <c r="D90" s="598">
        <v>45315</v>
      </c>
      <c r="E90" s="598">
        <v>45317</v>
      </c>
      <c r="F90" s="591">
        <v>2.5</v>
      </c>
      <c r="G90" s="591">
        <v>1300</v>
      </c>
      <c r="H90" s="591">
        <f t="shared" si="7"/>
        <v>3250</v>
      </c>
      <c r="I90" s="600" t="s">
        <v>3736</v>
      </c>
      <c r="J90" s="600" t="s">
        <v>3737</v>
      </c>
      <c r="K90" s="601"/>
      <c r="L90" s="601"/>
      <c r="M90" s="601"/>
      <c r="N90" s="601"/>
      <c r="O90" s="535"/>
      <c r="P90" s="535"/>
      <c r="Q90" s="535"/>
      <c r="R90" s="535"/>
      <c r="S90" s="535"/>
      <c r="T90" s="535"/>
      <c r="U90" s="535"/>
      <c r="V90" s="535"/>
      <c r="W90" s="535"/>
      <c r="X90" s="403"/>
      <c r="Y90" s="403"/>
      <c r="Z90" s="403"/>
      <c r="AA90" s="602"/>
      <c r="AB90" s="599">
        <f t="shared" si="8"/>
        <v>0</v>
      </c>
      <c r="AC90" s="201"/>
      <c r="AD90" s="42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</row>
    <row r="91" spans="1:106" s="170" customFormat="1" ht="45.75" customHeight="1" x14ac:dyDescent="0.25">
      <c r="A91" s="75"/>
      <c r="B91" s="75"/>
      <c r="C91" s="77"/>
      <c r="D91" s="78" t="s">
        <v>3531</v>
      </c>
      <c r="E91" s="9" t="s">
        <v>1062</v>
      </c>
      <c r="F91" s="114">
        <f>SUM(F4:F90)</f>
        <v>361</v>
      </c>
      <c r="G91" s="80"/>
      <c r="H91" s="79">
        <f>SUM(H4:H90)</f>
        <v>469300</v>
      </c>
      <c r="I91" s="81"/>
      <c r="J91" s="74"/>
      <c r="K91" s="82">
        <f t="shared" ref="K91:Z91" si="10">SUM(K4:K90)</f>
        <v>0</v>
      </c>
      <c r="L91" s="82">
        <f t="shared" si="10"/>
        <v>0</v>
      </c>
      <c r="M91" s="82">
        <f t="shared" si="10"/>
        <v>0</v>
      </c>
      <c r="N91" s="82">
        <f t="shared" si="10"/>
        <v>0</v>
      </c>
      <c r="O91" s="82">
        <f t="shared" si="10"/>
        <v>162431.18</v>
      </c>
      <c r="P91" s="82">
        <f t="shared" si="10"/>
        <v>0</v>
      </c>
      <c r="Q91" s="82">
        <f t="shared" si="10"/>
        <v>0</v>
      </c>
      <c r="R91" s="82">
        <f t="shared" si="10"/>
        <v>0</v>
      </c>
      <c r="S91" s="82">
        <f t="shared" si="10"/>
        <v>0</v>
      </c>
      <c r="T91" s="82">
        <f t="shared" si="10"/>
        <v>0</v>
      </c>
      <c r="U91" s="82">
        <f t="shared" si="10"/>
        <v>0</v>
      </c>
      <c r="V91" s="82">
        <f t="shared" si="10"/>
        <v>0</v>
      </c>
      <c r="W91" s="82">
        <f t="shared" si="10"/>
        <v>0</v>
      </c>
      <c r="X91" s="82">
        <f t="shared" si="10"/>
        <v>0</v>
      </c>
      <c r="Y91" s="82">
        <f t="shared" si="10"/>
        <v>0</v>
      </c>
      <c r="Z91" s="82">
        <f t="shared" si="10"/>
        <v>0</v>
      </c>
      <c r="AA91" s="82"/>
      <c r="AB91" s="599">
        <f t="shared" ref="AB91" si="11">SUM(O91:AA91)</f>
        <v>162431.18</v>
      </c>
      <c r="AC91" s="196"/>
      <c r="AD91" s="196"/>
      <c r="AE91" s="196"/>
      <c r="AF91" s="196"/>
      <c r="AG91" s="196"/>
      <c r="AH91" s="196"/>
      <c r="AI91" s="196"/>
      <c r="AJ91" s="196"/>
      <c r="AK91" s="196"/>
      <c r="AL91" s="196"/>
      <c r="AM91" s="196"/>
      <c r="AN91" s="196"/>
      <c r="AO91" s="196"/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  <c r="BM91" s="196"/>
      <c r="BN91" s="196"/>
      <c r="BO91" s="196"/>
      <c r="BP91" s="196"/>
      <c r="BQ91" s="196"/>
      <c r="BR91" s="196"/>
      <c r="BS91" s="196"/>
      <c r="BT91" s="196"/>
      <c r="BU91" s="196"/>
      <c r="BV91" s="196"/>
      <c r="BW91" s="196"/>
      <c r="BX91" s="196"/>
      <c r="BY91" s="196"/>
      <c r="BZ91" s="196"/>
      <c r="CA91" s="196"/>
      <c r="CB91" s="196"/>
      <c r="CC91" s="196"/>
      <c r="CD91" s="196"/>
      <c r="CE91" s="196"/>
      <c r="CF91" s="196"/>
    </row>
    <row r="92" spans="1:106" s="170" customFormat="1" ht="39.950000000000003" customHeight="1" x14ac:dyDescent="0.25">
      <c r="A92" s="27"/>
      <c r="B92" s="25"/>
      <c r="C92" s="6"/>
      <c r="D92" s="8" t="s">
        <v>3532</v>
      </c>
      <c r="E92" s="9" t="s">
        <v>1062</v>
      </c>
      <c r="F92" s="115">
        <f>'Командировки СУДЫ'!F5</f>
        <v>4</v>
      </c>
      <c r="G92" s="87"/>
      <c r="H92" s="86">
        <f>'Командировки СУДЫ'!H5</f>
        <v>5200</v>
      </c>
      <c r="I92" s="81" t="s">
        <v>1071</v>
      </c>
      <c r="J92" s="197" t="s">
        <v>1072</v>
      </c>
      <c r="K92" s="15"/>
      <c r="L92" s="16"/>
      <c r="M92" s="6"/>
      <c r="N92" s="17"/>
      <c r="O92" s="17"/>
      <c r="P92" s="17"/>
      <c r="Q92" s="64"/>
      <c r="R92" s="17"/>
      <c r="S92" s="17"/>
      <c r="T92" s="64"/>
      <c r="U92" s="64"/>
      <c r="V92" s="64"/>
      <c r="W92" s="64"/>
      <c r="X92" s="64"/>
      <c r="Y92" s="137"/>
      <c r="Z92" s="137"/>
      <c r="AA92" s="137"/>
      <c r="AB92" s="70"/>
      <c r="AC92" s="279"/>
      <c r="AD92" s="196"/>
      <c r="AE92" s="196"/>
      <c r="AF92" s="196"/>
      <c r="AG92" s="196"/>
      <c r="AH92" s="196"/>
      <c r="AI92" s="196"/>
      <c r="AJ92" s="196"/>
      <c r="AK92" s="196"/>
      <c r="AL92" s="196"/>
      <c r="AM92" s="196"/>
      <c r="AN92" s="196"/>
      <c r="AO92" s="196"/>
      <c r="AP92" s="196"/>
      <c r="AQ92" s="196"/>
      <c r="AR92" s="196"/>
      <c r="AS92" s="196"/>
      <c r="AT92" s="196"/>
      <c r="AU92" s="196"/>
      <c r="AV92" s="196"/>
      <c r="AW92" s="196"/>
      <c r="AX92" s="196"/>
      <c r="AY92" s="196"/>
      <c r="AZ92" s="196"/>
      <c r="BA92" s="196"/>
      <c r="BB92" s="196"/>
      <c r="BC92" s="196"/>
      <c r="BD92" s="196"/>
      <c r="BE92" s="196"/>
      <c r="BF92" s="196"/>
      <c r="BG92" s="196"/>
      <c r="BH92" s="196"/>
      <c r="BI92" s="196"/>
      <c r="BJ92" s="196"/>
      <c r="BK92" s="196"/>
      <c r="BL92" s="196"/>
      <c r="BM92" s="196"/>
      <c r="BN92" s="196"/>
      <c r="BO92" s="196"/>
      <c r="BP92" s="196"/>
      <c r="BQ92" s="196"/>
      <c r="BR92" s="196"/>
      <c r="BS92" s="196"/>
      <c r="BT92" s="196"/>
      <c r="BU92" s="196"/>
      <c r="BV92" s="196"/>
      <c r="BW92" s="196"/>
      <c r="BX92" s="196"/>
      <c r="BY92" s="196"/>
      <c r="BZ92" s="196"/>
      <c r="CA92" s="196"/>
      <c r="CB92" s="196"/>
      <c r="CC92" s="196"/>
      <c r="CD92" s="196"/>
      <c r="CE92" s="196"/>
      <c r="CF92" s="196"/>
      <c r="CG92" s="196"/>
    </row>
    <row r="93" spans="1:106" s="170" customFormat="1" ht="39.950000000000003" customHeight="1" x14ac:dyDescent="0.25">
      <c r="A93" s="26"/>
      <c r="B93" s="24"/>
      <c r="C93" s="2"/>
      <c r="D93" s="8"/>
      <c r="E93" s="9" t="s">
        <v>1062</v>
      </c>
      <c r="F93" s="115">
        <f>SUM(F91:F92)</f>
        <v>365</v>
      </c>
      <c r="G93" s="87" t="s">
        <v>1073</v>
      </c>
      <c r="H93" s="86">
        <f>SUM(H91:H92)</f>
        <v>474500</v>
      </c>
      <c r="I93" s="117"/>
      <c r="J93" s="676" t="s">
        <v>2845</v>
      </c>
      <c r="K93" s="31"/>
      <c r="L93" s="16"/>
      <c r="M93" s="29"/>
      <c r="N93" s="677"/>
      <c r="O93" s="677"/>
      <c r="P93" s="92"/>
      <c r="Q93" s="64"/>
      <c r="R93" s="17"/>
      <c r="S93" s="17"/>
      <c r="T93" s="64"/>
      <c r="U93" s="64"/>
      <c r="V93" s="64"/>
      <c r="W93" s="64"/>
      <c r="X93" s="64"/>
      <c r="Y93" s="137"/>
      <c r="Z93" s="137"/>
      <c r="AA93" s="137"/>
      <c r="AB93" s="70"/>
      <c r="AC93" s="279"/>
      <c r="AD93" s="196"/>
      <c r="AE93" s="196"/>
      <c r="AF93" s="196"/>
      <c r="AG93" s="196"/>
      <c r="AH93" s="196"/>
      <c r="AI93" s="196"/>
      <c r="AJ93" s="196"/>
      <c r="AK93" s="196"/>
      <c r="AL93" s="196"/>
      <c r="AM93" s="196"/>
      <c r="AN93" s="196"/>
      <c r="AO93" s="196"/>
      <c r="AP93" s="196"/>
      <c r="AQ93" s="196"/>
      <c r="AR93" s="196"/>
      <c r="AS93" s="196"/>
      <c r="AT93" s="196"/>
      <c r="AU93" s="196"/>
      <c r="AV93" s="196"/>
      <c r="AW93" s="196"/>
      <c r="AX93" s="196"/>
      <c r="AY93" s="196"/>
      <c r="AZ93" s="196"/>
      <c r="BA93" s="196"/>
      <c r="BB93" s="196"/>
      <c r="BC93" s="196"/>
      <c r="BD93" s="196"/>
      <c r="BE93" s="196"/>
      <c r="BF93" s="196"/>
      <c r="BG93" s="196"/>
      <c r="BH93" s="196"/>
      <c r="BI93" s="196"/>
      <c r="BJ93" s="196"/>
      <c r="BK93" s="196"/>
      <c r="BL93" s="196"/>
      <c r="BM93" s="196"/>
      <c r="BN93" s="196"/>
      <c r="BO93" s="196"/>
      <c r="BP93" s="196"/>
      <c r="BQ93" s="196"/>
      <c r="BR93" s="196"/>
      <c r="BS93" s="196"/>
      <c r="BT93" s="196"/>
      <c r="BU93" s="196"/>
      <c r="BV93" s="196"/>
      <c r="BW93" s="196"/>
      <c r="BX93" s="196"/>
      <c r="BY93" s="196"/>
      <c r="BZ93" s="196"/>
      <c r="CA93" s="196"/>
      <c r="CB93" s="196"/>
      <c r="CC93" s="196"/>
      <c r="CD93" s="196"/>
      <c r="CE93" s="196"/>
      <c r="CF93" s="196"/>
      <c r="CG93" s="196"/>
    </row>
    <row r="94" spans="1:106" s="170" customFormat="1" ht="39.950000000000003" customHeight="1" x14ac:dyDescent="0.25">
      <c r="A94" s="26"/>
      <c r="B94" s="32"/>
      <c r="C94" s="34"/>
      <c r="D94" s="94"/>
      <c r="E94" s="95"/>
      <c r="F94" s="31"/>
      <c r="G94" s="43"/>
      <c r="H94" s="31"/>
      <c r="I94" s="88"/>
      <c r="J94" s="676"/>
      <c r="K94" s="31"/>
      <c r="L94" s="16"/>
      <c r="M94" s="29"/>
      <c r="N94" s="64"/>
      <c r="O94" s="64"/>
      <c r="P94" s="17"/>
      <c r="Q94" s="64"/>
      <c r="R94" s="64"/>
      <c r="S94" s="64"/>
      <c r="T94" s="64"/>
      <c r="U94" s="64"/>
      <c r="V94" s="64"/>
      <c r="W94" s="64"/>
      <c r="X94" s="64"/>
      <c r="Y94" s="137"/>
      <c r="Z94" s="137"/>
      <c r="AA94" s="137"/>
      <c r="AB94" s="70"/>
      <c r="AC94" s="279"/>
      <c r="AD94" s="196"/>
      <c r="AE94" s="196"/>
      <c r="AF94" s="196"/>
      <c r="AG94" s="196"/>
      <c r="AH94" s="196"/>
      <c r="AI94" s="196"/>
      <c r="AJ94" s="196"/>
      <c r="AK94" s="196"/>
      <c r="AL94" s="196"/>
      <c r="AM94" s="196"/>
      <c r="AN94" s="196"/>
      <c r="AO94" s="196"/>
      <c r="AP94" s="196"/>
      <c r="AQ94" s="196"/>
      <c r="AR94" s="196"/>
      <c r="AS94" s="196"/>
      <c r="AT94" s="196"/>
      <c r="AU94" s="196"/>
      <c r="AV94" s="196"/>
      <c r="AW94" s="196"/>
      <c r="AX94" s="196"/>
      <c r="AY94" s="196"/>
      <c r="AZ94" s="196"/>
      <c r="BA94" s="196"/>
      <c r="BB94" s="196"/>
      <c r="BC94" s="196"/>
      <c r="BD94" s="196"/>
      <c r="BE94" s="196"/>
      <c r="BF94" s="196"/>
      <c r="BG94" s="196"/>
      <c r="BH94" s="196"/>
      <c r="BI94" s="196"/>
      <c r="BJ94" s="196"/>
      <c r="BK94" s="196"/>
      <c r="BL94" s="196"/>
      <c r="BM94" s="196"/>
      <c r="BN94" s="196"/>
      <c r="BO94" s="196"/>
      <c r="BP94" s="196"/>
      <c r="BQ94" s="196"/>
      <c r="BR94" s="196"/>
      <c r="BS94" s="196"/>
      <c r="BT94" s="196"/>
      <c r="BU94" s="196"/>
      <c r="BV94" s="196"/>
      <c r="BW94" s="196"/>
      <c r="BX94" s="196"/>
      <c r="BY94" s="196"/>
      <c r="BZ94" s="196"/>
      <c r="CA94" s="196"/>
      <c r="CB94" s="196"/>
      <c r="CC94" s="196"/>
      <c r="CD94" s="196"/>
      <c r="CE94" s="196"/>
      <c r="CF94" s="196"/>
      <c r="CG94" s="196"/>
    </row>
    <row r="95" spans="1:106" s="170" customFormat="1" ht="39.950000000000003" customHeight="1" x14ac:dyDescent="0.25">
      <c r="A95" s="26"/>
      <c r="B95" s="32"/>
      <c r="C95" s="34"/>
      <c r="D95"/>
      <c r="E95"/>
      <c r="F95"/>
      <c r="G95" s="43"/>
      <c r="H95" s="31"/>
      <c r="I95" s="125" t="s">
        <v>1074</v>
      </c>
      <c r="J95" s="124">
        <f>K91</f>
        <v>0</v>
      </c>
      <c r="K95" s="31"/>
      <c r="L95" s="16"/>
      <c r="M95" s="29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137"/>
      <c r="Z95" s="137"/>
      <c r="AA95" s="137"/>
      <c r="AB95" s="70"/>
      <c r="AC95" s="279"/>
      <c r="AD95" s="196"/>
      <c r="AE95" s="196"/>
      <c r="AF95" s="196"/>
      <c r="AG95" s="196"/>
      <c r="AH95" s="196"/>
      <c r="AI95" s="196"/>
      <c r="AJ95" s="196"/>
      <c r="AK95" s="196"/>
      <c r="AL95" s="196"/>
      <c r="AM95" s="196"/>
      <c r="AN95" s="196"/>
      <c r="AO95" s="196"/>
      <c r="AP95" s="196"/>
      <c r="AQ95" s="196"/>
      <c r="AR95" s="196"/>
      <c r="AS95" s="196"/>
      <c r="AT95" s="196"/>
      <c r="AU95" s="196"/>
      <c r="AV95" s="196"/>
      <c r="AW95" s="196"/>
      <c r="AX95" s="196"/>
      <c r="AY95" s="196"/>
      <c r="AZ95" s="196"/>
      <c r="BA95" s="196"/>
      <c r="BB95" s="196"/>
      <c r="BC95" s="196"/>
      <c r="BD95" s="196"/>
      <c r="BE95" s="196"/>
      <c r="BF95" s="196"/>
      <c r="BG95" s="196"/>
      <c r="BH95" s="196"/>
      <c r="BI95" s="196"/>
      <c r="BJ95" s="196"/>
      <c r="BK95" s="196"/>
      <c r="BL95" s="196"/>
      <c r="BM95" s="196"/>
      <c r="BN95" s="196"/>
      <c r="BO95" s="196"/>
      <c r="BP95" s="196"/>
      <c r="BQ95" s="196"/>
      <c r="BR95" s="196"/>
      <c r="BS95" s="196"/>
      <c r="BT95" s="196"/>
      <c r="BU95" s="196"/>
      <c r="BV95" s="196"/>
      <c r="BW95" s="196"/>
      <c r="BX95" s="196"/>
      <c r="BY95" s="196"/>
      <c r="BZ95" s="196"/>
      <c r="CA95" s="196"/>
      <c r="CB95" s="196"/>
      <c r="CC95" s="196"/>
      <c r="CD95" s="196"/>
      <c r="CE95" s="196"/>
      <c r="CF95" s="196"/>
      <c r="CG95" s="196"/>
    </row>
    <row r="96" spans="1:106" s="170" customFormat="1" ht="39.950000000000003" customHeight="1" x14ac:dyDescent="0.25">
      <c r="A96" s="26"/>
      <c r="B96" s="32"/>
      <c r="C96" s="34"/>
      <c r="D96"/>
      <c r="E96"/>
      <c r="F96"/>
      <c r="G96" s="43"/>
      <c r="H96" s="31"/>
      <c r="I96" s="125" t="s">
        <v>1075</v>
      </c>
      <c r="J96" s="124">
        <f>L91</f>
        <v>0</v>
      </c>
      <c r="K96" s="31"/>
      <c r="L96" s="16"/>
      <c r="M96" s="29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137"/>
      <c r="Z96" s="137"/>
      <c r="AA96" s="137"/>
      <c r="AB96" s="70"/>
      <c r="AC96" s="279"/>
      <c r="AD96" s="196"/>
      <c r="AE96" s="196"/>
      <c r="AF96" s="196"/>
      <c r="AG96" s="196"/>
      <c r="AH96" s="196"/>
      <c r="AI96" s="196"/>
      <c r="AJ96" s="196"/>
      <c r="AK96" s="196"/>
      <c r="AL96" s="196"/>
      <c r="AM96" s="196"/>
      <c r="AN96" s="196"/>
      <c r="AO96" s="196"/>
      <c r="AP96" s="196"/>
      <c r="AQ96" s="196"/>
      <c r="AR96" s="196"/>
      <c r="AS96" s="196"/>
      <c r="AT96" s="196"/>
      <c r="AU96" s="196"/>
      <c r="AV96" s="196"/>
      <c r="AW96" s="196"/>
      <c r="AX96" s="196"/>
      <c r="AY96" s="196"/>
      <c r="AZ96" s="196"/>
      <c r="BA96" s="196"/>
      <c r="BB96" s="196"/>
      <c r="BC96" s="196"/>
      <c r="BD96" s="196"/>
      <c r="BE96" s="196"/>
      <c r="BF96" s="196"/>
      <c r="BG96" s="196"/>
      <c r="BH96" s="196"/>
      <c r="BI96" s="196"/>
      <c r="BJ96" s="196"/>
      <c r="BK96" s="196"/>
      <c r="BL96" s="196"/>
      <c r="BM96" s="196"/>
      <c r="BN96" s="196"/>
      <c r="BO96" s="196"/>
      <c r="BP96" s="196"/>
      <c r="BQ96" s="196"/>
      <c r="BR96" s="196"/>
      <c r="BS96" s="196"/>
      <c r="BT96" s="196"/>
      <c r="BU96" s="196"/>
      <c r="BV96" s="196"/>
      <c r="BW96" s="196"/>
      <c r="BX96" s="196"/>
      <c r="BY96" s="196"/>
      <c r="BZ96" s="196"/>
      <c r="CA96" s="196"/>
      <c r="CB96" s="196"/>
      <c r="CC96" s="196"/>
      <c r="CD96" s="196"/>
      <c r="CE96" s="196"/>
      <c r="CF96" s="196"/>
      <c r="CG96" s="196"/>
    </row>
    <row r="97" spans="1:85" s="170" customFormat="1" ht="39.950000000000003" customHeight="1" x14ac:dyDescent="0.25">
      <c r="A97" s="26"/>
      <c r="B97" s="32"/>
      <c r="C97" s="34"/>
      <c r="D97"/>
      <c r="E97"/>
      <c r="F97"/>
      <c r="G97" s="43"/>
      <c r="H97" s="31"/>
      <c r="I97" s="125" t="s">
        <v>1076</v>
      </c>
      <c r="J97" s="124">
        <f>N91</f>
        <v>0</v>
      </c>
      <c r="K97" s="31"/>
      <c r="L97" s="16"/>
      <c r="M97" s="29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137"/>
      <c r="Z97" s="137"/>
      <c r="AA97" s="137"/>
      <c r="AB97" s="70"/>
      <c r="AC97" s="279"/>
      <c r="AD97" s="196"/>
      <c r="AE97" s="196"/>
      <c r="AF97" s="196"/>
      <c r="AG97" s="196"/>
      <c r="AH97" s="196"/>
      <c r="AI97" s="196"/>
      <c r="AJ97" s="196"/>
      <c r="AK97" s="196"/>
      <c r="AL97" s="196"/>
      <c r="AM97" s="196"/>
      <c r="AN97" s="196"/>
      <c r="AO97" s="196"/>
      <c r="AP97" s="196"/>
      <c r="AQ97" s="196"/>
      <c r="AR97" s="196"/>
      <c r="AS97" s="196"/>
      <c r="AT97" s="196"/>
      <c r="AU97" s="196"/>
      <c r="AV97" s="196"/>
      <c r="AW97" s="196"/>
      <c r="AX97" s="196"/>
      <c r="AY97" s="196"/>
      <c r="AZ97" s="196"/>
      <c r="BA97" s="196"/>
      <c r="BB97" s="196"/>
      <c r="BC97" s="196"/>
      <c r="BD97" s="196"/>
      <c r="BE97" s="196"/>
      <c r="BF97" s="196"/>
      <c r="BG97" s="196"/>
      <c r="BH97" s="196"/>
      <c r="BI97" s="196"/>
      <c r="BJ97" s="196"/>
      <c r="BK97" s="196"/>
      <c r="BL97" s="196"/>
      <c r="BM97" s="196"/>
      <c r="BN97" s="196"/>
      <c r="BO97" s="196"/>
      <c r="BP97" s="196"/>
      <c r="BQ97" s="196"/>
      <c r="BR97" s="196"/>
      <c r="BS97" s="196"/>
      <c r="BT97" s="196"/>
      <c r="BU97" s="196"/>
      <c r="BV97" s="196"/>
      <c r="BW97" s="196"/>
      <c r="BX97" s="196"/>
      <c r="BY97" s="196"/>
      <c r="BZ97" s="196"/>
      <c r="CA97" s="196"/>
      <c r="CB97" s="196"/>
      <c r="CC97" s="196"/>
      <c r="CD97" s="196"/>
      <c r="CE97" s="196"/>
      <c r="CF97" s="196"/>
      <c r="CG97" s="196"/>
    </row>
    <row r="98" spans="1:85" s="170" customFormat="1" ht="39.950000000000003" customHeight="1" x14ac:dyDescent="0.25">
      <c r="A98" s="26"/>
      <c r="B98" s="32"/>
      <c r="C98" s="34"/>
      <c r="D98"/>
      <c r="E98"/>
      <c r="F98"/>
      <c r="G98" s="43"/>
      <c r="H98" s="31"/>
      <c r="I98" s="125" t="s">
        <v>1077</v>
      </c>
      <c r="J98" s="124">
        <f>O91+P91+X91+'Командировки СУДЫ'!K5</f>
        <v>162431.18</v>
      </c>
      <c r="K98" s="678"/>
      <c r="L98" s="679"/>
      <c r="M98" s="680"/>
      <c r="N98" s="681"/>
      <c r="O98" s="682"/>
      <c r="P98" s="120"/>
      <c r="Q98" s="120"/>
      <c r="R98" s="120"/>
      <c r="S98" s="64"/>
      <c r="T98" s="64"/>
      <c r="U98" s="64"/>
      <c r="V98" s="64"/>
      <c r="W98" s="64"/>
      <c r="X98" s="64"/>
      <c r="Y98" s="137"/>
      <c r="Z98" s="137"/>
      <c r="AA98" s="137"/>
      <c r="AB98" s="70"/>
      <c r="AC98" s="279"/>
      <c r="AD98" s="196"/>
      <c r="AE98" s="196"/>
      <c r="AF98" s="196"/>
      <c r="AG98" s="196"/>
      <c r="AH98" s="196"/>
      <c r="AI98" s="196"/>
      <c r="AJ98" s="196"/>
      <c r="AK98" s="196"/>
      <c r="AL98" s="196"/>
      <c r="AM98" s="196"/>
      <c r="AN98" s="196"/>
      <c r="AO98" s="196"/>
      <c r="AP98" s="196"/>
      <c r="AQ98" s="196"/>
      <c r="AR98" s="196"/>
      <c r="AS98" s="196"/>
      <c r="AT98" s="196"/>
      <c r="AU98" s="196"/>
      <c r="AV98" s="196"/>
      <c r="AW98" s="196"/>
      <c r="AX98" s="196"/>
      <c r="AY98" s="196"/>
      <c r="AZ98" s="196"/>
      <c r="BA98" s="196"/>
      <c r="BB98" s="196"/>
      <c r="BC98" s="196"/>
      <c r="BD98" s="196"/>
      <c r="BE98" s="196"/>
      <c r="BF98" s="196"/>
      <c r="BG98" s="196"/>
      <c r="BH98" s="196"/>
      <c r="BI98" s="196"/>
      <c r="BJ98" s="196"/>
      <c r="BK98" s="196"/>
      <c r="BL98" s="196"/>
      <c r="BM98" s="196"/>
      <c r="BN98" s="196"/>
      <c r="BO98" s="196"/>
      <c r="BP98" s="196"/>
      <c r="BQ98" s="196"/>
      <c r="BR98" s="196"/>
      <c r="BS98" s="196"/>
      <c r="BT98" s="196"/>
      <c r="BU98" s="196"/>
      <c r="BV98" s="196"/>
      <c r="BW98" s="196"/>
      <c r="BX98" s="196"/>
      <c r="BY98" s="196"/>
      <c r="BZ98" s="196"/>
      <c r="CA98" s="196"/>
      <c r="CB98" s="196"/>
      <c r="CC98" s="196"/>
      <c r="CD98" s="196"/>
      <c r="CE98" s="196"/>
      <c r="CF98" s="196"/>
      <c r="CG98" s="196"/>
    </row>
    <row r="99" spans="1:85" s="170" customFormat="1" ht="39.950000000000003" customHeight="1" x14ac:dyDescent="0.25">
      <c r="A99" s="26"/>
      <c r="B99" s="32"/>
      <c r="C99" s="34"/>
      <c r="D99"/>
      <c r="E99"/>
      <c r="F99"/>
      <c r="G99" s="43"/>
      <c r="H99" s="31"/>
      <c r="I99" s="125" t="s">
        <v>1078</v>
      </c>
      <c r="J99" s="124">
        <f>S91</f>
        <v>0</v>
      </c>
      <c r="K99" s="31"/>
      <c r="L99" s="16"/>
      <c r="M99" s="29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137"/>
      <c r="Z99" s="137"/>
      <c r="AA99" s="137"/>
      <c r="AB99" s="70"/>
      <c r="AC99" s="279"/>
      <c r="AD99" s="196"/>
      <c r="AE99" s="196"/>
      <c r="AF99" s="196"/>
      <c r="AG99" s="196"/>
      <c r="AH99" s="196"/>
      <c r="AI99" s="196"/>
      <c r="AJ99" s="196"/>
      <c r="AK99" s="196"/>
      <c r="AL99" s="196"/>
      <c r="AM99" s="196"/>
      <c r="AN99" s="196"/>
      <c r="AO99" s="196"/>
      <c r="AP99" s="196"/>
      <c r="AQ99" s="196"/>
      <c r="AR99" s="196"/>
      <c r="AS99" s="196"/>
      <c r="AT99" s="196"/>
      <c r="AU99" s="196"/>
      <c r="AV99" s="196"/>
      <c r="AW99" s="196"/>
      <c r="AX99" s="196"/>
      <c r="AY99" s="196"/>
      <c r="AZ99" s="196"/>
      <c r="BA99" s="196"/>
      <c r="BB99" s="196"/>
      <c r="BC99" s="196"/>
      <c r="BD99" s="196"/>
      <c r="BE99" s="196"/>
      <c r="BF99" s="196"/>
      <c r="BG99" s="196"/>
      <c r="BH99" s="196"/>
      <c r="BI99" s="196"/>
      <c r="BJ99" s="196"/>
      <c r="BK99" s="196"/>
      <c r="BL99" s="196"/>
      <c r="BM99" s="196"/>
      <c r="BN99" s="196"/>
      <c r="BO99" s="196"/>
      <c r="BP99" s="196"/>
      <c r="BQ99" s="196"/>
      <c r="BR99" s="196"/>
      <c r="BS99" s="196"/>
      <c r="BT99" s="196"/>
      <c r="BU99" s="196"/>
      <c r="BV99" s="196"/>
      <c r="BW99" s="196"/>
      <c r="BX99" s="196"/>
      <c r="BY99" s="196"/>
      <c r="BZ99" s="196"/>
      <c r="CA99" s="196"/>
      <c r="CB99" s="196"/>
      <c r="CC99" s="196"/>
      <c r="CD99" s="196"/>
      <c r="CE99" s="196"/>
      <c r="CF99" s="196"/>
      <c r="CG99" s="196"/>
    </row>
    <row r="100" spans="1:85" s="170" customFormat="1" ht="39.950000000000003" customHeight="1" x14ac:dyDescent="0.25">
      <c r="A100" s="26"/>
      <c r="B100" s="32"/>
      <c r="C100" s="34"/>
      <c r="D100"/>
      <c r="E100"/>
      <c r="F100"/>
      <c r="G100" s="43"/>
      <c r="H100" s="31"/>
      <c r="I100" s="125" t="s">
        <v>1079</v>
      </c>
      <c r="J100" s="124">
        <f>R91</f>
        <v>0</v>
      </c>
      <c r="K100" s="31"/>
      <c r="L100" s="16"/>
      <c r="M100" s="29"/>
      <c r="N100" s="683"/>
      <c r="O100" s="683"/>
      <c r="P100" s="64"/>
      <c r="Q100" s="64"/>
      <c r="R100" s="64"/>
      <c r="S100" s="64"/>
      <c r="T100" s="64"/>
      <c r="U100" s="64"/>
      <c r="V100" s="64"/>
      <c r="W100" s="64"/>
      <c r="X100" s="64"/>
      <c r="Y100" s="137"/>
      <c r="Z100" s="137"/>
      <c r="AA100" s="137"/>
      <c r="AB100" s="70"/>
      <c r="AC100" s="279"/>
      <c r="AD100" s="196"/>
      <c r="AE100" s="196"/>
      <c r="AF100" s="196"/>
      <c r="AG100" s="196"/>
      <c r="AH100" s="196"/>
      <c r="AI100" s="196"/>
      <c r="AJ100" s="196"/>
      <c r="AK100" s="196"/>
      <c r="AL100" s="196"/>
      <c r="AM100" s="196"/>
      <c r="AN100" s="196"/>
      <c r="AO100" s="196"/>
      <c r="AP100" s="196"/>
      <c r="AQ100" s="196"/>
      <c r="AR100" s="196"/>
      <c r="AS100" s="196"/>
      <c r="AT100" s="196"/>
      <c r="AU100" s="196"/>
      <c r="AV100" s="196"/>
      <c r="AW100" s="196"/>
      <c r="AX100" s="196"/>
      <c r="AY100" s="196"/>
      <c r="AZ100" s="196"/>
      <c r="BA100" s="196"/>
      <c r="BB100" s="196"/>
      <c r="BC100" s="196"/>
      <c r="BD100" s="196"/>
      <c r="BE100" s="196"/>
      <c r="BF100" s="196"/>
      <c r="BG100" s="196"/>
      <c r="BH100" s="196"/>
      <c r="BI100" s="196"/>
      <c r="BJ100" s="196"/>
      <c r="BK100" s="196"/>
      <c r="BL100" s="196"/>
      <c r="BM100" s="196"/>
      <c r="BN100" s="196"/>
      <c r="BO100" s="196"/>
      <c r="BP100" s="196"/>
      <c r="BQ100" s="196"/>
      <c r="BR100" s="196"/>
      <c r="BS100" s="196"/>
      <c r="BT100" s="196"/>
      <c r="BU100" s="196"/>
      <c r="BV100" s="196"/>
      <c r="BW100" s="196"/>
      <c r="BX100" s="196"/>
      <c r="BY100" s="196"/>
      <c r="BZ100" s="196"/>
      <c r="CA100" s="196"/>
      <c r="CB100" s="196"/>
      <c r="CC100" s="196"/>
      <c r="CD100" s="196"/>
      <c r="CE100" s="196"/>
      <c r="CF100" s="196"/>
      <c r="CG100" s="196"/>
    </row>
    <row r="101" spans="1:85" s="170" customFormat="1" ht="39.950000000000003" customHeight="1" x14ac:dyDescent="0.25">
      <c r="A101" s="26"/>
      <c r="B101" s="32"/>
      <c r="C101" s="34"/>
      <c r="D101"/>
      <c r="E101"/>
      <c r="F101"/>
      <c r="G101" s="43"/>
      <c r="H101" s="31"/>
      <c r="I101" s="125" t="s">
        <v>1080</v>
      </c>
      <c r="J101" s="124">
        <f>W91</f>
        <v>0</v>
      </c>
      <c r="K101" s="31"/>
      <c r="L101" s="16"/>
      <c r="M101" s="29"/>
      <c r="N101" s="683"/>
      <c r="O101" s="683"/>
      <c r="P101" s="64"/>
      <c r="Q101" s="64"/>
      <c r="R101" s="64"/>
      <c r="S101" s="64"/>
      <c r="T101" s="64"/>
      <c r="U101" s="64"/>
      <c r="V101" s="64"/>
      <c r="W101" s="64"/>
      <c r="X101" s="64"/>
      <c r="Y101" s="137"/>
      <c r="Z101" s="137"/>
      <c r="AA101" s="137"/>
      <c r="AB101" s="70"/>
      <c r="AC101" s="279"/>
      <c r="AD101" s="196"/>
      <c r="AE101" s="196"/>
      <c r="AF101" s="196"/>
      <c r="AG101" s="196"/>
      <c r="AH101" s="196"/>
      <c r="AI101" s="196"/>
      <c r="AJ101" s="196"/>
      <c r="AK101" s="196"/>
      <c r="AL101" s="196"/>
      <c r="AM101" s="196"/>
      <c r="AN101" s="196"/>
      <c r="AO101" s="196"/>
      <c r="AP101" s="196"/>
      <c r="AQ101" s="196"/>
      <c r="AR101" s="196"/>
      <c r="AS101" s="196"/>
      <c r="AT101" s="196"/>
      <c r="AU101" s="196"/>
      <c r="AV101" s="196"/>
      <c r="AW101" s="196"/>
      <c r="AX101" s="196"/>
      <c r="AY101" s="196"/>
      <c r="AZ101" s="196"/>
      <c r="BA101" s="196"/>
      <c r="BB101" s="196"/>
      <c r="BC101" s="196"/>
      <c r="BD101" s="196"/>
      <c r="BE101" s="196"/>
      <c r="BF101" s="196"/>
      <c r="BG101" s="196"/>
      <c r="BH101" s="196"/>
      <c r="BI101" s="196"/>
      <c r="BJ101" s="196"/>
      <c r="BK101" s="196"/>
      <c r="BL101" s="196"/>
      <c r="BM101" s="196"/>
      <c r="BN101" s="196"/>
      <c r="BO101" s="196"/>
      <c r="BP101" s="196"/>
      <c r="BQ101" s="196"/>
      <c r="BR101" s="196"/>
      <c r="BS101" s="196"/>
      <c r="BT101" s="196"/>
      <c r="BU101" s="196"/>
      <c r="BV101" s="196"/>
      <c r="BW101" s="196"/>
      <c r="BX101" s="196"/>
      <c r="BY101" s="196"/>
      <c r="BZ101" s="196"/>
      <c r="CA101" s="196"/>
      <c r="CB101" s="196"/>
      <c r="CC101" s="196"/>
      <c r="CD101" s="196"/>
      <c r="CE101" s="196"/>
      <c r="CF101" s="196"/>
      <c r="CG101" s="196"/>
    </row>
    <row r="102" spans="1:85" s="170" customFormat="1" ht="39.950000000000003" customHeight="1" x14ac:dyDescent="0.25">
      <c r="A102" s="26"/>
      <c r="B102" s="32"/>
      <c r="C102" s="34"/>
      <c r="D102" s="229"/>
      <c r="E102" s="229"/>
      <c r="F102" s="229"/>
      <c r="G102" s="43"/>
      <c r="H102" s="31"/>
      <c r="I102" s="125" t="s">
        <v>1239</v>
      </c>
      <c r="J102" s="124">
        <f>'Командировки СУДЫ'!J12</f>
        <v>54000</v>
      </c>
      <c r="K102" s="31"/>
      <c r="L102" s="16"/>
      <c r="M102" s="29"/>
      <c r="N102" s="683"/>
      <c r="O102" s="683"/>
      <c r="P102" s="64"/>
      <c r="Q102" s="64"/>
      <c r="R102" s="64"/>
      <c r="S102" s="64"/>
      <c r="T102" s="64"/>
      <c r="U102" s="64"/>
      <c r="V102" s="64"/>
      <c r="W102" s="64"/>
      <c r="X102" s="64"/>
      <c r="Y102" s="137"/>
      <c r="Z102" s="137"/>
      <c r="AA102" s="137"/>
      <c r="AB102" s="70"/>
      <c r="AC102" s="279"/>
      <c r="AD102" s="196"/>
      <c r="AE102" s="196"/>
      <c r="AF102" s="196"/>
      <c r="AG102" s="196"/>
      <c r="AH102" s="196"/>
      <c r="AI102" s="196"/>
      <c r="AJ102" s="196"/>
      <c r="AK102" s="196"/>
      <c r="AL102" s="196"/>
      <c r="AM102" s="196"/>
      <c r="AN102" s="196"/>
      <c r="AO102" s="196"/>
      <c r="AP102" s="196"/>
      <c r="AQ102" s="196"/>
      <c r="AR102" s="196"/>
      <c r="AS102" s="196"/>
      <c r="AT102" s="196"/>
      <c r="AU102" s="196"/>
      <c r="AV102" s="196"/>
      <c r="AW102" s="196"/>
      <c r="AX102" s="196"/>
      <c r="AY102" s="196"/>
      <c r="AZ102" s="196"/>
      <c r="BA102" s="196"/>
      <c r="BB102" s="196"/>
      <c r="BC102" s="196"/>
      <c r="BD102" s="196"/>
      <c r="BE102" s="196"/>
      <c r="BF102" s="196"/>
      <c r="BG102" s="196"/>
      <c r="BH102" s="196"/>
      <c r="BI102" s="196"/>
      <c r="BJ102" s="196"/>
      <c r="BK102" s="196"/>
      <c r="BL102" s="196"/>
      <c r="BM102" s="196"/>
      <c r="BN102" s="196"/>
      <c r="BO102" s="196"/>
      <c r="BP102" s="196"/>
      <c r="BQ102" s="196"/>
      <c r="BR102" s="196"/>
      <c r="BS102" s="196"/>
      <c r="BT102" s="196"/>
      <c r="BU102" s="196"/>
      <c r="BV102" s="196"/>
      <c r="BW102" s="196"/>
      <c r="BX102" s="196"/>
      <c r="BY102" s="196"/>
      <c r="BZ102" s="196"/>
      <c r="CA102" s="196"/>
      <c r="CB102" s="196"/>
      <c r="CC102" s="196"/>
      <c r="CD102" s="196"/>
      <c r="CE102" s="196"/>
      <c r="CF102" s="196"/>
      <c r="CG102" s="196"/>
    </row>
    <row r="103" spans="1:85" s="170" customFormat="1" ht="39.950000000000003" customHeight="1" x14ac:dyDescent="0.3">
      <c r="A103" s="28" t="s">
        <v>173</v>
      </c>
      <c r="B103" s="24"/>
      <c r="C103" s="18"/>
      <c r="D103"/>
      <c r="E103"/>
      <c r="F103"/>
      <c r="G103" s="13"/>
      <c r="H103" s="19"/>
      <c r="I103" s="20"/>
      <c r="J103" s="72" t="s">
        <v>1057</v>
      </c>
      <c r="K103" s="21"/>
      <c r="L103" s="22"/>
      <c r="M103" s="7"/>
      <c r="N103" s="6"/>
      <c r="O103" s="6"/>
      <c r="P103" s="29"/>
      <c r="Q103" s="29"/>
      <c r="R103" s="6"/>
      <c r="S103" s="6"/>
      <c r="T103" s="29"/>
      <c r="U103" s="29"/>
      <c r="V103" s="29"/>
      <c r="W103" s="29"/>
      <c r="X103" s="29"/>
      <c r="Y103" s="31"/>
      <c r="Z103" s="31"/>
      <c r="AA103" s="31"/>
      <c r="AB103" s="69"/>
      <c r="AC103" s="279"/>
      <c r="AD103" s="196"/>
      <c r="AE103" s="196"/>
      <c r="AF103" s="196"/>
      <c r="AG103" s="196"/>
      <c r="AH103" s="196"/>
      <c r="AI103" s="196"/>
      <c r="AJ103" s="196"/>
      <c r="AK103" s="196"/>
      <c r="AL103" s="196"/>
      <c r="AM103" s="196"/>
      <c r="AN103" s="196"/>
      <c r="AO103" s="196"/>
      <c r="AP103" s="196"/>
      <c r="AQ103" s="196"/>
      <c r="AR103" s="196"/>
      <c r="AS103" s="196"/>
      <c r="AT103" s="196"/>
      <c r="AU103" s="196"/>
      <c r="AV103" s="196"/>
      <c r="AW103" s="196"/>
      <c r="AX103" s="196"/>
      <c r="AY103" s="196"/>
      <c r="AZ103" s="196"/>
      <c r="BA103" s="196"/>
      <c r="BB103" s="196"/>
      <c r="BC103" s="196"/>
      <c r="BD103" s="196"/>
      <c r="BE103" s="196"/>
      <c r="BF103" s="196"/>
      <c r="BG103" s="196"/>
      <c r="BH103" s="196"/>
      <c r="BI103" s="196"/>
      <c r="BJ103" s="196"/>
      <c r="BK103" s="196"/>
      <c r="BL103" s="196"/>
      <c r="BM103" s="196"/>
      <c r="BN103" s="196"/>
      <c r="BO103" s="196"/>
      <c r="BP103" s="196"/>
      <c r="BQ103" s="196"/>
      <c r="BR103" s="196"/>
      <c r="BS103" s="196"/>
      <c r="BT103" s="196"/>
      <c r="BU103" s="196"/>
      <c r="BV103" s="196"/>
      <c r="BW103" s="196"/>
      <c r="BX103" s="196"/>
      <c r="BY103" s="196"/>
      <c r="BZ103" s="196"/>
      <c r="CA103" s="196"/>
      <c r="CB103" s="196"/>
      <c r="CC103" s="196"/>
      <c r="CD103" s="196"/>
      <c r="CE103" s="196"/>
      <c r="CF103" s="196"/>
      <c r="CG103" s="196"/>
    </row>
    <row r="104" spans="1:85" s="170" customFormat="1" ht="39.950000000000003" customHeight="1" x14ac:dyDescent="0.25">
      <c r="A104"/>
      <c r="B104"/>
      <c r="C104"/>
      <c r="D104"/>
      <c r="E104"/>
      <c r="F104"/>
      <c r="G104"/>
      <c r="H104"/>
      <c r="I104" s="68"/>
      <c r="J104" s="71"/>
      <c r="K104"/>
      <c r="L104"/>
      <c r="M104"/>
      <c r="N104"/>
      <c r="O104"/>
      <c r="P104"/>
      <c r="Q104" s="121"/>
      <c r="R104"/>
      <c r="S104"/>
      <c r="T104" s="229"/>
      <c r="U104" s="229"/>
      <c r="V104" s="229"/>
      <c r="W104" s="229"/>
      <c r="X104" s="229"/>
      <c r="Y104" s="136"/>
      <c r="Z104" s="166"/>
      <c r="AA104" s="166"/>
      <c r="AB104" s="71"/>
      <c r="AC104" s="279"/>
      <c r="AD104" s="196"/>
      <c r="AE104" s="196"/>
      <c r="AF104" s="196"/>
      <c r="AG104" s="196"/>
      <c r="AH104" s="196"/>
      <c r="AI104" s="196"/>
      <c r="AJ104" s="196"/>
      <c r="AK104" s="196"/>
      <c r="AL104" s="196"/>
      <c r="AM104" s="196"/>
      <c r="AN104" s="196"/>
      <c r="AO104" s="196"/>
      <c r="AP104" s="196"/>
      <c r="AQ104" s="196"/>
      <c r="AR104" s="196"/>
      <c r="AS104" s="196"/>
      <c r="AT104" s="196"/>
      <c r="AU104" s="196"/>
      <c r="AV104" s="196"/>
      <c r="AW104" s="196"/>
      <c r="AX104" s="196"/>
      <c r="AY104" s="196"/>
      <c r="AZ104" s="196"/>
      <c r="BA104" s="196"/>
      <c r="BB104" s="196"/>
      <c r="BC104" s="196"/>
      <c r="BD104" s="196"/>
      <c r="BE104" s="196"/>
      <c r="BF104" s="196"/>
      <c r="BG104" s="196"/>
      <c r="BH104" s="196"/>
      <c r="BI104" s="196"/>
      <c r="BJ104" s="196"/>
      <c r="BK104" s="196"/>
      <c r="BL104" s="196"/>
      <c r="BM104" s="196"/>
      <c r="BN104" s="196"/>
      <c r="BO104" s="196"/>
      <c r="BP104" s="196"/>
      <c r="BQ104" s="196"/>
      <c r="BR104" s="196"/>
      <c r="BS104" s="196"/>
      <c r="BT104" s="196"/>
      <c r="BU104" s="196"/>
      <c r="BV104" s="196"/>
      <c r="BW104" s="196"/>
      <c r="BX104" s="196"/>
      <c r="BY104" s="196"/>
      <c r="BZ104" s="196"/>
      <c r="CA104" s="196"/>
      <c r="CB104" s="196"/>
      <c r="CC104" s="196"/>
      <c r="CD104" s="196"/>
      <c r="CE104" s="196"/>
      <c r="CF104" s="196"/>
      <c r="CG104" s="196"/>
    </row>
    <row r="105" spans="1:85" s="170" customFormat="1" ht="39.950000000000003" customHeight="1" x14ac:dyDescent="0.25">
      <c r="A105"/>
      <c r="B105"/>
      <c r="C105"/>
      <c r="D105"/>
      <c r="E105"/>
      <c r="F105"/>
      <c r="G105"/>
      <c r="H105"/>
      <c r="I105" s="68"/>
      <c r="J105" s="71"/>
      <c r="K105"/>
      <c r="L105"/>
      <c r="M105"/>
      <c r="N105"/>
      <c r="O105"/>
      <c r="P105"/>
      <c r="Q105" s="121"/>
      <c r="R105"/>
      <c r="S105"/>
      <c r="T105" s="229"/>
      <c r="U105" s="229"/>
      <c r="V105" s="229"/>
      <c r="W105" s="229"/>
      <c r="X105" s="229"/>
      <c r="Y105" s="136"/>
      <c r="Z105" s="166"/>
      <c r="AA105" s="166"/>
      <c r="AB105" s="71"/>
      <c r="AC105" s="279"/>
      <c r="AD105" s="196"/>
      <c r="AE105" s="196"/>
      <c r="AF105" s="196"/>
      <c r="AG105" s="196"/>
      <c r="AH105" s="196"/>
      <c r="AI105" s="196"/>
      <c r="AJ105" s="196"/>
      <c r="AK105" s="196"/>
      <c r="AL105" s="196"/>
      <c r="AM105" s="196"/>
      <c r="AN105" s="196"/>
      <c r="AO105" s="196"/>
      <c r="AP105" s="196"/>
      <c r="AQ105" s="196"/>
      <c r="AR105" s="196"/>
      <c r="AS105" s="196"/>
      <c r="AT105" s="196"/>
      <c r="AU105" s="196"/>
      <c r="AV105" s="196"/>
      <c r="AW105" s="196"/>
      <c r="AX105" s="196"/>
      <c r="AY105" s="196"/>
      <c r="AZ105" s="196"/>
      <c r="BA105" s="196"/>
      <c r="BB105" s="196"/>
      <c r="BC105" s="196"/>
      <c r="BD105" s="196"/>
      <c r="BE105" s="196"/>
      <c r="BF105" s="196"/>
      <c r="BG105" s="196"/>
      <c r="BH105" s="196"/>
      <c r="BI105" s="196"/>
      <c r="BJ105" s="196"/>
      <c r="BK105" s="196"/>
      <c r="BL105" s="196"/>
      <c r="BM105" s="196"/>
      <c r="BN105" s="196"/>
      <c r="BO105" s="196"/>
      <c r="BP105" s="196"/>
      <c r="BQ105" s="196"/>
      <c r="BR105" s="196"/>
      <c r="BS105" s="196"/>
      <c r="BT105" s="196"/>
      <c r="BU105" s="196"/>
      <c r="BV105" s="196"/>
      <c r="BW105" s="196"/>
      <c r="BX105" s="196"/>
      <c r="BY105" s="196"/>
      <c r="BZ105" s="196"/>
      <c r="CA105" s="196"/>
      <c r="CB105" s="196"/>
      <c r="CC105" s="196"/>
      <c r="CD105" s="196"/>
      <c r="CE105" s="196"/>
      <c r="CF105" s="196"/>
      <c r="CG105" s="196"/>
    </row>
    <row r="106" spans="1:85" s="170" customFormat="1" ht="39.950000000000003" customHeight="1" x14ac:dyDescent="0.25">
      <c r="A106"/>
      <c r="B106"/>
      <c r="C106"/>
      <c r="D106"/>
      <c r="E106"/>
      <c r="F106"/>
      <c r="G106"/>
      <c r="H106"/>
      <c r="I106" s="68"/>
      <c r="J106" s="71"/>
      <c r="K106"/>
      <c r="L106"/>
      <c r="M106"/>
      <c r="N106"/>
      <c r="O106"/>
      <c r="P106"/>
      <c r="Q106" s="121"/>
      <c r="R106"/>
      <c r="S106"/>
      <c r="T106" s="229"/>
      <c r="U106" s="229"/>
      <c r="V106" s="229"/>
      <c r="W106" s="229"/>
      <c r="X106" s="229"/>
      <c r="Y106" s="136"/>
      <c r="Z106" s="166"/>
      <c r="AA106" s="166"/>
      <c r="AB106" s="71"/>
      <c r="AC106" s="279"/>
      <c r="AD106" s="196"/>
      <c r="AE106" s="196"/>
      <c r="AF106" s="196"/>
      <c r="AG106" s="196"/>
      <c r="AH106" s="196"/>
      <c r="AI106" s="196"/>
      <c r="AJ106" s="196"/>
      <c r="AK106" s="196"/>
      <c r="AL106" s="196"/>
      <c r="AM106" s="196"/>
      <c r="AN106" s="196"/>
      <c r="AO106" s="196"/>
      <c r="AP106" s="196"/>
      <c r="AQ106" s="196"/>
      <c r="AR106" s="196"/>
      <c r="AS106" s="196"/>
      <c r="AT106" s="196"/>
      <c r="AU106" s="196"/>
      <c r="AV106" s="196"/>
      <c r="AW106" s="196"/>
      <c r="AX106" s="196"/>
      <c r="AY106" s="196"/>
      <c r="AZ106" s="196"/>
      <c r="BA106" s="196"/>
      <c r="BB106" s="196"/>
      <c r="BC106" s="196"/>
      <c r="BD106" s="196"/>
      <c r="BE106" s="196"/>
      <c r="BF106" s="196"/>
      <c r="BG106" s="196"/>
      <c r="BH106" s="196"/>
      <c r="BI106" s="196"/>
      <c r="BJ106" s="196"/>
      <c r="BK106" s="196"/>
      <c r="BL106" s="196"/>
      <c r="BM106" s="196"/>
      <c r="BN106" s="196"/>
      <c r="BO106" s="196"/>
      <c r="BP106" s="196"/>
      <c r="BQ106" s="196"/>
      <c r="BR106" s="196"/>
      <c r="BS106" s="196"/>
      <c r="BT106" s="196"/>
      <c r="BU106" s="196"/>
      <c r="BV106" s="196"/>
      <c r="BW106" s="196"/>
      <c r="BX106" s="196"/>
      <c r="BY106" s="196"/>
      <c r="BZ106" s="196"/>
      <c r="CA106" s="196"/>
      <c r="CB106" s="196"/>
      <c r="CC106" s="196"/>
      <c r="CD106" s="196"/>
      <c r="CE106" s="196"/>
      <c r="CF106" s="196"/>
      <c r="CG106" s="196"/>
    </row>
    <row r="107" spans="1:85" s="170" customFormat="1" ht="39.950000000000003" customHeight="1" x14ac:dyDescent="0.25">
      <c r="A107"/>
      <c r="B107"/>
      <c r="C107"/>
      <c r="D107"/>
      <c r="E107"/>
      <c r="F107"/>
      <c r="G107"/>
      <c r="H107"/>
      <c r="I107" s="68"/>
      <c r="J107" s="71"/>
      <c r="K107"/>
      <c r="L107"/>
      <c r="M107"/>
      <c r="N107"/>
      <c r="O107"/>
      <c r="P107"/>
      <c r="Q107" s="121"/>
      <c r="R107"/>
      <c r="S107"/>
      <c r="T107" s="229"/>
      <c r="U107" s="229"/>
      <c r="V107" s="229"/>
      <c r="W107" s="229"/>
      <c r="X107" s="229"/>
      <c r="Y107" s="136"/>
      <c r="Z107" s="166"/>
      <c r="AA107" s="166"/>
      <c r="AB107" s="71"/>
      <c r="AC107"/>
      <c r="AD107" s="196"/>
      <c r="AE107" s="196"/>
      <c r="AF107" s="196"/>
      <c r="AG107" s="196"/>
      <c r="AH107" s="196"/>
      <c r="AI107" s="196"/>
      <c r="AJ107" s="196"/>
      <c r="AK107" s="196"/>
      <c r="AL107" s="196"/>
      <c r="AM107" s="196"/>
      <c r="AN107" s="196"/>
      <c r="AO107" s="196"/>
      <c r="AP107" s="196"/>
      <c r="AQ107" s="196"/>
      <c r="AR107" s="196"/>
      <c r="AS107" s="196"/>
      <c r="AT107" s="196"/>
      <c r="AU107" s="196"/>
      <c r="AV107" s="196"/>
      <c r="AW107" s="196"/>
      <c r="AX107" s="196"/>
      <c r="AY107" s="196"/>
      <c r="AZ107" s="196"/>
      <c r="BA107" s="196"/>
      <c r="BB107" s="196"/>
      <c r="BC107" s="196"/>
      <c r="BD107" s="196"/>
      <c r="BE107" s="196"/>
      <c r="BF107" s="196"/>
      <c r="BG107" s="196"/>
      <c r="BH107" s="196"/>
      <c r="BI107" s="196"/>
      <c r="BJ107" s="196"/>
      <c r="BK107" s="196"/>
      <c r="BL107" s="196"/>
      <c r="BM107" s="196"/>
      <c r="BN107" s="196"/>
      <c r="BO107" s="196"/>
      <c r="BP107" s="196"/>
      <c r="BQ107" s="196"/>
      <c r="BR107" s="196"/>
      <c r="BS107" s="196"/>
      <c r="BT107" s="196"/>
      <c r="BU107" s="196"/>
      <c r="BV107" s="196"/>
      <c r="BW107" s="196"/>
      <c r="BX107" s="196"/>
      <c r="BY107" s="196"/>
      <c r="BZ107" s="196"/>
      <c r="CA107" s="196"/>
      <c r="CB107" s="196"/>
      <c r="CC107" s="196"/>
      <c r="CD107" s="196"/>
      <c r="CE107" s="196"/>
      <c r="CF107" s="196"/>
      <c r="CG107" s="196"/>
    </row>
    <row r="108" spans="1:85" s="170" customFormat="1" ht="39.950000000000003" customHeight="1" x14ac:dyDescent="0.25">
      <c r="A108"/>
      <c r="B108"/>
      <c r="C108"/>
      <c r="D108"/>
      <c r="E108"/>
      <c r="F108"/>
      <c r="G108"/>
      <c r="H108"/>
      <c r="I108" s="68"/>
      <c r="J108" s="71"/>
      <c r="K108"/>
      <c r="L108"/>
      <c r="M108"/>
      <c r="N108"/>
      <c r="O108"/>
      <c r="P108"/>
      <c r="Q108" s="121"/>
      <c r="R108"/>
      <c r="S108"/>
      <c r="T108" s="229"/>
      <c r="U108" s="229"/>
      <c r="V108" s="229"/>
      <c r="W108" s="229"/>
      <c r="X108" s="229"/>
      <c r="Y108" s="136"/>
      <c r="Z108" s="166"/>
      <c r="AA108" s="166"/>
      <c r="AB108" s="71"/>
      <c r="AC108"/>
      <c r="AD108" s="196"/>
      <c r="AE108" s="196"/>
      <c r="AF108" s="196"/>
      <c r="AG108" s="196"/>
      <c r="AH108" s="196"/>
      <c r="AI108" s="196"/>
      <c r="AJ108" s="196"/>
      <c r="AK108" s="196"/>
      <c r="AL108" s="196"/>
      <c r="AM108" s="196"/>
      <c r="AN108" s="196"/>
      <c r="AO108" s="196"/>
      <c r="AP108" s="196"/>
      <c r="AQ108" s="196"/>
      <c r="AR108" s="196"/>
      <c r="AS108" s="196"/>
      <c r="AT108" s="196"/>
      <c r="AU108" s="196"/>
      <c r="AV108" s="196"/>
      <c r="AW108" s="196"/>
      <c r="AX108" s="196"/>
      <c r="AY108" s="196"/>
      <c r="AZ108" s="196"/>
      <c r="BA108" s="196"/>
      <c r="BB108" s="196"/>
      <c r="BC108" s="196"/>
      <c r="BD108" s="196"/>
      <c r="BE108" s="196"/>
      <c r="BF108" s="196"/>
      <c r="BG108" s="196"/>
      <c r="BH108" s="196"/>
      <c r="BI108" s="196"/>
      <c r="BJ108" s="196"/>
      <c r="BK108" s="196"/>
      <c r="BL108" s="196"/>
      <c r="BM108" s="196"/>
      <c r="BN108" s="196"/>
      <c r="BO108" s="196"/>
      <c r="BP108" s="196"/>
      <c r="BQ108" s="196"/>
      <c r="BR108" s="196"/>
      <c r="BS108" s="196"/>
      <c r="BT108" s="196"/>
      <c r="BU108" s="196"/>
      <c r="BV108" s="196"/>
      <c r="BW108" s="196"/>
      <c r="BX108" s="196"/>
      <c r="BY108" s="196"/>
      <c r="BZ108" s="196"/>
      <c r="CA108" s="196"/>
      <c r="CB108" s="196"/>
      <c r="CC108" s="196"/>
      <c r="CD108" s="196"/>
      <c r="CE108" s="196"/>
      <c r="CF108" s="196"/>
      <c r="CG108" s="196"/>
    </row>
    <row r="109" spans="1:85" s="170" customFormat="1" ht="39.950000000000003" customHeight="1" x14ac:dyDescent="0.25">
      <c r="A109"/>
      <c r="B109"/>
      <c r="C109"/>
      <c r="D109"/>
      <c r="E109"/>
      <c r="F109"/>
      <c r="G109"/>
      <c r="H109"/>
      <c r="I109" s="68"/>
      <c r="J109" s="71"/>
      <c r="K109"/>
      <c r="L109"/>
      <c r="M109"/>
      <c r="N109"/>
      <c r="O109"/>
      <c r="P109"/>
      <c r="Q109" s="121"/>
      <c r="R109"/>
      <c r="S109"/>
      <c r="T109" s="229"/>
      <c r="U109" s="229"/>
      <c r="V109" s="229"/>
      <c r="W109" s="229"/>
      <c r="X109" s="229"/>
      <c r="Y109" s="136"/>
      <c r="Z109" s="166"/>
      <c r="AA109" s="166"/>
      <c r="AB109" s="71"/>
      <c r="AC109"/>
      <c r="AD109" s="196"/>
      <c r="AE109" s="196"/>
      <c r="AF109" s="196"/>
      <c r="AG109" s="196"/>
      <c r="AH109" s="196"/>
      <c r="AI109" s="196"/>
      <c r="AJ109" s="196"/>
      <c r="AK109" s="196"/>
      <c r="AL109" s="196"/>
      <c r="AM109" s="196"/>
      <c r="AN109" s="196"/>
      <c r="AO109" s="196"/>
      <c r="AP109" s="196"/>
      <c r="AQ109" s="196"/>
      <c r="AR109" s="196"/>
      <c r="AS109" s="196"/>
      <c r="AT109" s="196"/>
      <c r="AU109" s="196"/>
      <c r="AV109" s="196"/>
      <c r="AW109" s="196"/>
      <c r="AX109" s="196"/>
      <c r="AY109" s="196"/>
      <c r="AZ109" s="196"/>
      <c r="BA109" s="196"/>
      <c r="BB109" s="196"/>
      <c r="BC109" s="196"/>
      <c r="BD109" s="196"/>
      <c r="BE109" s="196"/>
      <c r="BF109" s="196"/>
      <c r="BG109" s="196"/>
      <c r="BH109" s="196"/>
      <c r="BI109" s="196"/>
      <c r="BJ109" s="196"/>
      <c r="BK109" s="196"/>
      <c r="BL109" s="196"/>
      <c r="BM109" s="196"/>
      <c r="BN109" s="196"/>
      <c r="BO109" s="196"/>
      <c r="BP109" s="196"/>
      <c r="BQ109" s="196"/>
      <c r="BR109" s="196"/>
      <c r="BS109" s="196"/>
      <c r="BT109" s="196"/>
      <c r="BU109" s="196"/>
      <c r="BV109" s="196"/>
      <c r="BW109" s="196"/>
      <c r="BX109" s="196"/>
      <c r="BY109" s="196"/>
      <c r="BZ109" s="196"/>
      <c r="CA109" s="196"/>
      <c r="CB109" s="196"/>
      <c r="CC109" s="196"/>
      <c r="CD109" s="196"/>
      <c r="CE109" s="196"/>
      <c r="CF109" s="196"/>
      <c r="CG109" s="196"/>
    </row>
    <row r="110" spans="1:85" s="170" customFormat="1" ht="39.950000000000003" customHeight="1" x14ac:dyDescent="0.25">
      <c r="A110"/>
      <c r="B110"/>
      <c r="C110"/>
      <c r="D110"/>
      <c r="E110"/>
      <c r="F110"/>
      <c r="G110"/>
      <c r="H110"/>
      <c r="I110" s="68"/>
      <c r="J110" s="71"/>
      <c r="K110"/>
      <c r="L110"/>
      <c r="M110"/>
      <c r="N110"/>
      <c r="O110"/>
      <c r="P110"/>
      <c r="Q110" s="121"/>
      <c r="R110"/>
      <c r="S110"/>
      <c r="T110" s="229"/>
      <c r="U110" s="229"/>
      <c r="V110" s="229"/>
      <c r="W110" s="229"/>
      <c r="X110" s="229"/>
      <c r="Y110" s="136"/>
      <c r="Z110" s="166"/>
      <c r="AA110" s="166"/>
      <c r="AB110" s="71"/>
      <c r="AC110"/>
      <c r="AD110" s="196"/>
      <c r="AE110" s="196"/>
      <c r="AF110" s="196"/>
      <c r="AG110" s="196"/>
      <c r="AH110" s="196"/>
      <c r="AI110" s="196"/>
      <c r="AJ110" s="196"/>
      <c r="AK110" s="196"/>
      <c r="AL110" s="196"/>
      <c r="AM110" s="196"/>
      <c r="AN110" s="196"/>
      <c r="AO110" s="196"/>
      <c r="AP110" s="196"/>
      <c r="AQ110" s="196"/>
      <c r="AR110" s="196"/>
      <c r="AS110" s="196"/>
      <c r="AT110" s="196"/>
      <c r="AU110" s="196"/>
      <c r="AV110" s="196"/>
      <c r="AW110" s="196"/>
      <c r="AX110" s="196"/>
      <c r="AY110" s="196"/>
      <c r="AZ110" s="196"/>
      <c r="BA110" s="196"/>
      <c r="BB110" s="196"/>
      <c r="BC110" s="196"/>
      <c r="BD110" s="196"/>
      <c r="BE110" s="196"/>
      <c r="BF110" s="196"/>
      <c r="BG110" s="196"/>
      <c r="BH110" s="196"/>
      <c r="BI110" s="196"/>
      <c r="BJ110" s="196"/>
      <c r="BK110" s="196"/>
      <c r="BL110" s="196"/>
      <c r="BM110" s="196"/>
      <c r="BN110" s="196"/>
      <c r="BO110" s="196"/>
      <c r="BP110" s="196"/>
      <c r="BQ110" s="196"/>
      <c r="BR110" s="196"/>
      <c r="BS110" s="196"/>
      <c r="BT110" s="196"/>
      <c r="BU110" s="196"/>
      <c r="BV110" s="196"/>
      <c r="BW110" s="196"/>
      <c r="BX110" s="196"/>
      <c r="BY110" s="196"/>
      <c r="BZ110" s="196"/>
      <c r="CA110" s="196"/>
      <c r="CB110" s="196"/>
      <c r="CC110" s="196"/>
      <c r="CD110" s="196"/>
      <c r="CE110" s="196"/>
      <c r="CF110" s="196"/>
      <c r="CG110" s="196"/>
    </row>
    <row r="111" spans="1:85" s="170" customFormat="1" ht="39.950000000000003" customHeight="1" x14ac:dyDescent="0.25">
      <c r="A111"/>
      <c r="B111"/>
      <c r="C111"/>
      <c r="D111"/>
      <c r="E111"/>
      <c r="F111"/>
      <c r="G111"/>
      <c r="H111"/>
      <c r="I111" s="68"/>
      <c r="J111" s="71"/>
      <c r="K111"/>
      <c r="L111"/>
      <c r="M111"/>
      <c r="N111"/>
      <c r="O111"/>
      <c r="P111"/>
      <c r="Q111" s="121"/>
      <c r="R111"/>
      <c r="S111"/>
      <c r="T111" s="229"/>
      <c r="U111" s="229"/>
      <c r="V111" s="229"/>
      <c r="W111" s="229"/>
      <c r="X111" s="229"/>
      <c r="Y111" s="136"/>
      <c r="Z111" s="166"/>
      <c r="AA111" s="166"/>
      <c r="AB111" s="71"/>
      <c r="AC111"/>
      <c r="AD111" s="196"/>
      <c r="AE111" s="196"/>
      <c r="AF111" s="196"/>
      <c r="AG111" s="196"/>
      <c r="AH111" s="196"/>
      <c r="AI111" s="196"/>
      <c r="AJ111" s="196"/>
      <c r="AK111" s="196"/>
      <c r="AL111" s="196"/>
      <c r="AM111" s="196"/>
      <c r="AN111" s="196"/>
      <c r="AO111" s="196"/>
      <c r="AP111" s="196"/>
      <c r="AQ111" s="196"/>
      <c r="AR111" s="196"/>
      <c r="AS111" s="196"/>
      <c r="AT111" s="196"/>
      <c r="AU111" s="196"/>
      <c r="AV111" s="196"/>
      <c r="AW111" s="196"/>
      <c r="AX111" s="196"/>
      <c r="AY111" s="196"/>
      <c r="AZ111" s="196"/>
      <c r="BA111" s="196"/>
      <c r="BB111" s="196"/>
      <c r="BC111" s="196"/>
      <c r="BD111" s="196"/>
      <c r="BE111" s="196"/>
      <c r="BF111" s="196"/>
      <c r="BG111" s="196"/>
      <c r="BH111" s="196"/>
      <c r="BI111" s="196"/>
      <c r="BJ111" s="196"/>
      <c r="BK111" s="196"/>
      <c r="BL111" s="196"/>
      <c r="BM111" s="196"/>
      <c r="BN111" s="196"/>
      <c r="BO111" s="196"/>
      <c r="BP111" s="196"/>
      <c r="BQ111" s="196"/>
      <c r="BR111" s="196"/>
      <c r="BS111" s="196"/>
      <c r="BT111" s="196"/>
      <c r="BU111" s="196"/>
      <c r="BV111" s="196"/>
      <c r="BW111" s="196"/>
      <c r="BX111" s="196"/>
      <c r="BY111" s="196"/>
      <c r="BZ111" s="196"/>
      <c r="CA111" s="196"/>
      <c r="CB111" s="196"/>
      <c r="CC111" s="196"/>
      <c r="CD111" s="196"/>
      <c r="CE111" s="196"/>
      <c r="CF111" s="196"/>
      <c r="CG111" s="196"/>
    </row>
    <row r="112" spans="1:85" s="170" customFormat="1" ht="39.950000000000003" customHeight="1" x14ac:dyDescent="0.25">
      <c r="A112"/>
      <c r="B112"/>
      <c r="C112"/>
      <c r="D112"/>
      <c r="E112"/>
      <c r="F112"/>
      <c r="G112"/>
      <c r="H112"/>
      <c r="I112" s="68"/>
      <c r="J112" s="71"/>
      <c r="K112"/>
      <c r="L112"/>
      <c r="M112"/>
      <c r="N112"/>
      <c r="O112"/>
      <c r="P112"/>
      <c r="Q112" s="121"/>
      <c r="R112"/>
      <c r="S112"/>
      <c r="T112" s="229"/>
      <c r="U112" s="229"/>
      <c r="V112" s="229"/>
      <c r="W112" s="229"/>
      <c r="X112" s="229"/>
      <c r="Y112" s="136"/>
      <c r="Z112" s="166"/>
      <c r="AA112" s="166"/>
      <c r="AB112" s="71"/>
      <c r="AC112"/>
      <c r="AD112" s="196"/>
      <c r="AE112" s="196"/>
      <c r="AF112" s="196"/>
      <c r="AG112" s="196"/>
      <c r="AH112" s="196"/>
      <c r="AI112" s="196"/>
      <c r="AJ112" s="196"/>
      <c r="AK112" s="196"/>
      <c r="AL112" s="196"/>
      <c r="AM112" s="196"/>
      <c r="AN112" s="196"/>
      <c r="AO112" s="196"/>
      <c r="AP112" s="196"/>
      <c r="AQ112" s="196"/>
      <c r="AR112" s="196"/>
      <c r="AS112" s="196"/>
      <c r="AT112" s="196"/>
      <c r="AU112" s="196"/>
      <c r="AV112" s="196"/>
      <c r="AW112" s="196"/>
      <c r="AX112" s="196"/>
      <c r="AY112" s="196"/>
      <c r="AZ112" s="196"/>
      <c r="BA112" s="196"/>
      <c r="BB112" s="196"/>
      <c r="BC112" s="196"/>
      <c r="BD112" s="196"/>
      <c r="BE112" s="196"/>
      <c r="BF112" s="196"/>
      <c r="BG112" s="196"/>
      <c r="BH112" s="196"/>
      <c r="BI112" s="196"/>
      <c r="BJ112" s="196"/>
      <c r="BK112" s="196"/>
      <c r="BL112" s="196"/>
      <c r="BM112" s="196"/>
      <c r="BN112" s="196"/>
      <c r="BO112" s="196"/>
      <c r="BP112" s="196"/>
      <c r="BQ112" s="196"/>
      <c r="BR112" s="196"/>
      <c r="BS112" s="196"/>
      <c r="BT112" s="196"/>
      <c r="BU112" s="196"/>
      <c r="BV112" s="196"/>
      <c r="BW112" s="196"/>
      <c r="BX112" s="196"/>
      <c r="BY112" s="196"/>
      <c r="BZ112" s="196"/>
      <c r="CA112" s="196"/>
      <c r="CB112" s="196"/>
      <c r="CC112" s="196"/>
      <c r="CD112" s="196"/>
      <c r="CE112" s="196"/>
      <c r="CF112" s="196"/>
      <c r="CG112" s="196"/>
    </row>
    <row r="113" spans="1:85" s="170" customFormat="1" ht="39.950000000000003" customHeight="1" x14ac:dyDescent="0.25">
      <c r="A113"/>
      <c r="B113"/>
      <c r="C113"/>
      <c r="D113"/>
      <c r="E113"/>
      <c r="F113"/>
      <c r="G113"/>
      <c r="H113"/>
      <c r="I113" s="68"/>
      <c r="J113" s="71"/>
      <c r="K113"/>
      <c r="L113"/>
      <c r="M113"/>
      <c r="N113"/>
      <c r="O113"/>
      <c r="P113"/>
      <c r="Q113" s="121"/>
      <c r="R113"/>
      <c r="S113"/>
      <c r="T113" s="229"/>
      <c r="U113" s="229"/>
      <c r="V113" s="229"/>
      <c r="W113" s="229"/>
      <c r="X113" s="229"/>
      <c r="Y113" s="136"/>
      <c r="Z113" s="166"/>
      <c r="AA113" s="166"/>
      <c r="AB113" s="71"/>
      <c r="AC113"/>
      <c r="AD113" s="196"/>
      <c r="AE113" s="196"/>
      <c r="AF113" s="196"/>
      <c r="AG113" s="196"/>
      <c r="AH113" s="196"/>
      <c r="AI113" s="196"/>
      <c r="AJ113" s="196"/>
      <c r="AK113" s="196"/>
      <c r="AL113" s="196"/>
      <c r="AM113" s="196"/>
      <c r="AN113" s="196"/>
      <c r="AO113" s="196"/>
      <c r="AP113" s="196"/>
      <c r="AQ113" s="196"/>
      <c r="AR113" s="196"/>
      <c r="AS113" s="196"/>
      <c r="AT113" s="196"/>
      <c r="AU113" s="196"/>
      <c r="AV113" s="196"/>
      <c r="AW113" s="196"/>
      <c r="AX113" s="196"/>
      <c r="AY113" s="196"/>
      <c r="AZ113" s="196"/>
      <c r="BA113" s="196"/>
      <c r="BB113" s="196"/>
      <c r="BC113" s="196"/>
      <c r="BD113" s="196"/>
      <c r="BE113" s="196"/>
      <c r="BF113" s="196"/>
      <c r="BG113" s="196"/>
      <c r="BH113" s="196"/>
      <c r="BI113" s="196"/>
      <c r="BJ113" s="196"/>
      <c r="BK113" s="196"/>
      <c r="BL113" s="196"/>
      <c r="BM113" s="196"/>
      <c r="BN113" s="196"/>
      <c r="BO113" s="196"/>
      <c r="BP113" s="196"/>
      <c r="BQ113" s="196"/>
      <c r="BR113" s="196"/>
      <c r="BS113" s="196"/>
      <c r="BT113" s="196"/>
      <c r="BU113" s="196"/>
      <c r="BV113" s="196"/>
      <c r="BW113" s="196"/>
      <c r="BX113" s="196"/>
      <c r="BY113" s="196"/>
      <c r="BZ113" s="196"/>
      <c r="CA113" s="196"/>
      <c r="CB113" s="196"/>
      <c r="CC113" s="196"/>
      <c r="CD113" s="196"/>
      <c r="CE113" s="196"/>
      <c r="CF113" s="196"/>
      <c r="CG113" s="196"/>
    </row>
    <row r="114" spans="1:85" s="170" customFormat="1" ht="39.950000000000003" customHeight="1" x14ac:dyDescent="0.25">
      <c r="A114"/>
      <c r="B114"/>
      <c r="C114"/>
      <c r="D114"/>
      <c r="E114"/>
      <c r="F114"/>
      <c r="G114"/>
      <c r="H114"/>
      <c r="I114" s="68"/>
      <c r="J114" s="71"/>
      <c r="K114"/>
      <c r="L114"/>
      <c r="M114"/>
      <c r="N114"/>
      <c r="O114"/>
      <c r="P114"/>
      <c r="Q114" s="121"/>
      <c r="R114"/>
      <c r="S114"/>
      <c r="T114" s="229"/>
      <c r="U114" s="229"/>
      <c r="V114" s="229"/>
      <c r="W114" s="229"/>
      <c r="X114" s="229"/>
      <c r="Y114" s="136"/>
      <c r="Z114" s="166"/>
      <c r="AA114" s="166"/>
      <c r="AB114" s="71"/>
      <c r="AC114"/>
      <c r="AD114" s="196"/>
      <c r="AE114" s="196"/>
      <c r="AF114" s="196"/>
      <c r="AG114" s="196"/>
      <c r="AH114" s="196"/>
      <c r="AI114" s="196"/>
      <c r="AJ114" s="196"/>
      <c r="AK114" s="196"/>
      <c r="AL114" s="196"/>
      <c r="AM114" s="196"/>
      <c r="AN114" s="196"/>
      <c r="AO114" s="196"/>
      <c r="AP114" s="196"/>
      <c r="AQ114" s="196"/>
      <c r="AR114" s="196"/>
      <c r="AS114" s="196"/>
      <c r="AT114" s="196"/>
      <c r="AU114" s="196"/>
      <c r="AV114" s="196"/>
      <c r="AW114" s="196"/>
      <c r="AX114" s="196"/>
      <c r="AY114" s="196"/>
      <c r="AZ114" s="196"/>
      <c r="BA114" s="196"/>
      <c r="BB114" s="196"/>
      <c r="BC114" s="196"/>
      <c r="BD114" s="196"/>
      <c r="BE114" s="196"/>
      <c r="BF114" s="196"/>
      <c r="BG114" s="196"/>
      <c r="BH114" s="196"/>
      <c r="BI114" s="196"/>
      <c r="BJ114" s="196"/>
      <c r="BK114" s="196"/>
      <c r="BL114" s="196"/>
      <c r="BM114" s="196"/>
      <c r="BN114" s="196"/>
      <c r="BO114" s="196"/>
      <c r="BP114" s="196"/>
      <c r="BQ114" s="196"/>
      <c r="BR114" s="196"/>
      <c r="BS114" s="196"/>
      <c r="BT114" s="196"/>
      <c r="BU114" s="196"/>
      <c r="BV114" s="196"/>
      <c r="BW114" s="196"/>
      <c r="BX114" s="196"/>
      <c r="BY114" s="196"/>
      <c r="BZ114" s="196"/>
      <c r="CA114" s="196"/>
      <c r="CB114" s="196"/>
      <c r="CC114" s="196"/>
      <c r="CD114" s="196"/>
      <c r="CE114" s="196"/>
      <c r="CF114" s="196"/>
      <c r="CG114" s="196"/>
    </row>
    <row r="115" spans="1:85" s="170" customFormat="1" ht="39.950000000000003" customHeight="1" x14ac:dyDescent="0.25">
      <c r="A115"/>
      <c r="B115"/>
      <c r="C115"/>
      <c r="D115"/>
      <c r="E115"/>
      <c r="F115"/>
      <c r="G115"/>
      <c r="H115"/>
      <c r="I115" s="68"/>
      <c r="J115" s="71"/>
      <c r="K115"/>
      <c r="L115"/>
      <c r="M115"/>
      <c r="N115"/>
      <c r="O115"/>
      <c r="P115"/>
      <c r="Q115" s="121"/>
      <c r="R115"/>
      <c r="S115"/>
      <c r="T115" s="229"/>
      <c r="U115" s="229"/>
      <c r="V115" s="229"/>
      <c r="W115" s="229"/>
      <c r="X115" s="229"/>
      <c r="Y115" s="136"/>
      <c r="Z115" s="166"/>
      <c r="AA115" s="166"/>
      <c r="AB115" s="71"/>
      <c r="AC115"/>
      <c r="AD115" s="196"/>
      <c r="AE115" s="196"/>
      <c r="AF115" s="196"/>
      <c r="AG115" s="196"/>
      <c r="AH115" s="196"/>
      <c r="AI115" s="196"/>
      <c r="AJ115" s="196"/>
      <c r="AK115" s="196"/>
      <c r="AL115" s="196"/>
      <c r="AM115" s="196"/>
      <c r="AN115" s="196"/>
      <c r="AO115" s="196"/>
      <c r="AP115" s="196"/>
      <c r="AQ115" s="196"/>
      <c r="AR115" s="196"/>
      <c r="AS115" s="196"/>
      <c r="AT115" s="196"/>
      <c r="AU115" s="196"/>
      <c r="AV115" s="196"/>
      <c r="AW115" s="196"/>
      <c r="AX115" s="196"/>
      <c r="AY115" s="196"/>
      <c r="AZ115" s="196"/>
      <c r="BA115" s="196"/>
      <c r="BB115" s="196"/>
      <c r="BC115" s="196"/>
      <c r="BD115" s="196"/>
      <c r="BE115" s="196"/>
      <c r="BF115" s="196"/>
      <c r="BG115" s="196"/>
      <c r="BH115" s="196"/>
      <c r="BI115" s="196"/>
      <c r="BJ115" s="196"/>
      <c r="BK115" s="196"/>
      <c r="BL115" s="196"/>
      <c r="BM115" s="196"/>
      <c r="BN115" s="196"/>
      <c r="BO115" s="196"/>
      <c r="BP115" s="196"/>
      <c r="BQ115" s="196"/>
      <c r="BR115" s="196"/>
      <c r="BS115" s="196"/>
      <c r="BT115" s="196"/>
      <c r="BU115" s="196"/>
      <c r="BV115" s="196"/>
      <c r="BW115" s="196"/>
      <c r="BX115" s="196"/>
      <c r="BY115" s="196"/>
      <c r="BZ115" s="196"/>
      <c r="CA115" s="196"/>
      <c r="CB115" s="196"/>
      <c r="CC115" s="196"/>
      <c r="CD115" s="196"/>
      <c r="CE115" s="196"/>
      <c r="CF115" s="196"/>
      <c r="CG115" s="196"/>
    </row>
    <row r="116" spans="1:85" s="170" customFormat="1" ht="39.950000000000003" customHeight="1" x14ac:dyDescent="0.25">
      <c r="A116"/>
      <c r="B116"/>
      <c r="C116"/>
      <c r="D116"/>
      <c r="E116"/>
      <c r="F116"/>
      <c r="G116"/>
      <c r="H116"/>
      <c r="I116" s="68"/>
      <c r="J116" s="71"/>
      <c r="K116"/>
      <c r="L116"/>
      <c r="M116"/>
      <c r="N116"/>
      <c r="O116"/>
      <c r="P116"/>
      <c r="Q116" s="121"/>
      <c r="R116"/>
      <c r="S116"/>
      <c r="T116" s="229"/>
      <c r="U116" s="229"/>
      <c r="V116" s="229"/>
      <c r="W116" s="229"/>
      <c r="X116" s="229"/>
      <c r="Y116" s="136"/>
      <c r="Z116" s="166"/>
      <c r="AA116" s="166"/>
      <c r="AB116" s="71"/>
      <c r="AC116"/>
      <c r="AD116" s="196"/>
      <c r="AE116" s="196"/>
      <c r="AF116" s="196"/>
      <c r="AG116" s="196"/>
      <c r="AH116" s="196"/>
      <c r="AI116" s="196"/>
      <c r="AJ116" s="196"/>
      <c r="AK116" s="196"/>
      <c r="AL116" s="196"/>
      <c r="AM116" s="196"/>
      <c r="AN116" s="196"/>
      <c r="AO116" s="196"/>
      <c r="AP116" s="196"/>
      <c r="AQ116" s="196"/>
      <c r="AR116" s="196"/>
      <c r="AS116" s="196"/>
      <c r="AT116" s="196"/>
      <c r="AU116" s="196"/>
      <c r="AV116" s="196"/>
      <c r="AW116" s="196"/>
      <c r="AX116" s="196"/>
      <c r="AY116" s="196"/>
      <c r="AZ116" s="196"/>
      <c r="BA116" s="196"/>
      <c r="BB116" s="196"/>
      <c r="BC116" s="196"/>
      <c r="BD116" s="196"/>
      <c r="BE116" s="196"/>
      <c r="BF116" s="196"/>
      <c r="BG116" s="196"/>
      <c r="BH116" s="196"/>
      <c r="BI116" s="196"/>
      <c r="BJ116" s="196"/>
      <c r="BK116" s="196"/>
      <c r="BL116" s="196"/>
      <c r="BM116" s="196"/>
      <c r="BN116" s="196"/>
      <c r="BO116" s="196"/>
      <c r="BP116" s="196"/>
      <c r="BQ116" s="196"/>
      <c r="BR116" s="196"/>
      <c r="BS116" s="196"/>
      <c r="BT116" s="196"/>
      <c r="BU116" s="196"/>
      <c r="BV116" s="196"/>
      <c r="BW116" s="196"/>
      <c r="BX116" s="196"/>
      <c r="BY116" s="196"/>
      <c r="BZ116" s="196"/>
      <c r="CA116" s="196"/>
      <c r="CB116" s="196"/>
      <c r="CC116" s="196"/>
      <c r="CD116" s="196"/>
      <c r="CE116" s="196"/>
      <c r="CF116" s="196"/>
      <c r="CG116" s="196"/>
    </row>
    <row r="117" spans="1:85" s="170" customFormat="1" ht="39.950000000000003" customHeight="1" x14ac:dyDescent="0.25">
      <c r="A117"/>
      <c r="B117"/>
      <c r="C117"/>
      <c r="D117"/>
      <c r="E117"/>
      <c r="F117"/>
      <c r="G117"/>
      <c r="H117"/>
      <c r="I117" s="68"/>
      <c r="J117" s="71"/>
      <c r="K117"/>
      <c r="L117"/>
      <c r="M117"/>
      <c r="N117"/>
      <c r="O117"/>
      <c r="P117"/>
      <c r="Q117" s="121"/>
      <c r="R117"/>
      <c r="S117"/>
      <c r="T117" s="229"/>
      <c r="U117" s="229"/>
      <c r="V117" s="229"/>
      <c r="W117" s="229"/>
      <c r="X117" s="229"/>
      <c r="Y117" s="136"/>
      <c r="Z117" s="166"/>
      <c r="AA117" s="166"/>
      <c r="AB117" s="71"/>
      <c r="AC117"/>
      <c r="AD117" s="196"/>
      <c r="AE117" s="196"/>
      <c r="AF117" s="196"/>
      <c r="AG117" s="196"/>
      <c r="AH117" s="196"/>
      <c r="AI117" s="196"/>
      <c r="AJ117" s="196"/>
      <c r="AK117" s="196"/>
      <c r="AL117" s="196"/>
      <c r="AM117" s="196"/>
      <c r="AN117" s="196"/>
      <c r="AO117" s="196"/>
      <c r="AP117" s="196"/>
      <c r="AQ117" s="196"/>
      <c r="AR117" s="196"/>
      <c r="AS117" s="196"/>
      <c r="AT117" s="196"/>
      <c r="AU117" s="196"/>
      <c r="AV117" s="196"/>
      <c r="AW117" s="196"/>
      <c r="AX117" s="196"/>
      <c r="AY117" s="196"/>
      <c r="AZ117" s="196"/>
      <c r="BA117" s="196"/>
      <c r="BB117" s="196"/>
      <c r="BC117" s="196"/>
      <c r="BD117" s="196"/>
      <c r="BE117" s="196"/>
      <c r="BF117" s="196"/>
      <c r="BG117" s="196"/>
      <c r="BH117" s="196"/>
      <c r="BI117" s="196"/>
      <c r="BJ117" s="196"/>
      <c r="BK117" s="196"/>
      <c r="BL117" s="196"/>
      <c r="BM117" s="196"/>
      <c r="BN117" s="196"/>
      <c r="BO117" s="196"/>
      <c r="BP117" s="196"/>
      <c r="BQ117" s="196"/>
      <c r="BR117" s="196"/>
      <c r="BS117" s="196"/>
      <c r="BT117" s="196"/>
      <c r="BU117" s="196"/>
      <c r="BV117" s="196"/>
      <c r="BW117" s="196"/>
      <c r="BX117" s="196"/>
      <c r="BY117" s="196"/>
      <c r="BZ117" s="196"/>
      <c r="CA117" s="196"/>
      <c r="CB117" s="196"/>
      <c r="CC117" s="196"/>
      <c r="CD117" s="196"/>
      <c r="CE117" s="196"/>
      <c r="CF117" s="196"/>
      <c r="CG117" s="196"/>
    </row>
    <row r="118" spans="1:85" s="170" customFormat="1" ht="39.950000000000003" customHeight="1" x14ac:dyDescent="0.25">
      <c r="A118"/>
      <c r="B118"/>
      <c r="C118"/>
      <c r="D118"/>
      <c r="E118"/>
      <c r="F118"/>
      <c r="G118"/>
      <c r="H118"/>
      <c r="I118" s="68"/>
      <c r="J118" s="71"/>
      <c r="K118"/>
      <c r="L118"/>
      <c r="M118"/>
      <c r="N118"/>
      <c r="O118"/>
      <c r="P118"/>
      <c r="Q118" s="121"/>
      <c r="R118"/>
      <c r="S118"/>
      <c r="T118" s="229"/>
      <c r="U118" s="229"/>
      <c r="V118" s="229"/>
      <c r="W118" s="229"/>
      <c r="X118" s="229"/>
      <c r="Y118" s="136"/>
      <c r="Z118" s="166"/>
      <c r="AA118" s="166"/>
      <c r="AB118" s="71"/>
      <c r="AC118"/>
      <c r="AD118" s="196"/>
      <c r="AE118" s="196"/>
      <c r="AF118" s="196"/>
      <c r="AG118" s="196"/>
      <c r="AH118" s="196"/>
      <c r="AI118" s="196"/>
      <c r="AJ118" s="196"/>
      <c r="AK118" s="196"/>
      <c r="AL118" s="196"/>
      <c r="AM118" s="196"/>
      <c r="AN118" s="196"/>
      <c r="AO118" s="196"/>
      <c r="AP118" s="196"/>
      <c r="AQ118" s="196"/>
      <c r="AR118" s="196"/>
      <c r="AS118" s="196"/>
      <c r="AT118" s="196"/>
      <c r="AU118" s="196"/>
      <c r="AV118" s="196"/>
      <c r="AW118" s="196"/>
      <c r="AX118" s="196"/>
      <c r="AY118" s="196"/>
      <c r="AZ118" s="196"/>
      <c r="BA118" s="196"/>
      <c r="BB118" s="196"/>
      <c r="BC118" s="196"/>
      <c r="BD118" s="196"/>
      <c r="BE118" s="196"/>
      <c r="BF118" s="196"/>
      <c r="BG118" s="196"/>
      <c r="BH118" s="196"/>
      <c r="BI118" s="196"/>
      <c r="BJ118" s="196"/>
      <c r="BK118" s="196"/>
      <c r="BL118" s="196"/>
      <c r="BM118" s="196"/>
      <c r="BN118" s="196"/>
      <c r="BO118" s="196"/>
      <c r="BP118" s="196"/>
      <c r="BQ118" s="196"/>
      <c r="BR118" s="196"/>
      <c r="BS118" s="196"/>
      <c r="BT118" s="196"/>
      <c r="BU118" s="196"/>
      <c r="BV118" s="196"/>
      <c r="BW118" s="196"/>
      <c r="BX118" s="196"/>
      <c r="BY118" s="196"/>
      <c r="BZ118" s="196"/>
      <c r="CA118" s="196"/>
      <c r="CB118" s="196"/>
      <c r="CC118" s="196"/>
      <c r="CD118" s="196"/>
      <c r="CE118" s="196"/>
      <c r="CF118" s="196"/>
      <c r="CG118" s="196"/>
    </row>
    <row r="119" spans="1:85" s="170" customFormat="1" ht="39.950000000000003" customHeight="1" x14ac:dyDescent="0.25">
      <c r="A119"/>
      <c r="B119"/>
      <c r="C119"/>
      <c r="D119"/>
      <c r="E119"/>
      <c r="F119"/>
      <c r="G119"/>
      <c r="H119"/>
      <c r="I119" s="68"/>
      <c r="J119" s="71"/>
      <c r="K119"/>
      <c r="L119"/>
      <c r="M119"/>
      <c r="N119"/>
      <c r="O119"/>
      <c r="P119"/>
      <c r="Q119" s="121"/>
      <c r="R119"/>
      <c r="S119"/>
      <c r="T119" s="229"/>
      <c r="U119" s="229"/>
      <c r="V119" s="229"/>
      <c r="W119" s="229"/>
      <c r="X119" s="229"/>
      <c r="Y119" s="136"/>
      <c r="Z119" s="166"/>
      <c r="AA119" s="166"/>
      <c r="AB119" s="71"/>
      <c r="AC119"/>
      <c r="AD119" s="196"/>
      <c r="AE119" s="196"/>
      <c r="AF119" s="196"/>
      <c r="AG119" s="196"/>
      <c r="AH119" s="196"/>
      <c r="AI119" s="196"/>
      <c r="AJ119" s="196"/>
      <c r="AK119" s="196"/>
      <c r="AL119" s="196"/>
      <c r="AM119" s="196"/>
      <c r="AN119" s="196"/>
      <c r="AO119" s="196"/>
      <c r="AP119" s="196"/>
      <c r="AQ119" s="196"/>
      <c r="AR119" s="196"/>
      <c r="AS119" s="196"/>
      <c r="AT119" s="196"/>
      <c r="AU119" s="196"/>
      <c r="AV119" s="196"/>
      <c r="AW119" s="196"/>
      <c r="AX119" s="196"/>
      <c r="AY119" s="196"/>
      <c r="AZ119" s="196"/>
      <c r="BA119" s="196"/>
      <c r="BB119" s="196"/>
      <c r="BC119" s="196"/>
      <c r="BD119" s="196"/>
      <c r="BE119" s="196"/>
      <c r="BF119" s="196"/>
      <c r="BG119" s="196"/>
      <c r="BH119" s="196"/>
      <c r="BI119" s="196"/>
      <c r="BJ119" s="196"/>
      <c r="BK119" s="196"/>
      <c r="BL119" s="196"/>
      <c r="BM119" s="196"/>
      <c r="BN119" s="196"/>
      <c r="BO119" s="196"/>
      <c r="BP119" s="196"/>
      <c r="BQ119" s="196"/>
      <c r="BR119" s="196"/>
      <c r="BS119" s="196"/>
      <c r="BT119" s="196"/>
      <c r="BU119" s="196"/>
      <c r="BV119" s="196"/>
      <c r="BW119" s="196"/>
      <c r="BX119" s="196"/>
      <c r="BY119" s="196"/>
      <c r="BZ119" s="196"/>
      <c r="CA119" s="196"/>
      <c r="CB119" s="196"/>
      <c r="CC119" s="196"/>
      <c r="CD119" s="196"/>
      <c r="CE119" s="196"/>
      <c r="CF119" s="196"/>
      <c r="CG119" s="196"/>
    </row>
    <row r="120" spans="1:85" s="170" customFormat="1" ht="39.950000000000003" customHeight="1" x14ac:dyDescent="0.25">
      <c r="A120"/>
      <c r="B120"/>
      <c r="C120"/>
      <c r="D120"/>
      <c r="E120"/>
      <c r="F120"/>
      <c r="G120"/>
      <c r="H120"/>
      <c r="I120" s="68"/>
      <c r="J120" s="71"/>
      <c r="K120"/>
      <c r="L120"/>
      <c r="M120"/>
      <c r="N120"/>
      <c r="O120"/>
      <c r="P120"/>
      <c r="Q120" s="121"/>
      <c r="R120"/>
      <c r="S120"/>
      <c r="T120" s="229"/>
      <c r="U120" s="229"/>
      <c r="V120" s="229"/>
      <c r="W120" s="229"/>
      <c r="X120" s="229"/>
      <c r="Y120" s="136"/>
      <c r="Z120" s="166"/>
      <c r="AA120" s="166"/>
      <c r="AB120" s="71"/>
      <c r="AC120"/>
      <c r="AD120" s="196"/>
      <c r="AE120" s="196"/>
      <c r="AF120" s="196"/>
      <c r="AG120" s="196"/>
      <c r="AH120" s="196"/>
      <c r="AI120" s="196"/>
      <c r="AJ120" s="196"/>
      <c r="AK120" s="196"/>
      <c r="AL120" s="196"/>
      <c r="AM120" s="196"/>
      <c r="AN120" s="196"/>
      <c r="AO120" s="196"/>
      <c r="AP120" s="196"/>
      <c r="AQ120" s="196"/>
      <c r="AR120" s="196"/>
      <c r="AS120" s="196"/>
      <c r="AT120" s="196"/>
      <c r="AU120" s="196"/>
      <c r="AV120" s="196"/>
      <c r="AW120" s="196"/>
      <c r="AX120" s="196"/>
      <c r="AY120" s="196"/>
      <c r="AZ120" s="196"/>
      <c r="BA120" s="196"/>
      <c r="BB120" s="196"/>
      <c r="BC120" s="196"/>
      <c r="BD120" s="196"/>
      <c r="BE120" s="196"/>
      <c r="BF120" s="196"/>
      <c r="BG120" s="196"/>
      <c r="BH120" s="196"/>
      <c r="BI120" s="196"/>
      <c r="BJ120" s="196"/>
      <c r="BK120" s="196"/>
      <c r="BL120" s="196"/>
      <c r="BM120" s="196"/>
      <c r="BN120" s="196"/>
      <c r="BO120" s="196"/>
      <c r="BP120" s="196"/>
      <c r="BQ120" s="196"/>
      <c r="BR120" s="196"/>
      <c r="BS120" s="196"/>
      <c r="BT120" s="196"/>
      <c r="BU120" s="196"/>
      <c r="BV120" s="196"/>
      <c r="BW120" s="196"/>
      <c r="BX120" s="196"/>
      <c r="BY120" s="196"/>
      <c r="BZ120" s="196"/>
      <c r="CA120" s="196"/>
      <c r="CB120" s="196"/>
      <c r="CC120" s="196"/>
      <c r="CD120" s="196"/>
      <c r="CE120" s="196"/>
      <c r="CF120" s="196"/>
      <c r="CG120" s="196"/>
    </row>
    <row r="121" spans="1:85" s="170" customFormat="1" ht="39.950000000000003" customHeight="1" x14ac:dyDescent="0.25">
      <c r="A121"/>
      <c r="B121"/>
      <c r="C121"/>
      <c r="D121"/>
      <c r="E121"/>
      <c r="F121"/>
      <c r="G121"/>
      <c r="H121"/>
      <c r="I121" s="68"/>
      <c r="J121" s="71"/>
      <c r="K121"/>
      <c r="L121"/>
      <c r="M121"/>
      <c r="N121"/>
      <c r="O121"/>
      <c r="P121"/>
      <c r="Q121" s="121"/>
      <c r="R121"/>
      <c r="S121"/>
      <c r="T121" s="229"/>
      <c r="U121" s="229"/>
      <c r="V121" s="229"/>
      <c r="W121" s="229"/>
      <c r="X121" s="229"/>
      <c r="Y121" s="136"/>
      <c r="Z121" s="166"/>
      <c r="AA121" s="166"/>
      <c r="AB121" s="71"/>
      <c r="AC121"/>
      <c r="AD121" s="196"/>
      <c r="AE121" s="196"/>
      <c r="AF121" s="196"/>
      <c r="AG121" s="196"/>
      <c r="AH121" s="196"/>
      <c r="AI121" s="196"/>
      <c r="AJ121" s="196"/>
      <c r="AK121" s="196"/>
      <c r="AL121" s="196"/>
      <c r="AM121" s="196"/>
      <c r="AN121" s="196"/>
      <c r="AO121" s="196"/>
      <c r="AP121" s="196"/>
      <c r="AQ121" s="196"/>
      <c r="AR121" s="196"/>
      <c r="AS121" s="196"/>
      <c r="AT121" s="196"/>
      <c r="AU121" s="196"/>
      <c r="AV121" s="196"/>
      <c r="AW121" s="196"/>
      <c r="AX121" s="196"/>
      <c r="AY121" s="196"/>
      <c r="AZ121" s="196"/>
      <c r="BA121" s="196"/>
      <c r="BB121" s="196"/>
      <c r="BC121" s="196"/>
      <c r="BD121" s="196"/>
      <c r="BE121" s="196"/>
      <c r="BF121" s="196"/>
      <c r="BG121" s="196"/>
      <c r="BH121" s="196"/>
      <c r="BI121" s="196"/>
      <c r="BJ121" s="196"/>
      <c r="BK121" s="196"/>
      <c r="BL121" s="196"/>
      <c r="BM121" s="196"/>
      <c r="BN121" s="196"/>
      <c r="BO121" s="196"/>
      <c r="BP121" s="196"/>
      <c r="BQ121" s="196"/>
      <c r="BR121" s="196"/>
      <c r="BS121" s="196"/>
      <c r="BT121" s="196"/>
      <c r="BU121" s="196"/>
      <c r="BV121" s="196"/>
      <c r="BW121" s="196"/>
      <c r="BX121" s="196"/>
      <c r="BY121" s="196"/>
      <c r="BZ121" s="196"/>
      <c r="CA121" s="196"/>
      <c r="CB121" s="196"/>
      <c r="CC121" s="196"/>
      <c r="CD121" s="196"/>
      <c r="CE121" s="196"/>
      <c r="CF121" s="196"/>
      <c r="CG121" s="196"/>
    </row>
    <row r="122" spans="1:85" s="170" customFormat="1" ht="39.950000000000003" customHeight="1" x14ac:dyDescent="0.25">
      <c r="A122"/>
      <c r="B122"/>
      <c r="C122"/>
      <c r="D122"/>
      <c r="E122"/>
      <c r="F122"/>
      <c r="G122"/>
      <c r="H122"/>
      <c r="I122" s="68"/>
      <c r="J122" s="71"/>
      <c r="K122"/>
      <c r="L122"/>
      <c r="M122"/>
      <c r="N122"/>
      <c r="O122"/>
      <c r="P122"/>
      <c r="Q122" s="121"/>
      <c r="R122"/>
      <c r="S122"/>
      <c r="T122" s="229"/>
      <c r="U122" s="229"/>
      <c r="V122" s="229"/>
      <c r="W122" s="229"/>
      <c r="X122" s="229"/>
      <c r="Y122" s="136"/>
      <c r="Z122" s="166"/>
      <c r="AA122" s="166"/>
      <c r="AB122" s="71"/>
      <c r="AC122"/>
      <c r="AD122" s="196"/>
      <c r="AE122" s="196"/>
      <c r="AF122" s="196"/>
      <c r="AG122" s="196"/>
      <c r="AH122" s="196"/>
      <c r="AI122" s="196"/>
      <c r="AJ122" s="196"/>
      <c r="AK122" s="196"/>
      <c r="AL122" s="196"/>
      <c r="AM122" s="196"/>
      <c r="AN122" s="196"/>
      <c r="AO122" s="196"/>
      <c r="AP122" s="196"/>
      <c r="AQ122" s="196"/>
      <c r="AR122" s="196"/>
      <c r="AS122" s="196"/>
      <c r="AT122" s="196"/>
      <c r="AU122" s="196"/>
      <c r="AV122" s="196"/>
      <c r="AW122" s="196"/>
      <c r="AX122" s="196"/>
      <c r="AY122" s="196"/>
      <c r="AZ122" s="196"/>
      <c r="BA122" s="196"/>
      <c r="BB122" s="196"/>
      <c r="BC122" s="196"/>
      <c r="BD122" s="196"/>
      <c r="BE122" s="196"/>
      <c r="BF122" s="196"/>
      <c r="BG122" s="196"/>
      <c r="BH122" s="196"/>
      <c r="BI122" s="196"/>
      <c r="BJ122" s="196"/>
      <c r="BK122" s="196"/>
      <c r="BL122" s="196"/>
      <c r="BM122" s="196"/>
      <c r="BN122" s="196"/>
      <c r="BO122" s="196"/>
      <c r="BP122" s="196"/>
      <c r="BQ122" s="196"/>
      <c r="BR122" s="196"/>
      <c r="BS122" s="196"/>
      <c r="BT122" s="196"/>
      <c r="BU122" s="196"/>
      <c r="BV122" s="196"/>
      <c r="BW122" s="196"/>
      <c r="BX122" s="196"/>
      <c r="BY122" s="196"/>
      <c r="BZ122" s="196"/>
      <c r="CA122" s="196"/>
      <c r="CB122" s="196"/>
      <c r="CC122" s="196"/>
      <c r="CD122" s="196"/>
      <c r="CE122" s="196"/>
      <c r="CF122" s="196"/>
      <c r="CG122" s="196"/>
    </row>
    <row r="123" spans="1:85" s="170" customFormat="1" ht="39.950000000000003" customHeight="1" x14ac:dyDescent="0.25">
      <c r="A123"/>
      <c r="B123"/>
      <c r="C123"/>
      <c r="D123"/>
      <c r="E123"/>
      <c r="F123"/>
      <c r="G123"/>
      <c r="H123"/>
      <c r="I123" s="68"/>
      <c r="J123" s="71"/>
      <c r="K123"/>
      <c r="L123"/>
      <c r="M123"/>
      <c r="N123"/>
      <c r="O123"/>
      <c r="P123"/>
      <c r="Q123" s="121"/>
      <c r="R123"/>
      <c r="S123"/>
      <c r="T123" s="229"/>
      <c r="U123" s="229"/>
      <c r="V123" s="229"/>
      <c r="W123" s="229"/>
      <c r="X123" s="229"/>
      <c r="Y123" s="136"/>
      <c r="Z123" s="166"/>
      <c r="AA123" s="166"/>
      <c r="AB123" s="71"/>
      <c r="AC123"/>
      <c r="AD123" s="196"/>
      <c r="AE123" s="196"/>
      <c r="AF123" s="196"/>
      <c r="AG123" s="196"/>
      <c r="AH123" s="196"/>
      <c r="AI123" s="196"/>
      <c r="AJ123" s="196"/>
      <c r="AK123" s="196"/>
      <c r="AL123" s="196"/>
      <c r="AM123" s="196"/>
      <c r="AN123" s="196"/>
      <c r="AO123" s="196"/>
      <c r="AP123" s="196"/>
      <c r="AQ123" s="196"/>
      <c r="AR123" s="196"/>
      <c r="AS123" s="196"/>
      <c r="AT123" s="196"/>
      <c r="AU123" s="196"/>
      <c r="AV123" s="196"/>
      <c r="AW123" s="196"/>
      <c r="AX123" s="196"/>
      <c r="AY123" s="196"/>
      <c r="AZ123" s="196"/>
      <c r="BA123" s="196"/>
      <c r="BB123" s="196"/>
      <c r="BC123" s="196"/>
      <c r="BD123" s="196"/>
      <c r="BE123" s="196"/>
      <c r="BF123" s="196"/>
      <c r="BG123" s="196"/>
      <c r="BH123" s="196"/>
      <c r="BI123" s="196"/>
      <c r="BJ123" s="196"/>
      <c r="BK123" s="196"/>
      <c r="BL123" s="196"/>
      <c r="BM123" s="196"/>
      <c r="BN123" s="196"/>
      <c r="BO123" s="196"/>
      <c r="BP123" s="196"/>
      <c r="BQ123" s="196"/>
      <c r="BR123" s="196"/>
      <c r="BS123" s="196"/>
      <c r="BT123" s="196"/>
      <c r="BU123" s="196"/>
      <c r="BV123" s="196"/>
      <c r="BW123" s="196"/>
      <c r="BX123" s="196"/>
      <c r="BY123" s="196"/>
      <c r="BZ123" s="196"/>
      <c r="CA123" s="196"/>
      <c r="CB123" s="196"/>
      <c r="CC123" s="196"/>
      <c r="CD123" s="196"/>
      <c r="CE123" s="196"/>
      <c r="CF123" s="196"/>
      <c r="CG123" s="196"/>
    </row>
    <row r="124" spans="1:85" s="170" customFormat="1" ht="39.950000000000003" customHeight="1" x14ac:dyDescent="0.25">
      <c r="A124"/>
      <c r="B124"/>
      <c r="C124"/>
      <c r="D124"/>
      <c r="E124"/>
      <c r="F124"/>
      <c r="G124"/>
      <c r="H124"/>
      <c r="I124" s="68"/>
      <c r="J124" s="71"/>
      <c r="K124"/>
      <c r="L124"/>
      <c r="M124"/>
      <c r="N124"/>
      <c r="O124"/>
      <c r="P124"/>
      <c r="Q124" s="121"/>
      <c r="R124"/>
      <c r="S124"/>
      <c r="T124" s="229"/>
      <c r="U124" s="229"/>
      <c r="V124" s="229"/>
      <c r="W124" s="229"/>
      <c r="X124" s="229"/>
      <c r="Y124" s="136"/>
      <c r="Z124" s="166"/>
      <c r="AA124" s="166"/>
      <c r="AB124" s="71"/>
      <c r="AC124"/>
      <c r="AD124" s="196"/>
      <c r="AE124" s="196"/>
      <c r="AF124" s="196"/>
      <c r="AG124" s="196"/>
      <c r="AH124" s="196"/>
      <c r="AI124" s="196"/>
      <c r="AJ124" s="196"/>
      <c r="AK124" s="196"/>
      <c r="AL124" s="196"/>
      <c r="AM124" s="196"/>
      <c r="AN124" s="196"/>
      <c r="AO124" s="196"/>
      <c r="AP124" s="196"/>
      <c r="AQ124" s="196"/>
      <c r="AR124" s="196"/>
      <c r="AS124" s="196"/>
      <c r="AT124" s="196"/>
      <c r="AU124" s="196"/>
      <c r="AV124" s="196"/>
      <c r="AW124" s="196"/>
      <c r="AX124" s="196"/>
      <c r="AY124" s="196"/>
      <c r="AZ124" s="196"/>
      <c r="BA124" s="196"/>
      <c r="BB124" s="196"/>
      <c r="BC124" s="196"/>
      <c r="BD124" s="196"/>
      <c r="BE124" s="196"/>
      <c r="BF124" s="196"/>
      <c r="BG124" s="196"/>
      <c r="BH124" s="196"/>
      <c r="BI124" s="196"/>
      <c r="BJ124" s="196"/>
      <c r="BK124" s="196"/>
      <c r="BL124" s="196"/>
      <c r="BM124" s="196"/>
      <c r="BN124" s="196"/>
      <c r="BO124" s="196"/>
      <c r="BP124" s="196"/>
      <c r="BQ124" s="196"/>
      <c r="BR124" s="196"/>
      <c r="BS124" s="196"/>
      <c r="BT124" s="196"/>
      <c r="BU124" s="196"/>
      <c r="BV124" s="196"/>
      <c r="BW124" s="196"/>
      <c r="BX124" s="196"/>
      <c r="BY124" s="196"/>
      <c r="BZ124" s="196"/>
      <c r="CA124" s="196"/>
      <c r="CB124" s="196"/>
      <c r="CC124" s="196"/>
      <c r="CD124" s="196"/>
      <c r="CE124" s="196"/>
      <c r="CF124" s="196"/>
      <c r="CG124" s="196"/>
    </row>
    <row r="125" spans="1:85" s="170" customFormat="1" ht="39.950000000000003" customHeight="1" x14ac:dyDescent="0.25">
      <c r="A125"/>
      <c r="B125"/>
      <c r="C125"/>
      <c r="D125"/>
      <c r="E125"/>
      <c r="F125"/>
      <c r="G125"/>
      <c r="H125"/>
      <c r="I125" s="68"/>
      <c r="J125" s="71"/>
      <c r="K125"/>
      <c r="L125"/>
      <c r="M125"/>
      <c r="N125"/>
      <c r="O125"/>
      <c r="P125"/>
      <c r="Q125" s="121"/>
      <c r="R125"/>
      <c r="S125"/>
      <c r="T125" s="229"/>
      <c r="U125" s="229"/>
      <c r="V125" s="229"/>
      <c r="W125" s="229"/>
      <c r="X125" s="229"/>
      <c r="Y125" s="136"/>
      <c r="Z125" s="166"/>
      <c r="AA125" s="166"/>
      <c r="AB125" s="71"/>
      <c r="AC125"/>
      <c r="AD125" s="196"/>
      <c r="AE125" s="196"/>
      <c r="AF125" s="196"/>
      <c r="AG125" s="196"/>
      <c r="AH125" s="196"/>
      <c r="AI125" s="196"/>
      <c r="AJ125" s="196"/>
      <c r="AK125" s="196"/>
      <c r="AL125" s="196"/>
      <c r="AM125" s="196"/>
      <c r="AN125" s="196"/>
      <c r="AO125" s="196"/>
      <c r="AP125" s="196"/>
      <c r="AQ125" s="196"/>
      <c r="AR125" s="196"/>
      <c r="AS125" s="196"/>
      <c r="AT125" s="196"/>
      <c r="AU125" s="196"/>
      <c r="AV125" s="196"/>
      <c r="AW125" s="196"/>
      <c r="AX125" s="196"/>
      <c r="AY125" s="196"/>
      <c r="AZ125" s="196"/>
      <c r="BA125" s="196"/>
      <c r="BB125" s="196"/>
      <c r="BC125" s="196"/>
      <c r="BD125" s="196"/>
      <c r="BE125" s="196"/>
      <c r="BF125" s="196"/>
      <c r="BG125" s="196"/>
      <c r="BH125" s="196"/>
      <c r="BI125" s="196"/>
      <c r="BJ125" s="196"/>
      <c r="BK125" s="196"/>
      <c r="BL125" s="196"/>
      <c r="BM125" s="196"/>
      <c r="BN125" s="196"/>
      <c r="BO125" s="196"/>
      <c r="BP125" s="196"/>
      <c r="BQ125" s="196"/>
      <c r="BR125" s="196"/>
      <c r="BS125" s="196"/>
      <c r="BT125" s="196"/>
      <c r="BU125" s="196"/>
      <c r="BV125" s="196"/>
      <c r="BW125" s="196"/>
      <c r="BX125" s="196"/>
      <c r="BY125" s="196"/>
      <c r="BZ125" s="196"/>
      <c r="CA125" s="196"/>
      <c r="CB125" s="196"/>
      <c r="CC125" s="196"/>
      <c r="CD125" s="196"/>
      <c r="CE125" s="196"/>
      <c r="CF125" s="196"/>
      <c r="CG125" s="196"/>
    </row>
    <row r="126" spans="1:85" s="170" customFormat="1" ht="39.950000000000003" customHeight="1" x14ac:dyDescent="0.25">
      <c r="A126"/>
      <c r="B126"/>
      <c r="C126"/>
      <c r="D126"/>
      <c r="E126"/>
      <c r="F126"/>
      <c r="G126"/>
      <c r="H126"/>
      <c r="I126" s="68"/>
      <c r="J126" s="71"/>
      <c r="K126"/>
      <c r="L126"/>
      <c r="M126"/>
      <c r="N126"/>
      <c r="O126"/>
      <c r="P126"/>
      <c r="Q126" s="121"/>
      <c r="R126"/>
      <c r="S126"/>
      <c r="T126" s="229"/>
      <c r="U126" s="229"/>
      <c r="V126" s="229"/>
      <c r="W126" s="229"/>
      <c r="X126" s="229"/>
      <c r="Y126" s="136"/>
      <c r="Z126" s="166"/>
      <c r="AA126" s="166"/>
      <c r="AB126" s="71"/>
      <c r="AC126"/>
      <c r="AD126" s="196"/>
      <c r="AE126" s="196"/>
      <c r="AF126" s="196"/>
      <c r="AG126" s="196"/>
      <c r="AH126" s="196"/>
      <c r="AI126" s="196"/>
      <c r="AJ126" s="196"/>
      <c r="AK126" s="196"/>
      <c r="AL126" s="196"/>
      <c r="AM126" s="196"/>
      <c r="AN126" s="196"/>
      <c r="AO126" s="196"/>
      <c r="AP126" s="196"/>
      <c r="AQ126" s="196"/>
      <c r="AR126" s="196"/>
      <c r="AS126" s="196"/>
      <c r="AT126" s="196"/>
      <c r="AU126" s="196"/>
      <c r="AV126" s="196"/>
      <c r="AW126" s="196"/>
      <c r="AX126" s="196"/>
      <c r="AY126" s="196"/>
      <c r="AZ126" s="196"/>
      <c r="BA126" s="196"/>
      <c r="BB126" s="196"/>
      <c r="BC126" s="196"/>
      <c r="BD126" s="196"/>
      <c r="BE126" s="196"/>
      <c r="BF126" s="196"/>
      <c r="BG126" s="196"/>
      <c r="BH126" s="196"/>
      <c r="BI126" s="196"/>
      <c r="BJ126" s="196"/>
      <c r="BK126" s="196"/>
      <c r="BL126" s="196"/>
      <c r="BM126" s="196"/>
      <c r="BN126" s="196"/>
      <c r="BO126" s="196"/>
      <c r="BP126" s="196"/>
      <c r="BQ126" s="196"/>
      <c r="BR126" s="196"/>
      <c r="BS126" s="196"/>
      <c r="BT126" s="196"/>
      <c r="BU126" s="196"/>
      <c r="BV126" s="196"/>
      <c r="BW126" s="196"/>
      <c r="BX126" s="196"/>
      <c r="BY126" s="196"/>
      <c r="BZ126" s="196"/>
      <c r="CA126" s="196"/>
      <c r="CB126" s="196"/>
      <c r="CC126" s="196"/>
      <c r="CD126" s="196"/>
      <c r="CE126" s="196"/>
      <c r="CF126" s="196"/>
      <c r="CG126" s="196"/>
    </row>
    <row r="127" spans="1:85" s="170" customFormat="1" ht="39.950000000000003" customHeight="1" x14ac:dyDescent="0.25">
      <c r="A127"/>
      <c r="B127"/>
      <c r="C127"/>
      <c r="D127"/>
      <c r="E127"/>
      <c r="F127"/>
      <c r="G127"/>
      <c r="H127"/>
      <c r="I127" s="68"/>
      <c r="J127" s="71"/>
      <c r="K127"/>
      <c r="L127"/>
      <c r="M127"/>
      <c r="N127"/>
      <c r="O127"/>
      <c r="P127"/>
      <c r="Q127" s="121"/>
      <c r="R127"/>
      <c r="S127"/>
      <c r="T127" s="229"/>
      <c r="U127" s="229"/>
      <c r="V127" s="229"/>
      <c r="W127" s="229"/>
      <c r="X127" s="229"/>
      <c r="Y127" s="136"/>
      <c r="Z127" s="166"/>
      <c r="AA127" s="166"/>
      <c r="AB127" s="71"/>
      <c r="AC127"/>
      <c r="AD127" s="196"/>
      <c r="AE127" s="196"/>
      <c r="AF127" s="196"/>
      <c r="AG127" s="196"/>
      <c r="AH127" s="196"/>
      <c r="AI127" s="196"/>
      <c r="AJ127" s="196"/>
      <c r="AK127" s="196"/>
      <c r="AL127" s="196"/>
      <c r="AM127" s="196"/>
      <c r="AN127" s="196"/>
      <c r="AO127" s="196"/>
      <c r="AP127" s="196"/>
      <c r="AQ127" s="196"/>
      <c r="AR127" s="196"/>
      <c r="AS127" s="196"/>
      <c r="AT127" s="196"/>
      <c r="AU127" s="196"/>
      <c r="AV127" s="196"/>
      <c r="AW127" s="196"/>
      <c r="AX127" s="196"/>
      <c r="AY127" s="196"/>
      <c r="AZ127" s="196"/>
      <c r="BA127" s="196"/>
      <c r="BB127" s="196"/>
      <c r="BC127" s="196"/>
      <c r="BD127" s="196"/>
      <c r="BE127" s="196"/>
      <c r="BF127" s="196"/>
      <c r="BG127" s="196"/>
      <c r="BH127" s="196"/>
      <c r="BI127" s="196"/>
      <c r="BJ127" s="196"/>
      <c r="BK127" s="196"/>
      <c r="BL127" s="196"/>
      <c r="BM127" s="196"/>
      <c r="BN127" s="196"/>
      <c r="BO127" s="196"/>
      <c r="BP127" s="196"/>
      <c r="BQ127" s="196"/>
      <c r="BR127" s="196"/>
      <c r="BS127" s="196"/>
      <c r="BT127" s="196"/>
      <c r="BU127" s="196"/>
      <c r="BV127" s="196"/>
      <c r="BW127" s="196"/>
      <c r="BX127" s="196"/>
      <c r="BY127" s="196"/>
      <c r="BZ127" s="196"/>
      <c r="CA127" s="196"/>
      <c r="CB127" s="196"/>
      <c r="CC127" s="196"/>
      <c r="CD127" s="196"/>
      <c r="CE127" s="196"/>
      <c r="CF127" s="196"/>
      <c r="CG127" s="196"/>
    </row>
    <row r="128" spans="1:85" s="170" customFormat="1" ht="39.950000000000003" customHeight="1" x14ac:dyDescent="0.25">
      <c r="A128"/>
      <c r="B128"/>
      <c r="C128"/>
      <c r="D128"/>
      <c r="E128"/>
      <c r="F128"/>
      <c r="G128"/>
      <c r="H128"/>
      <c r="I128" s="68"/>
      <c r="J128" s="71"/>
      <c r="K128"/>
      <c r="L128"/>
      <c r="M128"/>
      <c r="N128"/>
      <c r="O128"/>
      <c r="P128"/>
      <c r="Q128" s="121"/>
      <c r="R128"/>
      <c r="S128"/>
      <c r="T128" s="229"/>
      <c r="U128" s="229"/>
      <c r="V128" s="229"/>
      <c r="W128" s="229"/>
      <c r="X128" s="229"/>
      <c r="Y128" s="136"/>
      <c r="Z128" s="166"/>
      <c r="AA128" s="166"/>
      <c r="AB128" s="71"/>
      <c r="AC128"/>
      <c r="AD128" s="196"/>
      <c r="AE128" s="196"/>
      <c r="AF128" s="196"/>
      <c r="AG128" s="196"/>
      <c r="AH128" s="196"/>
      <c r="AI128" s="196"/>
      <c r="AJ128" s="196"/>
      <c r="AK128" s="196"/>
      <c r="AL128" s="196"/>
      <c r="AM128" s="196"/>
      <c r="AN128" s="196"/>
      <c r="AO128" s="196"/>
      <c r="AP128" s="196"/>
      <c r="AQ128" s="196"/>
      <c r="AR128" s="196"/>
      <c r="AS128" s="196"/>
      <c r="AT128" s="196"/>
      <c r="AU128" s="196"/>
      <c r="AV128" s="196"/>
      <c r="AW128" s="196"/>
      <c r="AX128" s="196"/>
      <c r="AY128" s="196"/>
      <c r="AZ128" s="196"/>
      <c r="BA128" s="196"/>
      <c r="BB128" s="196"/>
      <c r="BC128" s="196"/>
      <c r="BD128" s="196"/>
      <c r="BE128" s="196"/>
      <c r="BF128" s="196"/>
      <c r="BG128" s="196"/>
      <c r="BH128" s="196"/>
      <c r="BI128" s="196"/>
      <c r="BJ128" s="196"/>
      <c r="BK128" s="196"/>
      <c r="BL128" s="196"/>
      <c r="BM128" s="196"/>
      <c r="BN128" s="196"/>
      <c r="BO128" s="196"/>
      <c r="BP128" s="196"/>
      <c r="BQ128" s="196"/>
      <c r="BR128" s="196"/>
      <c r="BS128" s="196"/>
      <c r="BT128" s="196"/>
      <c r="BU128" s="196"/>
      <c r="BV128" s="196"/>
      <c r="BW128" s="196"/>
      <c r="BX128" s="196"/>
      <c r="BY128" s="196"/>
      <c r="BZ128" s="196"/>
      <c r="CA128" s="196"/>
      <c r="CB128" s="196"/>
      <c r="CC128" s="196"/>
      <c r="CD128" s="196"/>
      <c r="CE128" s="196"/>
      <c r="CF128" s="196"/>
      <c r="CG128" s="196"/>
    </row>
    <row r="129" spans="1:85" s="170" customFormat="1" ht="39.950000000000003" customHeight="1" x14ac:dyDescent="0.25">
      <c r="A129"/>
      <c r="B129"/>
      <c r="C129"/>
      <c r="D129"/>
      <c r="E129"/>
      <c r="F129"/>
      <c r="G129"/>
      <c r="H129"/>
      <c r="I129" s="68"/>
      <c r="J129" s="71"/>
      <c r="K129"/>
      <c r="L129"/>
      <c r="M129"/>
      <c r="N129"/>
      <c r="O129"/>
      <c r="P129"/>
      <c r="Q129" s="121"/>
      <c r="R129"/>
      <c r="S129"/>
      <c r="T129" s="229"/>
      <c r="U129" s="229"/>
      <c r="V129" s="229"/>
      <c r="W129" s="229"/>
      <c r="X129" s="229"/>
      <c r="Y129" s="136"/>
      <c r="Z129" s="166"/>
      <c r="AA129" s="166"/>
      <c r="AB129" s="71"/>
      <c r="AC129"/>
      <c r="AD129" s="196"/>
      <c r="AE129" s="196"/>
      <c r="AF129" s="196"/>
      <c r="AG129" s="196"/>
      <c r="AH129" s="196"/>
      <c r="AI129" s="196"/>
      <c r="AJ129" s="196"/>
      <c r="AK129" s="196"/>
      <c r="AL129" s="196"/>
      <c r="AM129" s="196"/>
      <c r="AN129" s="196"/>
      <c r="AO129" s="196"/>
      <c r="AP129" s="196"/>
      <c r="AQ129" s="196"/>
      <c r="AR129" s="196"/>
      <c r="AS129" s="196"/>
      <c r="AT129" s="196"/>
      <c r="AU129" s="196"/>
      <c r="AV129" s="196"/>
      <c r="AW129" s="196"/>
      <c r="AX129" s="196"/>
      <c r="AY129" s="196"/>
      <c r="AZ129" s="196"/>
      <c r="BA129" s="196"/>
      <c r="BB129" s="196"/>
      <c r="BC129" s="196"/>
      <c r="BD129" s="196"/>
      <c r="BE129" s="196"/>
      <c r="BF129" s="196"/>
      <c r="BG129" s="196"/>
      <c r="BH129" s="196"/>
      <c r="BI129" s="196"/>
      <c r="BJ129" s="196"/>
      <c r="BK129" s="196"/>
      <c r="BL129" s="196"/>
      <c r="BM129" s="196"/>
      <c r="BN129" s="196"/>
      <c r="BO129" s="196"/>
      <c r="BP129" s="196"/>
      <c r="BQ129" s="196"/>
      <c r="BR129" s="196"/>
      <c r="BS129" s="196"/>
      <c r="BT129" s="196"/>
      <c r="BU129" s="196"/>
      <c r="BV129" s="196"/>
      <c r="BW129" s="196"/>
      <c r="BX129" s="196"/>
      <c r="BY129" s="196"/>
      <c r="BZ129" s="196"/>
      <c r="CA129" s="196"/>
      <c r="CB129" s="196"/>
      <c r="CC129" s="196"/>
      <c r="CD129" s="196"/>
      <c r="CE129" s="196"/>
      <c r="CF129" s="196"/>
      <c r="CG129" s="196"/>
    </row>
    <row r="130" spans="1:85" s="170" customFormat="1" ht="39.950000000000003" customHeight="1" x14ac:dyDescent="0.25">
      <c r="A130"/>
      <c r="B130"/>
      <c r="C130"/>
      <c r="D130"/>
      <c r="E130"/>
      <c r="F130"/>
      <c r="G130"/>
      <c r="H130"/>
      <c r="I130" s="68"/>
      <c r="J130" s="71"/>
      <c r="K130"/>
      <c r="L130"/>
      <c r="M130"/>
      <c r="N130"/>
      <c r="O130"/>
      <c r="P130"/>
      <c r="Q130" s="121"/>
      <c r="R130"/>
      <c r="S130"/>
      <c r="T130" s="229"/>
      <c r="U130" s="229"/>
      <c r="V130" s="229"/>
      <c r="W130" s="229"/>
      <c r="X130" s="229"/>
      <c r="Y130" s="136"/>
      <c r="Z130" s="166"/>
      <c r="AA130" s="166"/>
      <c r="AB130" s="71"/>
      <c r="AC130"/>
      <c r="AD130" s="196"/>
      <c r="AE130" s="196"/>
      <c r="AF130" s="196"/>
      <c r="AG130" s="196"/>
      <c r="AH130" s="196"/>
      <c r="AI130" s="196"/>
      <c r="AJ130" s="196"/>
      <c r="AK130" s="196"/>
      <c r="AL130" s="196"/>
      <c r="AM130" s="196"/>
      <c r="AN130" s="196"/>
      <c r="AO130" s="196"/>
      <c r="AP130" s="196"/>
      <c r="AQ130" s="196"/>
      <c r="AR130" s="196"/>
      <c r="AS130" s="196"/>
      <c r="AT130" s="196"/>
      <c r="AU130" s="196"/>
      <c r="AV130" s="196"/>
      <c r="AW130" s="196"/>
      <c r="AX130" s="196"/>
      <c r="AY130" s="196"/>
      <c r="AZ130" s="196"/>
      <c r="BA130" s="196"/>
      <c r="BB130" s="196"/>
      <c r="BC130" s="196"/>
      <c r="BD130" s="196"/>
      <c r="BE130" s="196"/>
      <c r="BF130" s="196"/>
      <c r="BG130" s="196"/>
      <c r="BH130" s="196"/>
      <c r="BI130" s="196"/>
      <c r="BJ130" s="196"/>
      <c r="BK130" s="196"/>
      <c r="BL130" s="196"/>
      <c r="BM130" s="196"/>
      <c r="BN130" s="196"/>
      <c r="BO130" s="196"/>
      <c r="BP130" s="196"/>
      <c r="BQ130" s="196"/>
      <c r="BR130" s="196"/>
      <c r="BS130" s="196"/>
      <c r="BT130" s="196"/>
      <c r="BU130" s="196"/>
      <c r="BV130" s="196"/>
      <c r="BW130" s="196"/>
      <c r="BX130" s="196"/>
      <c r="BY130" s="196"/>
      <c r="BZ130" s="196"/>
      <c r="CA130" s="196"/>
      <c r="CB130" s="196"/>
      <c r="CC130" s="196"/>
      <c r="CD130" s="196"/>
      <c r="CE130" s="196"/>
      <c r="CF130" s="196"/>
      <c r="CG130" s="196"/>
    </row>
    <row r="131" spans="1:85" s="170" customFormat="1" ht="39.950000000000003" customHeight="1" x14ac:dyDescent="0.25">
      <c r="A131"/>
      <c r="B131"/>
      <c r="C131"/>
      <c r="D131"/>
      <c r="E131"/>
      <c r="F131"/>
      <c r="G131"/>
      <c r="H131"/>
      <c r="I131" s="68"/>
      <c r="J131" s="71"/>
      <c r="K131"/>
      <c r="L131"/>
      <c r="M131"/>
      <c r="N131"/>
      <c r="O131"/>
      <c r="P131"/>
      <c r="Q131" s="121"/>
      <c r="R131"/>
      <c r="S131"/>
      <c r="T131" s="229"/>
      <c r="U131" s="229"/>
      <c r="V131" s="229"/>
      <c r="W131" s="229"/>
      <c r="X131" s="229"/>
      <c r="Y131" s="136"/>
      <c r="Z131" s="166"/>
      <c r="AA131" s="166"/>
      <c r="AB131" s="71"/>
      <c r="AC131"/>
      <c r="AD131" s="196"/>
      <c r="AE131" s="196"/>
      <c r="AF131" s="196"/>
      <c r="AG131" s="196"/>
      <c r="AH131" s="196"/>
      <c r="AI131" s="196"/>
      <c r="AJ131" s="196"/>
      <c r="AK131" s="196"/>
      <c r="AL131" s="196"/>
      <c r="AM131" s="196"/>
      <c r="AN131" s="196"/>
      <c r="AO131" s="196"/>
      <c r="AP131" s="196"/>
      <c r="AQ131" s="196"/>
      <c r="AR131" s="196"/>
      <c r="AS131" s="196"/>
      <c r="AT131" s="196"/>
      <c r="AU131" s="196"/>
      <c r="AV131" s="196"/>
      <c r="AW131" s="196"/>
      <c r="AX131" s="196"/>
      <c r="AY131" s="196"/>
      <c r="AZ131" s="196"/>
      <c r="BA131" s="196"/>
      <c r="BB131" s="196"/>
      <c r="BC131" s="196"/>
      <c r="BD131" s="196"/>
      <c r="BE131" s="196"/>
      <c r="BF131" s="196"/>
      <c r="BG131" s="196"/>
      <c r="BH131" s="196"/>
      <c r="BI131" s="196"/>
      <c r="BJ131" s="196"/>
      <c r="BK131" s="196"/>
      <c r="BL131" s="196"/>
      <c r="BM131" s="196"/>
      <c r="BN131" s="196"/>
      <c r="BO131" s="196"/>
      <c r="BP131" s="196"/>
      <c r="BQ131" s="196"/>
      <c r="BR131" s="196"/>
      <c r="BS131" s="196"/>
      <c r="BT131" s="196"/>
      <c r="BU131" s="196"/>
      <c r="BV131" s="196"/>
      <c r="BW131" s="196"/>
      <c r="BX131" s="196"/>
      <c r="BY131" s="196"/>
      <c r="BZ131" s="196"/>
      <c r="CA131" s="196"/>
      <c r="CB131" s="196"/>
      <c r="CC131" s="196"/>
      <c r="CD131" s="196"/>
      <c r="CE131" s="196"/>
      <c r="CF131" s="196"/>
      <c r="CG131" s="196"/>
    </row>
    <row r="132" spans="1:85" s="170" customFormat="1" ht="39.950000000000003" customHeight="1" x14ac:dyDescent="0.25">
      <c r="A132"/>
      <c r="B132"/>
      <c r="C132"/>
      <c r="D132"/>
      <c r="E132"/>
      <c r="F132"/>
      <c r="G132"/>
      <c r="H132"/>
      <c r="I132" s="68"/>
      <c r="J132" s="71"/>
      <c r="K132"/>
      <c r="L132"/>
      <c r="M132"/>
      <c r="N132"/>
      <c r="O132"/>
      <c r="P132"/>
      <c r="Q132" s="121"/>
      <c r="R132"/>
      <c r="S132"/>
      <c r="T132" s="229"/>
      <c r="U132" s="229"/>
      <c r="V132" s="229"/>
      <c r="W132" s="229"/>
      <c r="X132" s="229"/>
      <c r="Y132" s="136"/>
      <c r="Z132" s="166"/>
      <c r="AA132" s="166"/>
      <c r="AB132" s="71"/>
      <c r="AC132"/>
      <c r="AD132" s="196"/>
      <c r="AE132" s="196"/>
      <c r="AF132" s="196"/>
      <c r="AG132" s="196"/>
      <c r="AH132" s="196"/>
      <c r="AI132" s="196"/>
      <c r="AJ132" s="196"/>
      <c r="AK132" s="196"/>
      <c r="AL132" s="196"/>
      <c r="AM132" s="196"/>
      <c r="AN132" s="196"/>
      <c r="AO132" s="196"/>
      <c r="AP132" s="196"/>
      <c r="AQ132" s="196"/>
      <c r="AR132" s="196"/>
      <c r="AS132" s="196"/>
      <c r="AT132" s="196"/>
      <c r="AU132" s="196"/>
      <c r="AV132" s="196"/>
      <c r="AW132" s="196"/>
      <c r="AX132" s="196"/>
      <c r="AY132" s="196"/>
      <c r="AZ132" s="196"/>
      <c r="BA132" s="196"/>
      <c r="BB132" s="196"/>
      <c r="BC132" s="196"/>
      <c r="BD132" s="196"/>
      <c r="BE132" s="196"/>
      <c r="BF132" s="196"/>
      <c r="BG132" s="196"/>
      <c r="BH132" s="196"/>
      <c r="BI132" s="196"/>
      <c r="BJ132" s="196"/>
      <c r="BK132" s="196"/>
      <c r="BL132" s="196"/>
      <c r="BM132" s="196"/>
      <c r="BN132" s="196"/>
      <c r="BO132" s="196"/>
      <c r="BP132" s="196"/>
      <c r="BQ132" s="196"/>
      <c r="BR132" s="196"/>
      <c r="BS132" s="196"/>
      <c r="BT132" s="196"/>
      <c r="BU132" s="196"/>
      <c r="BV132" s="196"/>
      <c r="BW132" s="196"/>
      <c r="BX132" s="196"/>
      <c r="BY132" s="196"/>
      <c r="BZ132" s="196"/>
      <c r="CA132" s="196"/>
      <c r="CB132" s="196"/>
      <c r="CC132" s="196"/>
      <c r="CD132" s="196"/>
      <c r="CE132" s="196"/>
      <c r="CF132" s="196"/>
      <c r="CG132" s="196"/>
    </row>
    <row r="133" spans="1:85" s="170" customFormat="1" ht="39.950000000000003" customHeight="1" x14ac:dyDescent="0.25">
      <c r="A133"/>
      <c r="B133"/>
      <c r="C133"/>
      <c r="D133"/>
      <c r="E133"/>
      <c r="F133"/>
      <c r="G133"/>
      <c r="H133"/>
      <c r="I133" s="68"/>
      <c r="J133" s="71"/>
      <c r="K133"/>
      <c r="L133"/>
      <c r="M133"/>
      <c r="N133"/>
      <c r="O133"/>
      <c r="P133"/>
      <c r="Q133" s="121"/>
      <c r="R133"/>
      <c r="S133"/>
      <c r="T133" s="229"/>
      <c r="U133" s="229"/>
      <c r="V133" s="229"/>
      <c r="W133" s="229"/>
      <c r="X133" s="229"/>
      <c r="Y133" s="136"/>
      <c r="Z133" s="166"/>
      <c r="AA133" s="166"/>
      <c r="AB133" s="71"/>
      <c r="AC133"/>
      <c r="AD133" s="196"/>
      <c r="AE133" s="196"/>
      <c r="AF133" s="196"/>
      <c r="AG133" s="196"/>
      <c r="AH133" s="196"/>
      <c r="AI133" s="196"/>
      <c r="AJ133" s="196"/>
      <c r="AK133" s="196"/>
      <c r="AL133" s="196"/>
      <c r="AM133" s="196"/>
      <c r="AN133" s="196"/>
      <c r="AO133" s="196"/>
      <c r="AP133" s="196"/>
      <c r="AQ133" s="196"/>
      <c r="AR133" s="196"/>
      <c r="AS133" s="196"/>
      <c r="AT133" s="196"/>
      <c r="AU133" s="196"/>
      <c r="AV133" s="196"/>
      <c r="AW133" s="196"/>
      <c r="AX133" s="196"/>
      <c r="AY133" s="196"/>
      <c r="AZ133" s="196"/>
      <c r="BA133" s="196"/>
      <c r="BB133" s="196"/>
      <c r="BC133" s="196"/>
      <c r="BD133" s="196"/>
      <c r="BE133" s="196"/>
      <c r="BF133" s="196"/>
      <c r="BG133" s="196"/>
      <c r="BH133" s="196"/>
      <c r="BI133" s="196"/>
      <c r="BJ133" s="196"/>
      <c r="BK133" s="196"/>
      <c r="BL133" s="196"/>
      <c r="BM133" s="196"/>
      <c r="BN133" s="196"/>
      <c r="BO133" s="196"/>
      <c r="BP133" s="196"/>
      <c r="BQ133" s="196"/>
      <c r="BR133" s="196"/>
      <c r="BS133" s="196"/>
      <c r="BT133" s="196"/>
      <c r="BU133" s="196"/>
      <c r="BV133" s="196"/>
      <c r="BW133" s="196"/>
      <c r="BX133" s="196"/>
      <c r="BY133" s="196"/>
      <c r="BZ133" s="196"/>
      <c r="CA133" s="196"/>
      <c r="CB133" s="196"/>
      <c r="CC133" s="196"/>
      <c r="CD133" s="196"/>
      <c r="CE133" s="196"/>
      <c r="CF133" s="196"/>
      <c r="CG133" s="196"/>
    </row>
    <row r="134" spans="1:85" s="170" customFormat="1" ht="39.950000000000003" customHeight="1" x14ac:dyDescent="0.25">
      <c r="A134"/>
      <c r="B134"/>
      <c r="C134"/>
      <c r="D134"/>
      <c r="E134"/>
      <c r="F134"/>
      <c r="G134"/>
      <c r="H134"/>
      <c r="I134" s="68"/>
      <c r="J134" s="71"/>
      <c r="K134"/>
      <c r="L134"/>
      <c r="M134"/>
      <c r="N134"/>
      <c r="O134"/>
      <c r="P134"/>
      <c r="Q134" s="121"/>
      <c r="R134"/>
      <c r="S134"/>
      <c r="T134" s="229"/>
      <c r="U134" s="229"/>
      <c r="V134" s="229"/>
      <c r="W134" s="229"/>
      <c r="X134" s="229"/>
      <c r="Y134" s="136"/>
      <c r="Z134" s="166"/>
      <c r="AA134" s="166"/>
      <c r="AB134" s="71"/>
      <c r="AC134"/>
      <c r="AD134" s="196"/>
      <c r="AE134" s="196"/>
      <c r="AF134" s="196"/>
      <c r="AG134" s="196"/>
      <c r="AH134" s="196"/>
      <c r="AI134" s="196"/>
      <c r="AJ134" s="196"/>
      <c r="AK134" s="196"/>
      <c r="AL134" s="196"/>
      <c r="AM134" s="196"/>
      <c r="AN134" s="196"/>
      <c r="AO134" s="196"/>
      <c r="AP134" s="196"/>
      <c r="AQ134" s="196"/>
      <c r="AR134" s="196"/>
      <c r="AS134" s="196"/>
      <c r="AT134" s="196"/>
      <c r="AU134" s="196"/>
      <c r="AV134" s="196"/>
      <c r="AW134" s="196"/>
      <c r="AX134" s="196"/>
      <c r="AY134" s="196"/>
      <c r="AZ134" s="196"/>
      <c r="BA134" s="196"/>
      <c r="BB134" s="196"/>
      <c r="BC134" s="196"/>
      <c r="BD134" s="196"/>
      <c r="BE134" s="196"/>
      <c r="BF134" s="196"/>
      <c r="BG134" s="196"/>
      <c r="BH134" s="196"/>
      <c r="BI134" s="196"/>
      <c r="BJ134" s="196"/>
      <c r="BK134" s="196"/>
      <c r="BL134" s="196"/>
      <c r="BM134" s="196"/>
      <c r="BN134" s="196"/>
      <c r="BO134" s="196"/>
      <c r="BP134" s="196"/>
      <c r="BQ134" s="196"/>
      <c r="BR134" s="196"/>
      <c r="BS134" s="196"/>
      <c r="BT134" s="196"/>
      <c r="BU134" s="196"/>
      <c r="BV134" s="196"/>
      <c r="BW134" s="196"/>
      <c r="BX134" s="196"/>
      <c r="BY134" s="196"/>
      <c r="BZ134" s="196"/>
      <c r="CA134" s="196"/>
      <c r="CB134" s="196"/>
      <c r="CC134" s="196"/>
      <c r="CD134" s="196"/>
      <c r="CE134" s="196"/>
      <c r="CF134" s="196"/>
      <c r="CG134" s="196"/>
    </row>
    <row r="135" spans="1:85" s="170" customFormat="1" ht="39.950000000000003" customHeight="1" x14ac:dyDescent="0.25">
      <c r="A135"/>
      <c r="B135"/>
      <c r="C135"/>
      <c r="D135"/>
      <c r="E135"/>
      <c r="F135"/>
      <c r="G135"/>
      <c r="H135"/>
      <c r="I135" s="68"/>
      <c r="J135" s="71"/>
      <c r="K135"/>
      <c r="L135"/>
      <c r="M135"/>
      <c r="N135"/>
      <c r="O135"/>
      <c r="P135"/>
      <c r="Q135" s="121"/>
      <c r="R135"/>
      <c r="S135"/>
      <c r="T135" s="229"/>
      <c r="U135" s="229"/>
      <c r="V135" s="229"/>
      <c r="W135" s="229"/>
      <c r="X135" s="229"/>
      <c r="Y135" s="136"/>
      <c r="Z135" s="166"/>
      <c r="AA135" s="166"/>
      <c r="AB135" s="71"/>
      <c r="AC135"/>
      <c r="AD135" s="196"/>
      <c r="AE135" s="196"/>
      <c r="AF135" s="196"/>
      <c r="AG135" s="196"/>
      <c r="AH135" s="196"/>
      <c r="AI135" s="196"/>
      <c r="AJ135" s="196"/>
      <c r="AK135" s="196"/>
      <c r="AL135" s="196"/>
      <c r="AM135" s="196"/>
      <c r="AN135" s="196"/>
      <c r="AO135" s="196"/>
      <c r="AP135" s="196"/>
      <c r="AQ135" s="196"/>
      <c r="AR135" s="196"/>
      <c r="AS135" s="196"/>
      <c r="AT135" s="196"/>
      <c r="AU135" s="196"/>
      <c r="AV135" s="196"/>
      <c r="AW135" s="196"/>
      <c r="AX135" s="196"/>
      <c r="AY135" s="196"/>
      <c r="AZ135" s="196"/>
      <c r="BA135" s="196"/>
      <c r="BB135" s="196"/>
      <c r="BC135" s="196"/>
      <c r="BD135" s="196"/>
      <c r="BE135" s="196"/>
      <c r="BF135" s="196"/>
      <c r="BG135" s="196"/>
      <c r="BH135" s="196"/>
      <c r="BI135" s="196"/>
      <c r="BJ135" s="196"/>
      <c r="BK135" s="196"/>
      <c r="BL135" s="196"/>
      <c r="BM135" s="196"/>
      <c r="BN135" s="196"/>
      <c r="BO135" s="196"/>
      <c r="BP135" s="196"/>
      <c r="BQ135" s="196"/>
      <c r="BR135" s="196"/>
      <c r="BS135" s="196"/>
      <c r="BT135" s="196"/>
      <c r="BU135" s="196"/>
      <c r="BV135" s="196"/>
      <c r="BW135" s="196"/>
      <c r="BX135" s="196"/>
      <c r="BY135" s="196"/>
      <c r="BZ135" s="196"/>
      <c r="CA135" s="196"/>
      <c r="CB135" s="196"/>
      <c r="CC135" s="196"/>
      <c r="CD135" s="196"/>
      <c r="CE135" s="196"/>
      <c r="CF135" s="196"/>
      <c r="CG135" s="196"/>
    </row>
    <row r="136" spans="1:85" s="170" customFormat="1" ht="39.950000000000003" customHeight="1" x14ac:dyDescent="0.25">
      <c r="A136"/>
      <c r="B136"/>
      <c r="C136"/>
      <c r="D136"/>
      <c r="E136"/>
      <c r="F136"/>
      <c r="G136"/>
      <c r="H136"/>
      <c r="I136" s="68"/>
      <c r="J136" s="71"/>
      <c r="K136"/>
      <c r="L136"/>
      <c r="M136"/>
      <c r="N136"/>
      <c r="O136"/>
      <c r="P136"/>
      <c r="Q136" s="121"/>
      <c r="R136"/>
      <c r="S136"/>
      <c r="T136" s="229"/>
      <c r="U136" s="229"/>
      <c r="V136" s="229"/>
      <c r="W136" s="229"/>
      <c r="X136" s="229"/>
      <c r="Y136" s="136"/>
      <c r="Z136" s="166"/>
      <c r="AA136" s="166"/>
      <c r="AB136" s="71"/>
      <c r="AC136"/>
      <c r="AD136" s="196"/>
      <c r="AE136" s="196"/>
      <c r="AF136" s="196"/>
      <c r="AG136" s="196"/>
      <c r="AH136" s="196"/>
      <c r="AI136" s="196"/>
      <c r="AJ136" s="196"/>
      <c r="AK136" s="196"/>
      <c r="AL136" s="196"/>
      <c r="AM136" s="196"/>
      <c r="AN136" s="196"/>
      <c r="AO136" s="196"/>
      <c r="AP136" s="196"/>
      <c r="AQ136" s="196"/>
      <c r="AR136" s="196"/>
      <c r="AS136" s="196"/>
      <c r="AT136" s="196"/>
      <c r="AU136" s="196"/>
      <c r="AV136" s="196"/>
      <c r="AW136" s="196"/>
      <c r="AX136" s="196"/>
      <c r="AY136" s="196"/>
      <c r="AZ136" s="196"/>
      <c r="BA136" s="196"/>
      <c r="BB136" s="196"/>
      <c r="BC136" s="196"/>
      <c r="BD136" s="196"/>
      <c r="BE136" s="196"/>
      <c r="BF136" s="196"/>
      <c r="BG136" s="196"/>
      <c r="BH136" s="196"/>
      <c r="BI136" s="196"/>
      <c r="BJ136" s="196"/>
      <c r="BK136" s="196"/>
      <c r="BL136" s="196"/>
      <c r="BM136" s="196"/>
      <c r="BN136" s="196"/>
      <c r="BO136" s="196"/>
      <c r="BP136" s="196"/>
      <c r="BQ136" s="196"/>
      <c r="BR136" s="196"/>
      <c r="BS136" s="196"/>
      <c r="BT136" s="196"/>
      <c r="BU136" s="196"/>
      <c r="BV136" s="196"/>
      <c r="BW136" s="196"/>
      <c r="BX136" s="196"/>
      <c r="BY136" s="196"/>
      <c r="BZ136" s="196"/>
      <c r="CA136" s="196"/>
      <c r="CB136" s="196"/>
      <c r="CC136" s="196"/>
      <c r="CD136" s="196"/>
      <c r="CE136" s="196"/>
      <c r="CF136" s="196"/>
      <c r="CG136" s="196"/>
    </row>
    <row r="137" spans="1:85" s="170" customFormat="1" ht="39.950000000000003" customHeight="1" x14ac:dyDescent="0.25">
      <c r="A137"/>
      <c r="B137"/>
      <c r="C137"/>
      <c r="D137"/>
      <c r="E137"/>
      <c r="F137"/>
      <c r="G137"/>
      <c r="H137"/>
      <c r="I137" s="68"/>
      <c r="J137" s="71"/>
      <c r="K137"/>
      <c r="L137"/>
      <c r="M137"/>
      <c r="N137"/>
      <c r="O137"/>
      <c r="P137"/>
      <c r="Q137" s="121"/>
      <c r="R137"/>
      <c r="S137"/>
      <c r="T137" s="229"/>
      <c r="U137" s="229"/>
      <c r="V137" s="229"/>
      <c r="W137" s="229"/>
      <c r="X137" s="229"/>
      <c r="Y137" s="136"/>
      <c r="Z137" s="166"/>
      <c r="AA137" s="166"/>
      <c r="AB137" s="71"/>
      <c r="AC137"/>
      <c r="AD137" s="196"/>
      <c r="AE137" s="196"/>
      <c r="AF137" s="196"/>
      <c r="AG137" s="196"/>
      <c r="AH137" s="196"/>
      <c r="AI137" s="196"/>
      <c r="AJ137" s="196"/>
      <c r="AK137" s="196"/>
      <c r="AL137" s="196"/>
      <c r="AM137" s="196"/>
      <c r="AN137" s="196"/>
      <c r="AO137" s="196"/>
      <c r="AP137" s="196"/>
      <c r="AQ137" s="196"/>
      <c r="AR137" s="196"/>
      <c r="AS137" s="196"/>
      <c r="AT137" s="196"/>
      <c r="AU137" s="196"/>
      <c r="AV137" s="196"/>
      <c r="AW137" s="196"/>
      <c r="AX137" s="196"/>
      <c r="AY137" s="196"/>
      <c r="AZ137" s="196"/>
      <c r="BA137" s="196"/>
      <c r="BB137" s="196"/>
      <c r="BC137" s="196"/>
      <c r="BD137" s="196"/>
      <c r="BE137" s="196"/>
      <c r="BF137" s="196"/>
      <c r="BG137" s="196"/>
      <c r="BH137" s="196"/>
      <c r="BI137" s="196"/>
      <c r="BJ137" s="196"/>
      <c r="BK137" s="196"/>
      <c r="BL137" s="196"/>
      <c r="BM137" s="196"/>
      <c r="BN137" s="196"/>
      <c r="BO137" s="196"/>
      <c r="BP137" s="196"/>
      <c r="BQ137" s="196"/>
      <c r="BR137" s="196"/>
      <c r="BS137" s="196"/>
      <c r="BT137" s="196"/>
      <c r="BU137" s="196"/>
      <c r="BV137" s="196"/>
      <c r="BW137" s="196"/>
      <c r="BX137" s="196"/>
      <c r="BY137" s="196"/>
      <c r="BZ137" s="196"/>
      <c r="CA137" s="196"/>
      <c r="CB137" s="196"/>
      <c r="CC137" s="196"/>
      <c r="CD137" s="196"/>
      <c r="CE137" s="196"/>
      <c r="CF137" s="196"/>
      <c r="CG137" s="196"/>
    </row>
    <row r="138" spans="1:85" s="170" customFormat="1" ht="39.950000000000003" customHeight="1" x14ac:dyDescent="0.25">
      <c r="A138"/>
      <c r="B138"/>
      <c r="C138"/>
      <c r="D138"/>
      <c r="E138"/>
      <c r="F138"/>
      <c r="G138"/>
      <c r="H138"/>
      <c r="I138" s="68"/>
      <c r="J138" s="71"/>
      <c r="K138"/>
      <c r="L138"/>
      <c r="M138"/>
      <c r="N138"/>
      <c r="O138"/>
      <c r="P138"/>
      <c r="Q138" s="121"/>
      <c r="R138"/>
      <c r="S138"/>
      <c r="T138" s="229"/>
      <c r="U138" s="229"/>
      <c r="V138" s="229"/>
      <c r="W138" s="229"/>
      <c r="X138" s="229"/>
      <c r="Y138" s="136"/>
      <c r="Z138" s="166"/>
      <c r="AA138" s="166"/>
      <c r="AB138" s="71"/>
      <c r="AC138"/>
      <c r="AD138" s="196"/>
      <c r="AE138" s="196"/>
      <c r="AF138" s="196"/>
      <c r="AG138" s="196"/>
      <c r="AH138" s="196"/>
      <c r="AI138" s="196"/>
      <c r="AJ138" s="196"/>
      <c r="AK138" s="196"/>
      <c r="AL138" s="196"/>
      <c r="AM138" s="196"/>
      <c r="AN138" s="196"/>
      <c r="AO138" s="196"/>
      <c r="AP138" s="196"/>
      <c r="AQ138" s="196"/>
      <c r="AR138" s="196"/>
      <c r="AS138" s="196"/>
      <c r="AT138" s="196"/>
      <c r="AU138" s="196"/>
      <c r="AV138" s="196"/>
      <c r="AW138" s="196"/>
      <c r="AX138" s="196"/>
      <c r="AY138" s="196"/>
      <c r="AZ138" s="196"/>
      <c r="BA138" s="196"/>
      <c r="BB138" s="196"/>
      <c r="BC138" s="196"/>
      <c r="BD138" s="196"/>
      <c r="BE138" s="196"/>
      <c r="BF138" s="196"/>
      <c r="BG138" s="196"/>
      <c r="BH138" s="196"/>
      <c r="BI138" s="196"/>
      <c r="BJ138" s="196"/>
      <c r="BK138" s="196"/>
      <c r="BL138" s="196"/>
      <c r="BM138" s="196"/>
      <c r="BN138" s="196"/>
      <c r="BO138" s="196"/>
      <c r="BP138" s="196"/>
      <c r="BQ138" s="196"/>
      <c r="BR138" s="196"/>
      <c r="BS138" s="196"/>
      <c r="BT138" s="196"/>
      <c r="BU138" s="196"/>
      <c r="BV138" s="196"/>
      <c r="BW138" s="196"/>
      <c r="BX138" s="196"/>
      <c r="BY138" s="196"/>
      <c r="BZ138" s="196"/>
      <c r="CA138" s="196"/>
      <c r="CB138" s="196"/>
      <c r="CC138" s="196"/>
      <c r="CD138" s="196"/>
      <c r="CE138" s="196"/>
      <c r="CF138" s="196"/>
      <c r="CG138" s="196"/>
    </row>
    <row r="139" spans="1:85" s="170" customFormat="1" ht="39.950000000000003" customHeight="1" x14ac:dyDescent="0.25">
      <c r="A139"/>
      <c r="B139"/>
      <c r="C139"/>
      <c r="D139"/>
      <c r="E139"/>
      <c r="F139"/>
      <c r="G139"/>
      <c r="H139"/>
      <c r="I139" s="68"/>
      <c r="J139" s="71"/>
      <c r="K139"/>
      <c r="L139"/>
      <c r="M139"/>
      <c r="N139"/>
      <c r="O139"/>
      <c r="P139"/>
      <c r="Q139" s="121"/>
      <c r="R139"/>
      <c r="S139"/>
      <c r="T139" s="229"/>
      <c r="U139" s="229"/>
      <c r="V139" s="229"/>
      <c r="W139" s="229"/>
      <c r="X139" s="229"/>
      <c r="Y139" s="136"/>
      <c r="Z139" s="166"/>
      <c r="AA139" s="166"/>
      <c r="AB139" s="71"/>
      <c r="AC139"/>
      <c r="AD139" s="196"/>
      <c r="AE139" s="196"/>
      <c r="AF139" s="196"/>
      <c r="AG139" s="196"/>
      <c r="AH139" s="196"/>
      <c r="AI139" s="196"/>
      <c r="AJ139" s="196"/>
      <c r="AK139" s="196"/>
      <c r="AL139" s="196"/>
      <c r="AM139" s="196"/>
      <c r="AN139" s="196"/>
      <c r="AO139" s="196"/>
      <c r="AP139" s="196"/>
      <c r="AQ139" s="196"/>
      <c r="AR139" s="196"/>
      <c r="AS139" s="196"/>
      <c r="AT139" s="196"/>
      <c r="AU139" s="196"/>
      <c r="AV139" s="196"/>
      <c r="AW139" s="196"/>
      <c r="AX139" s="196"/>
      <c r="AY139" s="196"/>
      <c r="AZ139" s="196"/>
      <c r="BA139" s="196"/>
      <c r="BB139" s="196"/>
      <c r="BC139" s="196"/>
      <c r="BD139" s="196"/>
      <c r="BE139" s="196"/>
      <c r="BF139" s="196"/>
      <c r="BG139" s="196"/>
      <c r="BH139" s="196"/>
      <c r="BI139" s="196"/>
      <c r="BJ139" s="196"/>
      <c r="BK139" s="196"/>
      <c r="BL139" s="196"/>
      <c r="BM139" s="196"/>
      <c r="BN139" s="196"/>
      <c r="BO139" s="196"/>
      <c r="BP139" s="196"/>
      <c r="BQ139" s="196"/>
      <c r="BR139" s="196"/>
      <c r="BS139" s="196"/>
      <c r="BT139" s="196"/>
      <c r="BU139" s="196"/>
      <c r="BV139" s="196"/>
      <c r="BW139" s="196"/>
      <c r="BX139" s="196"/>
      <c r="BY139" s="196"/>
      <c r="BZ139" s="196"/>
      <c r="CA139" s="196"/>
      <c r="CB139" s="196"/>
      <c r="CC139" s="196"/>
      <c r="CD139" s="196"/>
      <c r="CE139" s="196"/>
      <c r="CF139" s="196"/>
      <c r="CG139" s="196"/>
    </row>
    <row r="140" spans="1:85" s="170" customFormat="1" ht="39.950000000000003" customHeight="1" x14ac:dyDescent="0.25">
      <c r="A140"/>
      <c r="B140"/>
      <c r="C140"/>
      <c r="D140"/>
      <c r="E140"/>
      <c r="F140"/>
      <c r="G140"/>
      <c r="H140"/>
      <c r="I140" s="68"/>
      <c r="J140" s="71"/>
      <c r="K140"/>
      <c r="L140"/>
      <c r="M140"/>
      <c r="N140"/>
      <c r="O140"/>
      <c r="P140"/>
      <c r="Q140" s="121"/>
      <c r="R140"/>
      <c r="S140"/>
      <c r="T140" s="229"/>
      <c r="U140" s="229"/>
      <c r="V140" s="229"/>
      <c r="W140" s="229"/>
      <c r="X140" s="229"/>
      <c r="Y140" s="136"/>
      <c r="Z140" s="166"/>
      <c r="AA140" s="166"/>
      <c r="AB140" s="71"/>
      <c r="AC140"/>
      <c r="AD140" s="196"/>
      <c r="AE140" s="196"/>
      <c r="AF140" s="196"/>
      <c r="AG140" s="196"/>
      <c r="AH140" s="196"/>
      <c r="AI140" s="196"/>
      <c r="AJ140" s="196"/>
      <c r="AK140" s="196"/>
      <c r="AL140" s="196"/>
      <c r="AM140" s="196"/>
      <c r="AN140" s="196"/>
      <c r="AO140" s="196"/>
      <c r="AP140" s="196"/>
      <c r="AQ140" s="196"/>
      <c r="AR140" s="196"/>
      <c r="AS140" s="196"/>
      <c r="AT140" s="196"/>
      <c r="AU140" s="196"/>
      <c r="AV140" s="196"/>
      <c r="AW140" s="196"/>
      <c r="AX140" s="196"/>
      <c r="AY140" s="196"/>
      <c r="AZ140" s="196"/>
      <c r="BA140" s="196"/>
      <c r="BB140" s="196"/>
      <c r="BC140" s="196"/>
      <c r="BD140" s="196"/>
      <c r="BE140" s="196"/>
      <c r="BF140" s="196"/>
      <c r="BG140" s="196"/>
      <c r="BH140" s="196"/>
      <c r="BI140" s="196"/>
      <c r="BJ140" s="196"/>
      <c r="BK140" s="196"/>
      <c r="BL140" s="196"/>
      <c r="BM140" s="196"/>
      <c r="BN140" s="196"/>
      <c r="BO140" s="196"/>
      <c r="BP140" s="196"/>
      <c r="BQ140" s="196"/>
      <c r="BR140" s="196"/>
      <c r="BS140" s="196"/>
      <c r="BT140" s="196"/>
      <c r="BU140" s="196"/>
      <c r="BV140" s="196"/>
      <c r="BW140" s="196"/>
      <c r="BX140" s="196"/>
      <c r="BY140" s="196"/>
      <c r="BZ140" s="196"/>
      <c r="CA140" s="196"/>
      <c r="CB140" s="196"/>
      <c r="CC140" s="196"/>
      <c r="CD140" s="196"/>
      <c r="CE140" s="196"/>
      <c r="CF140" s="196"/>
      <c r="CG140" s="196"/>
    </row>
    <row r="141" spans="1:85" s="170" customFormat="1" ht="39.950000000000003" customHeight="1" x14ac:dyDescent="0.25">
      <c r="A141"/>
      <c r="B141"/>
      <c r="C141"/>
      <c r="D141"/>
      <c r="E141"/>
      <c r="F141"/>
      <c r="G141"/>
      <c r="H141"/>
      <c r="I141" s="68"/>
      <c r="J141" s="71"/>
      <c r="K141"/>
      <c r="L141"/>
      <c r="M141"/>
      <c r="N141"/>
      <c r="O141"/>
      <c r="P141"/>
      <c r="Q141" s="121"/>
      <c r="R141"/>
      <c r="S141"/>
      <c r="T141" s="229"/>
      <c r="U141" s="229"/>
      <c r="V141" s="229"/>
      <c r="W141" s="229"/>
      <c r="X141" s="229"/>
      <c r="Y141" s="136"/>
      <c r="Z141" s="166"/>
      <c r="AA141" s="166"/>
      <c r="AB141" s="71"/>
      <c r="AC141"/>
      <c r="AD141" s="196"/>
      <c r="AE141" s="196"/>
      <c r="AF141" s="196"/>
      <c r="AG141" s="196"/>
      <c r="AH141" s="196"/>
      <c r="AI141" s="196"/>
      <c r="AJ141" s="196"/>
      <c r="AK141" s="196"/>
      <c r="AL141" s="196"/>
      <c r="AM141" s="196"/>
      <c r="AN141" s="196"/>
      <c r="AO141" s="196"/>
      <c r="AP141" s="196"/>
      <c r="AQ141" s="196"/>
      <c r="AR141" s="196"/>
      <c r="AS141" s="196"/>
      <c r="AT141" s="196"/>
      <c r="AU141" s="196"/>
      <c r="AV141" s="196"/>
      <c r="AW141" s="196"/>
      <c r="AX141" s="196"/>
      <c r="AY141" s="196"/>
      <c r="AZ141" s="196"/>
      <c r="BA141" s="196"/>
      <c r="BB141" s="196"/>
      <c r="BC141" s="196"/>
      <c r="BD141" s="196"/>
      <c r="BE141" s="196"/>
      <c r="BF141" s="196"/>
      <c r="BG141" s="196"/>
      <c r="BH141" s="196"/>
      <c r="BI141" s="196"/>
      <c r="BJ141" s="196"/>
      <c r="BK141" s="196"/>
      <c r="BL141" s="196"/>
      <c r="BM141" s="196"/>
      <c r="BN141" s="196"/>
      <c r="BO141" s="196"/>
      <c r="BP141" s="196"/>
      <c r="BQ141" s="196"/>
      <c r="BR141" s="196"/>
      <c r="BS141" s="196"/>
      <c r="BT141" s="196"/>
      <c r="BU141" s="196"/>
      <c r="BV141" s="196"/>
      <c r="BW141" s="196"/>
      <c r="BX141" s="196"/>
      <c r="BY141" s="196"/>
      <c r="BZ141" s="196"/>
      <c r="CA141" s="196"/>
      <c r="CB141" s="196"/>
      <c r="CC141" s="196"/>
      <c r="CD141" s="196"/>
      <c r="CE141" s="196"/>
      <c r="CF141" s="196"/>
      <c r="CG141" s="196"/>
    </row>
    <row r="142" spans="1:85" s="170" customFormat="1" ht="39.950000000000003" customHeight="1" x14ac:dyDescent="0.25">
      <c r="A142"/>
      <c r="B142"/>
      <c r="C142"/>
      <c r="D142"/>
      <c r="E142"/>
      <c r="F142"/>
      <c r="G142"/>
      <c r="H142"/>
      <c r="I142" s="68"/>
      <c r="J142" s="71"/>
      <c r="K142"/>
      <c r="L142"/>
      <c r="M142"/>
      <c r="N142"/>
      <c r="O142"/>
      <c r="P142"/>
      <c r="Q142" s="121"/>
      <c r="R142"/>
      <c r="S142"/>
      <c r="T142" s="229"/>
      <c r="U142" s="229"/>
      <c r="V142" s="229"/>
      <c r="W142" s="229"/>
      <c r="X142" s="229"/>
      <c r="Y142" s="136"/>
      <c r="Z142" s="166"/>
      <c r="AA142" s="166"/>
      <c r="AB142" s="71"/>
      <c r="AC142"/>
      <c r="AD142" s="196"/>
      <c r="AE142" s="196"/>
      <c r="AF142" s="196"/>
      <c r="AG142" s="196"/>
      <c r="AH142" s="196"/>
      <c r="AI142" s="196"/>
      <c r="AJ142" s="196"/>
      <c r="AK142" s="196"/>
      <c r="AL142" s="196"/>
      <c r="AM142" s="196"/>
      <c r="AN142" s="196"/>
      <c r="AO142" s="196"/>
      <c r="AP142" s="196"/>
      <c r="AQ142" s="196"/>
      <c r="AR142" s="196"/>
      <c r="AS142" s="196"/>
      <c r="AT142" s="196"/>
      <c r="AU142" s="196"/>
      <c r="AV142" s="196"/>
      <c r="AW142" s="196"/>
      <c r="AX142" s="196"/>
      <c r="AY142" s="196"/>
      <c r="AZ142" s="196"/>
      <c r="BA142" s="196"/>
      <c r="BB142" s="196"/>
      <c r="BC142" s="196"/>
      <c r="BD142" s="196"/>
      <c r="BE142" s="196"/>
      <c r="BF142" s="196"/>
      <c r="BG142" s="196"/>
      <c r="BH142" s="196"/>
      <c r="BI142" s="196"/>
      <c r="BJ142" s="196"/>
      <c r="BK142" s="196"/>
      <c r="BL142" s="196"/>
      <c r="BM142" s="196"/>
      <c r="BN142" s="196"/>
      <c r="BO142" s="196"/>
      <c r="BP142" s="196"/>
      <c r="BQ142" s="196"/>
      <c r="BR142" s="196"/>
      <c r="BS142" s="196"/>
      <c r="BT142" s="196"/>
      <c r="BU142" s="196"/>
      <c r="BV142" s="196"/>
      <c r="BW142" s="196"/>
      <c r="BX142" s="196"/>
      <c r="BY142" s="196"/>
      <c r="BZ142" s="196"/>
      <c r="CA142" s="196"/>
      <c r="CB142" s="196"/>
      <c r="CC142" s="196"/>
      <c r="CD142" s="196"/>
      <c r="CE142" s="196"/>
      <c r="CF142" s="196"/>
      <c r="CG142" s="196"/>
    </row>
    <row r="143" spans="1:85" s="170" customFormat="1" ht="39.950000000000003" customHeight="1" x14ac:dyDescent="0.25">
      <c r="A143"/>
      <c r="B143"/>
      <c r="C143"/>
      <c r="D143"/>
      <c r="E143"/>
      <c r="F143"/>
      <c r="G143"/>
      <c r="H143"/>
      <c r="I143" s="68"/>
      <c r="J143" s="71"/>
      <c r="K143"/>
      <c r="L143"/>
      <c r="M143"/>
      <c r="N143"/>
      <c r="O143"/>
      <c r="P143"/>
      <c r="Q143" s="121"/>
      <c r="R143"/>
      <c r="S143"/>
      <c r="T143" s="229"/>
      <c r="U143" s="229"/>
      <c r="V143" s="229"/>
      <c r="W143" s="229"/>
      <c r="X143" s="229"/>
      <c r="Y143" s="136"/>
      <c r="Z143" s="166"/>
      <c r="AA143" s="166"/>
      <c r="AB143" s="71"/>
      <c r="AC143"/>
      <c r="AD143" s="196"/>
      <c r="AE143" s="196"/>
      <c r="AF143" s="196"/>
      <c r="AG143" s="196"/>
      <c r="AH143" s="196"/>
      <c r="AI143" s="196"/>
      <c r="AJ143" s="196"/>
      <c r="AK143" s="196"/>
      <c r="AL143" s="196"/>
      <c r="AM143" s="196"/>
      <c r="AN143" s="196"/>
      <c r="AO143" s="196"/>
      <c r="AP143" s="196"/>
      <c r="AQ143" s="196"/>
      <c r="AR143" s="196"/>
      <c r="AS143" s="196"/>
      <c r="AT143" s="196"/>
      <c r="AU143" s="196"/>
      <c r="AV143" s="196"/>
      <c r="AW143" s="196"/>
      <c r="AX143" s="196"/>
      <c r="AY143" s="196"/>
      <c r="AZ143" s="196"/>
      <c r="BA143" s="196"/>
      <c r="BB143" s="196"/>
      <c r="BC143" s="196"/>
      <c r="BD143" s="196"/>
      <c r="BE143" s="196"/>
      <c r="BF143" s="196"/>
      <c r="BG143" s="196"/>
      <c r="BH143" s="196"/>
      <c r="BI143" s="196"/>
      <c r="BJ143" s="196"/>
      <c r="BK143" s="196"/>
      <c r="BL143" s="196"/>
      <c r="BM143" s="196"/>
      <c r="BN143" s="196"/>
      <c r="BO143" s="196"/>
      <c r="BP143" s="196"/>
      <c r="BQ143" s="196"/>
      <c r="BR143" s="196"/>
      <c r="BS143" s="196"/>
      <c r="BT143" s="196"/>
      <c r="BU143" s="196"/>
      <c r="BV143" s="196"/>
      <c r="BW143" s="196"/>
      <c r="BX143" s="196"/>
      <c r="BY143" s="196"/>
      <c r="BZ143" s="196"/>
      <c r="CA143" s="196"/>
      <c r="CB143" s="196"/>
      <c r="CC143" s="196"/>
      <c r="CD143" s="196"/>
      <c r="CE143" s="196"/>
      <c r="CF143" s="196"/>
      <c r="CG143" s="196"/>
    </row>
    <row r="144" spans="1:85" s="170" customFormat="1" ht="39.950000000000003" customHeight="1" x14ac:dyDescent="0.25">
      <c r="A144"/>
      <c r="B144"/>
      <c r="C144"/>
      <c r="D144"/>
      <c r="E144"/>
      <c r="F144"/>
      <c r="G144"/>
      <c r="H144"/>
      <c r="I144" s="68"/>
      <c r="J144" s="71"/>
      <c r="K144"/>
      <c r="L144"/>
      <c r="M144"/>
      <c r="N144"/>
      <c r="O144"/>
      <c r="P144"/>
      <c r="Q144" s="121"/>
      <c r="R144"/>
      <c r="S144"/>
      <c r="T144" s="229"/>
      <c r="U144" s="229"/>
      <c r="V144" s="229"/>
      <c r="W144" s="229"/>
      <c r="X144" s="229"/>
      <c r="Y144" s="136"/>
      <c r="Z144" s="166"/>
      <c r="AA144" s="166"/>
      <c r="AB144" s="71"/>
      <c r="AC144"/>
      <c r="AD144" s="196"/>
      <c r="AE144" s="196"/>
      <c r="AF144" s="196"/>
      <c r="AG144" s="196"/>
      <c r="AH144" s="196"/>
      <c r="AI144" s="196"/>
      <c r="AJ144" s="196"/>
      <c r="AK144" s="196"/>
      <c r="AL144" s="196"/>
      <c r="AM144" s="196"/>
      <c r="AN144" s="196"/>
      <c r="AO144" s="196"/>
      <c r="AP144" s="196"/>
      <c r="AQ144" s="196"/>
      <c r="AR144" s="196"/>
      <c r="AS144" s="196"/>
      <c r="AT144" s="196"/>
      <c r="AU144" s="196"/>
      <c r="AV144" s="196"/>
      <c r="AW144" s="196"/>
      <c r="AX144" s="196"/>
      <c r="AY144" s="196"/>
      <c r="AZ144" s="196"/>
      <c r="BA144" s="196"/>
      <c r="BB144" s="196"/>
      <c r="BC144" s="196"/>
      <c r="BD144" s="196"/>
      <c r="BE144" s="196"/>
      <c r="BF144" s="196"/>
      <c r="BG144" s="196"/>
      <c r="BH144" s="196"/>
      <c r="BI144" s="196"/>
      <c r="BJ144" s="196"/>
      <c r="BK144" s="196"/>
      <c r="BL144" s="196"/>
      <c r="BM144" s="196"/>
      <c r="BN144" s="196"/>
      <c r="BO144" s="196"/>
      <c r="BP144" s="196"/>
      <c r="BQ144" s="196"/>
      <c r="BR144" s="196"/>
      <c r="BS144" s="196"/>
      <c r="BT144" s="196"/>
      <c r="BU144" s="196"/>
      <c r="BV144" s="196"/>
      <c r="BW144" s="196"/>
      <c r="BX144" s="196"/>
      <c r="BY144" s="196"/>
      <c r="BZ144" s="196"/>
      <c r="CA144" s="196"/>
      <c r="CB144" s="196"/>
      <c r="CC144" s="196"/>
      <c r="CD144" s="196"/>
      <c r="CE144" s="196"/>
      <c r="CF144" s="196"/>
      <c r="CG144" s="196"/>
    </row>
    <row r="145" spans="1:107" s="170" customFormat="1" ht="39.950000000000003" customHeight="1" x14ac:dyDescent="0.25">
      <c r="A145"/>
      <c r="B145"/>
      <c r="C145"/>
      <c r="D145"/>
      <c r="E145"/>
      <c r="F145"/>
      <c r="G145"/>
      <c r="H145"/>
      <c r="I145" s="68"/>
      <c r="J145" s="71"/>
      <c r="K145"/>
      <c r="L145"/>
      <c r="M145"/>
      <c r="N145"/>
      <c r="O145"/>
      <c r="P145"/>
      <c r="Q145" s="121"/>
      <c r="R145"/>
      <c r="S145"/>
      <c r="T145" s="229"/>
      <c r="U145" s="229"/>
      <c r="V145" s="229"/>
      <c r="W145" s="229"/>
      <c r="X145" s="229"/>
      <c r="Y145" s="136"/>
      <c r="Z145" s="166"/>
      <c r="AA145" s="166"/>
      <c r="AB145" s="71"/>
      <c r="AC145"/>
      <c r="AD145" s="196"/>
      <c r="AE145" s="196"/>
      <c r="AF145" s="196"/>
      <c r="AG145" s="196"/>
      <c r="AH145" s="196"/>
      <c r="AI145" s="196"/>
      <c r="AJ145" s="196"/>
      <c r="AK145" s="196"/>
      <c r="AL145" s="196"/>
      <c r="AM145" s="196"/>
      <c r="AN145" s="196"/>
      <c r="AO145" s="196"/>
      <c r="AP145" s="196"/>
      <c r="AQ145" s="196"/>
      <c r="AR145" s="196"/>
      <c r="AS145" s="196"/>
      <c r="AT145" s="196"/>
      <c r="AU145" s="196"/>
      <c r="AV145" s="196"/>
      <c r="AW145" s="196"/>
      <c r="AX145" s="196"/>
      <c r="AY145" s="196"/>
      <c r="AZ145" s="196"/>
      <c r="BA145" s="196"/>
      <c r="BB145" s="196"/>
      <c r="BC145" s="196"/>
      <c r="BD145" s="196"/>
      <c r="BE145" s="196"/>
      <c r="BF145" s="196"/>
      <c r="BG145" s="196"/>
      <c r="BH145" s="196"/>
      <c r="BI145" s="196"/>
      <c r="BJ145" s="196"/>
      <c r="BK145" s="196"/>
      <c r="BL145" s="196"/>
      <c r="BM145" s="196"/>
      <c r="BN145" s="196"/>
      <c r="BO145" s="196"/>
      <c r="BP145" s="196"/>
      <c r="BQ145" s="196"/>
      <c r="BR145" s="196"/>
      <c r="BS145" s="196"/>
      <c r="BT145" s="196"/>
      <c r="BU145" s="196"/>
      <c r="BV145" s="196"/>
      <c r="BW145" s="196"/>
      <c r="BX145" s="196"/>
      <c r="BY145" s="196"/>
      <c r="BZ145" s="196"/>
      <c r="CA145" s="196"/>
      <c r="CB145" s="196"/>
      <c r="CC145" s="196"/>
      <c r="CD145" s="196"/>
      <c r="CE145" s="196"/>
      <c r="CF145" s="196"/>
      <c r="CG145" s="196"/>
    </row>
    <row r="146" spans="1:107" s="170" customFormat="1" ht="39.950000000000003" customHeight="1" x14ac:dyDescent="0.25">
      <c r="A146"/>
      <c r="B146"/>
      <c r="C146"/>
      <c r="D146"/>
      <c r="E146"/>
      <c r="F146"/>
      <c r="G146"/>
      <c r="H146"/>
      <c r="I146" s="68"/>
      <c r="J146" s="71"/>
      <c r="K146"/>
      <c r="L146"/>
      <c r="M146"/>
      <c r="N146"/>
      <c r="O146"/>
      <c r="P146"/>
      <c r="Q146" s="121"/>
      <c r="R146"/>
      <c r="S146"/>
      <c r="T146" s="229"/>
      <c r="U146" s="229"/>
      <c r="V146" s="229"/>
      <c r="W146" s="229"/>
      <c r="X146" s="229"/>
      <c r="Y146" s="136"/>
      <c r="Z146" s="166"/>
      <c r="AA146" s="166"/>
      <c r="AB146" s="71"/>
      <c r="AC146"/>
      <c r="AD146" s="196"/>
      <c r="AE146" s="196"/>
      <c r="AF146" s="196"/>
      <c r="AG146" s="196"/>
      <c r="AH146" s="196"/>
      <c r="AI146" s="196"/>
      <c r="AJ146" s="196"/>
      <c r="AK146" s="196"/>
      <c r="AL146" s="196"/>
      <c r="AM146" s="196"/>
      <c r="AN146" s="196"/>
      <c r="AO146" s="196"/>
      <c r="AP146" s="196"/>
      <c r="AQ146" s="196"/>
      <c r="AR146" s="196"/>
      <c r="AS146" s="196"/>
      <c r="AT146" s="196"/>
      <c r="AU146" s="196"/>
      <c r="AV146" s="196"/>
      <c r="AW146" s="196"/>
      <c r="AX146" s="196"/>
      <c r="AY146" s="196"/>
      <c r="AZ146" s="196"/>
      <c r="BA146" s="196"/>
      <c r="BB146" s="196"/>
      <c r="BC146" s="196"/>
      <c r="BD146" s="196"/>
      <c r="BE146" s="196"/>
      <c r="BF146" s="196"/>
      <c r="BG146" s="196"/>
      <c r="BH146" s="196"/>
      <c r="BI146" s="196"/>
      <c r="BJ146" s="196"/>
      <c r="BK146" s="196"/>
      <c r="BL146" s="196"/>
      <c r="BM146" s="196"/>
      <c r="BN146" s="196"/>
      <c r="BO146" s="196"/>
      <c r="BP146" s="196"/>
      <c r="BQ146" s="196"/>
      <c r="BR146" s="196"/>
      <c r="BS146" s="196"/>
      <c r="BT146" s="196"/>
      <c r="BU146" s="196"/>
      <c r="BV146" s="196"/>
      <c r="BW146" s="196"/>
      <c r="BX146" s="196"/>
      <c r="BY146" s="196"/>
      <c r="BZ146" s="196"/>
      <c r="CA146" s="196"/>
      <c r="CB146" s="196"/>
      <c r="CC146" s="196"/>
      <c r="CD146" s="196"/>
      <c r="CE146" s="196"/>
      <c r="CF146" s="196"/>
      <c r="CG146" s="196"/>
    </row>
    <row r="147" spans="1:107" s="170" customFormat="1" ht="39.950000000000003" customHeight="1" x14ac:dyDescent="0.25">
      <c r="A147"/>
      <c r="B147"/>
      <c r="C147"/>
      <c r="D147"/>
      <c r="E147"/>
      <c r="F147"/>
      <c r="G147"/>
      <c r="H147"/>
      <c r="I147" s="68"/>
      <c r="J147" s="71"/>
      <c r="K147"/>
      <c r="L147"/>
      <c r="M147"/>
      <c r="N147"/>
      <c r="O147"/>
      <c r="P147"/>
      <c r="Q147" s="121"/>
      <c r="R147"/>
      <c r="S147"/>
      <c r="T147" s="229"/>
      <c r="U147" s="229"/>
      <c r="V147" s="229"/>
      <c r="W147" s="229"/>
      <c r="X147" s="229"/>
      <c r="Y147" s="136"/>
      <c r="Z147" s="166"/>
      <c r="AA147" s="166"/>
      <c r="AB147" s="71"/>
      <c r="AC147"/>
      <c r="AD147" s="196"/>
      <c r="AE147" s="196"/>
      <c r="AF147" s="196"/>
      <c r="AG147" s="196"/>
      <c r="AH147" s="196"/>
      <c r="AI147" s="196"/>
      <c r="AJ147" s="196"/>
      <c r="AK147" s="196"/>
      <c r="AL147" s="196"/>
      <c r="AM147" s="196"/>
      <c r="AN147" s="196"/>
      <c r="AO147" s="196"/>
      <c r="AP147" s="196"/>
      <c r="AQ147" s="196"/>
      <c r="AR147" s="196"/>
      <c r="AS147" s="196"/>
      <c r="AT147" s="196"/>
      <c r="AU147" s="196"/>
      <c r="AV147" s="196"/>
      <c r="AW147" s="196"/>
      <c r="AX147" s="196"/>
      <c r="AY147" s="196"/>
      <c r="AZ147" s="196"/>
      <c r="BA147" s="196"/>
      <c r="BB147" s="196"/>
      <c r="BC147" s="196"/>
      <c r="BD147" s="196"/>
      <c r="BE147" s="196"/>
      <c r="BF147" s="196"/>
      <c r="BG147" s="196"/>
      <c r="BH147" s="196"/>
      <c r="BI147" s="196"/>
      <c r="BJ147" s="196"/>
      <c r="BK147" s="196"/>
      <c r="BL147" s="196"/>
      <c r="BM147" s="196"/>
      <c r="BN147" s="196"/>
      <c r="BO147" s="196"/>
      <c r="BP147" s="196"/>
      <c r="BQ147" s="196"/>
      <c r="BR147" s="196"/>
      <c r="BS147" s="196"/>
      <c r="BT147" s="196"/>
      <c r="BU147" s="196"/>
      <c r="BV147" s="196"/>
      <c r="BW147" s="196"/>
      <c r="BX147" s="196"/>
      <c r="BY147" s="196"/>
      <c r="BZ147" s="196"/>
      <c r="CA147" s="196"/>
      <c r="CB147" s="196"/>
      <c r="CC147" s="196"/>
      <c r="CD147" s="196"/>
      <c r="CE147" s="196"/>
      <c r="CF147" s="196"/>
      <c r="CG147" s="196"/>
    </row>
    <row r="148" spans="1:107" s="170" customFormat="1" ht="39.950000000000003" customHeight="1" x14ac:dyDescent="0.25">
      <c r="A148"/>
      <c r="B148"/>
      <c r="C148"/>
      <c r="D148"/>
      <c r="E148"/>
      <c r="F148"/>
      <c r="G148"/>
      <c r="H148"/>
      <c r="I148" s="68"/>
      <c r="J148" s="71"/>
      <c r="K148"/>
      <c r="L148"/>
      <c r="M148"/>
      <c r="N148"/>
      <c r="O148"/>
      <c r="P148"/>
      <c r="Q148" s="121"/>
      <c r="R148"/>
      <c r="S148"/>
      <c r="T148" s="229"/>
      <c r="U148" s="229"/>
      <c r="V148" s="229"/>
      <c r="W148" s="229"/>
      <c r="X148" s="229"/>
      <c r="Y148" s="136"/>
      <c r="Z148" s="166"/>
      <c r="AA148" s="166"/>
      <c r="AB148" s="71"/>
      <c r="AC148"/>
      <c r="AD148" s="196"/>
      <c r="AE148" s="196"/>
      <c r="AF148" s="196"/>
      <c r="AG148" s="196"/>
      <c r="AH148" s="196"/>
      <c r="AI148" s="196"/>
      <c r="AJ148" s="196"/>
      <c r="AK148" s="196"/>
      <c r="AL148" s="196"/>
      <c r="AM148" s="196"/>
      <c r="AN148" s="196"/>
      <c r="AO148" s="196"/>
      <c r="AP148" s="196"/>
      <c r="AQ148" s="196"/>
      <c r="AR148" s="196"/>
      <c r="AS148" s="196"/>
      <c r="AT148" s="196"/>
      <c r="AU148" s="196"/>
      <c r="AV148" s="196"/>
      <c r="AW148" s="196"/>
      <c r="AX148" s="196"/>
      <c r="AY148" s="196"/>
      <c r="AZ148" s="196"/>
      <c r="BA148" s="196"/>
      <c r="BB148" s="196"/>
      <c r="BC148" s="196"/>
      <c r="BD148" s="196"/>
      <c r="BE148" s="196"/>
      <c r="BF148" s="196"/>
      <c r="BG148" s="196"/>
      <c r="BH148" s="196"/>
      <c r="BI148" s="196"/>
      <c r="BJ148" s="196"/>
      <c r="BK148" s="196"/>
      <c r="BL148" s="196"/>
      <c r="BM148" s="196"/>
      <c r="BN148" s="196"/>
      <c r="BO148" s="196"/>
      <c r="BP148" s="196"/>
      <c r="BQ148" s="196"/>
      <c r="BR148" s="196"/>
      <c r="BS148" s="196"/>
      <c r="BT148" s="196"/>
      <c r="BU148" s="196"/>
      <c r="BV148" s="196"/>
      <c r="BW148" s="196"/>
      <c r="BX148" s="196"/>
      <c r="BY148" s="196"/>
      <c r="BZ148" s="196"/>
      <c r="CA148" s="196"/>
      <c r="CB148" s="196"/>
      <c r="CC148" s="196"/>
      <c r="CD148" s="196"/>
      <c r="CE148" s="196"/>
      <c r="CF148" s="196"/>
      <c r="CG148" s="196"/>
    </row>
    <row r="149" spans="1:107" s="170" customFormat="1" ht="39.950000000000003" customHeight="1" x14ac:dyDescent="0.25">
      <c r="A149"/>
      <c r="B149"/>
      <c r="C149"/>
      <c r="D149"/>
      <c r="E149"/>
      <c r="F149"/>
      <c r="G149"/>
      <c r="H149"/>
      <c r="I149" s="68"/>
      <c r="J149" s="71"/>
      <c r="K149"/>
      <c r="L149"/>
      <c r="M149"/>
      <c r="N149"/>
      <c r="O149"/>
      <c r="P149"/>
      <c r="Q149" s="121"/>
      <c r="R149"/>
      <c r="S149"/>
      <c r="T149" s="229"/>
      <c r="U149" s="229"/>
      <c r="V149" s="229"/>
      <c r="W149" s="229"/>
      <c r="X149" s="229"/>
      <c r="Y149" s="136"/>
      <c r="Z149" s="166"/>
      <c r="AA149" s="166"/>
      <c r="AB149" s="71"/>
      <c r="AC149"/>
      <c r="AD149" s="196"/>
      <c r="AE149" s="196"/>
      <c r="AF149" s="196"/>
      <c r="AG149" s="196"/>
      <c r="AH149" s="196"/>
      <c r="AI149" s="196"/>
      <c r="AJ149" s="196"/>
      <c r="AK149" s="196"/>
      <c r="AL149" s="196"/>
      <c r="AM149" s="196"/>
      <c r="AN149" s="196"/>
      <c r="AO149" s="196"/>
      <c r="AP149" s="196"/>
      <c r="AQ149" s="196"/>
      <c r="AR149" s="196"/>
      <c r="AS149" s="196"/>
      <c r="AT149" s="196"/>
      <c r="AU149" s="196"/>
      <c r="AV149" s="196"/>
      <c r="AW149" s="196"/>
      <c r="AX149" s="196"/>
      <c r="AY149" s="196"/>
      <c r="AZ149" s="196"/>
      <c r="BA149" s="196"/>
      <c r="BB149" s="196"/>
      <c r="BC149" s="196"/>
      <c r="BD149" s="196"/>
      <c r="BE149" s="196"/>
      <c r="BF149" s="196"/>
      <c r="BG149" s="196"/>
      <c r="BH149" s="196"/>
      <c r="BI149" s="196"/>
      <c r="BJ149" s="196"/>
      <c r="BK149" s="196"/>
      <c r="BL149" s="196"/>
      <c r="BM149" s="196"/>
      <c r="BN149" s="196"/>
      <c r="BO149" s="196"/>
      <c r="BP149" s="196"/>
      <c r="BQ149" s="196"/>
      <c r="BR149" s="196"/>
      <c r="BS149" s="196"/>
      <c r="BT149" s="196"/>
      <c r="BU149" s="196"/>
      <c r="BV149" s="196"/>
      <c r="BW149" s="196"/>
      <c r="BX149" s="196"/>
      <c r="BY149" s="196"/>
      <c r="BZ149" s="196"/>
      <c r="CA149" s="196"/>
      <c r="CB149" s="196"/>
      <c r="CC149" s="196"/>
      <c r="CD149" s="196"/>
      <c r="CE149" s="196"/>
      <c r="CF149" s="196"/>
      <c r="CG149" s="196"/>
    </row>
    <row r="150" spans="1:107" s="170" customFormat="1" ht="39.950000000000003" customHeight="1" x14ac:dyDescent="0.25">
      <c r="A150"/>
      <c r="B150"/>
      <c r="C150"/>
      <c r="D150"/>
      <c r="E150"/>
      <c r="F150"/>
      <c r="G150"/>
      <c r="H150"/>
      <c r="I150" s="68"/>
      <c r="J150" s="71"/>
      <c r="K150"/>
      <c r="L150"/>
      <c r="M150"/>
      <c r="N150"/>
      <c r="O150"/>
      <c r="P150"/>
      <c r="Q150" s="121"/>
      <c r="R150"/>
      <c r="S150"/>
      <c r="T150" s="229"/>
      <c r="U150" s="229"/>
      <c r="V150" s="229"/>
      <c r="W150" s="229"/>
      <c r="X150" s="229"/>
      <c r="Y150" s="136"/>
      <c r="Z150" s="166"/>
      <c r="AA150" s="166"/>
      <c r="AB150" s="71"/>
      <c r="AC150"/>
      <c r="AD150" s="196"/>
      <c r="AE150" s="196"/>
      <c r="AF150" s="196"/>
      <c r="AG150" s="196"/>
      <c r="AH150" s="196"/>
      <c r="AI150" s="196"/>
      <c r="AJ150" s="196"/>
      <c r="AK150" s="196"/>
      <c r="AL150" s="196"/>
      <c r="AM150" s="196"/>
      <c r="AN150" s="196"/>
      <c r="AO150" s="196"/>
      <c r="AP150" s="196"/>
      <c r="AQ150" s="196"/>
      <c r="AR150" s="196"/>
      <c r="AS150" s="196"/>
      <c r="AT150" s="196"/>
      <c r="AU150" s="196"/>
      <c r="AV150" s="196"/>
      <c r="AW150" s="196"/>
      <c r="AX150" s="196"/>
      <c r="AY150" s="196"/>
      <c r="AZ150" s="196"/>
      <c r="BA150" s="196"/>
      <c r="BB150" s="196"/>
      <c r="BC150" s="196"/>
      <c r="BD150" s="196"/>
      <c r="BE150" s="196"/>
      <c r="BF150" s="196"/>
      <c r="BG150" s="196"/>
      <c r="BH150" s="196"/>
      <c r="BI150" s="196"/>
      <c r="BJ150" s="196"/>
      <c r="BK150" s="196"/>
      <c r="BL150" s="196"/>
      <c r="BM150" s="196"/>
      <c r="BN150" s="196"/>
      <c r="BO150" s="196"/>
      <c r="BP150" s="196"/>
      <c r="BQ150" s="196"/>
      <c r="BR150" s="196"/>
      <c r="BS150" s="196"/>
      <c r="BT150" s="196"/>
      <c r="BU150" s="196"/>
      <c r="BV150" s="196"/>
      <c r="BW150" s="196"/>
      <c r="BX150" s="196"/>
      <c r="BY150" s="196"/>
      <c r="BZ150" s="196"/>
      <c r="CA150" s="196"/>
      <c r="CB150" s="196"/>
      <c r="CC150" s="196"/>
      <c r="CD150" s="196"/>
      <c r="CE150" s="196"/>
      <c r="CF150" s="196"/>
      <c r="CG150" s="196"/>
    </row>
    <row r="151" spans="1:107" s="170" customFormat="1" ht="39.950000000000003" customHeight="1" x14ac:dyDescent="0.25">
      <c r="A151"/>
      <c r="B151"/>
      <c r="C151"/>
      <c r="D151"/>
      <c r="E151"/>
      <c r="F151"/>
      <c r="G151"/>
      <c r="H151"/>
      <c r="I151" s="68"/>
      <c r="J151" s="71"/>
      <c r="K151"/>
      <c r="L151"/>
      <c r="M151"/>
      <c r="N151"/>
      <c r="O151"/>
      <c r="P151"/>
      <c r="Q151" s="121"/>
      <c r="R151"/>
      <c r="S151"/>
      <c r="T151" s="229"/>
      <c r="U151" s="229"/>
      <c r="V151" s="229"/>
      <c r="W151" s="229"/>
      <c r="X151" s="229"/>
      <c r="Y151" s="136"/>
      <c r="Z151" s="166"/>
      <c r="AA151" s="166"/>
      <c r="AB151" s="71"/>
      <c r="AC151"/>
      <c r="AD151" s="196"/>
      <c r="AE151" s="196"/>
      <c r="AF151" s="196"/>
      <c r="AG151" s="196"/>
      <c r="AH151" s="196"/>
      <c r="AI151" s="196"/>
      <c r="AJ151" s="196"/>
      <c r="AK151" s="196"/>
      <c r="AL151" s="196"/>
      <c r="AM151" s="196"/>
      <c r="AN151" s="196"/>
      <c r="AO151" s="196"/>
      <c r="AP151" s="196"/>
      <c r="AQ151" s="196"/>
      <c r="AR151" s="196"/>
      <c r="AS151" s="196"/>
      <c r="AT151" s="196"/>
      <c r="AU151" s="196"/>
      <c r="AV151" s="196"/>
      <c r="AW151" s="196"/>
      <c r="AX151" s="196"/>
      <c r="AY151" s="196"/>
      <c r="AZ151" s="196"/>
      <c r="BA151" s="196"/>
      <c r="BB151" s="196"/>
      <c r="BC151" s="196"/>
      <c r="BD151" s="196"/>
      <c r="BE151" s="196"/>
      <c r="BF151" s="196"/>
      <c r="BG151" s="196"/>
      <c r="BH151" s="196"/>
      <c r="BI151" s="196"/>
      <c r="BJ151" s="196"/>
      <c r="BK151" s="196"/>
      <c r="BL151" s="196"/>
      <c r="BM151" s="196"/>
      <c r="BN151" s="196"/>
      <c r="BO151" s="196"/>
      <c r="BP151" s="196"/>
      <c r="BQ151" s="196"/>
      <c r="BR151" s="196"/>
      <c r="BS151" s="196"/>
      <c r="BT151" s="196"/>
      <c r="BU151" s="196"/>
      <c r="BV151" s="196"/>
      <c r="BW151" s="196"/>
      <c r="BX151" s="196"/>
      <c r="BY151" s="196"/>
      <c r="BZ151" s="196"/>
      <c r="CA151" s="196"/>
      <c r="CB151" s="196"/>
      <c r="CC151" s="196"/>
      <c r="CD151" s="196"/>
      <c r="CE151" s="196"/>
      <c r="CF151" s="196"/>
      <c r="CG151" s="196"/>
    </row>
    <row r="152" spans="1:107" s="170" customFormat="1" ht="39.950000000000003" customHeight="1" x14ac:dyDescent="0.25">
      <c r="A152"/>
      <c r="B152"/>
      <c r="C152"/>
      <c r="D152"/>
      <c r="E152"/>
      <c r="F152"/>
      <c r="G152"/>
      <c r="H152"/>
      <c r="I152" s="68"/>
      <c r="J152" s="71"/>
      <c r="K152"/>
      <c r="L152"/>
      <c r="M152"/>
      <c r="N152"/>
      <c r="O152"/>
      <c r="P152"/>
      <c r="Q152" s="121"/>
      <c r="R152"/>
      <c r="S152"/>
      <c r="T152" s="229"/>
      <c r="U152" s="229"/>
      <c r="V152" s="229"/>
      <c r="W152" s="229"/>
      <c r="X152" s="229"/>
      <c r="Y152" s="136"/>
      <c r="Z152" s="166"/>
      <c r="AA152" s="166"/>
      <c r="AB152" s="71"/>
      <c r="AC152"/>
      <c r="AD152" s="196"/>
      <c r="AE152" s="196"/>
      <c r="AF152" s="196"/>
      <c r="AG152" s="196"/>
      <c r="AH152" s="196"/>
      <c r="AI152" s="196"/>
      <c r="AJ152" s="196"/>
      <c r="AK152" s="196"/>
      <c r="AL152" s="196"/>
      <c r="AM152" s="196"/>
      <c r="AN152" s="196"/>
      <c r="AO152" s="196"/>
      <c r="AP152" s="196"/>
      <c r="AQ152" s="196"/>
      <c r="AR152" s="196"/>
      <c r="AS152" s="196"/>
      <c r="AT152" s="196"/>
      <c r="AU152" s="196"/>
      <c r="AV152" s="196"/>
      <c r="AW152" s="196"/>
      <c r="AX152" s="196"/>
      <c r="AY152" s="196"/>
      <c r="AZ152" s="196"/>
      <c r="BA152" s="196"/>
      <c r="BB152" s="196"/>
      <c r="BC152" s="196"/>
      <c r="BD152" s="196"/>
      <c r="BE152" s="196"/>
      <c r="BF152" s="196"/>
      <c r="BG152" s="196"/>
      <c r="BH152" s="196"/>
      <c r="BI152" s="196"/>
      <c r="BJ152" s="196"/>
      <c r="BK152" s="196"/>
      <c r="BL152" s="196"/>
      <c r="BM152" s="196"/>
      <c r="BN152" s="196"/>
      <c r="BO152" s="196"/>
      <c r="BP152" s="196"/>
      <c r="BQ152" s="196"/>
      <c r="BR152" s="196"/>
      <c r="BS152" s="196"/>
      <c r="BT152" s="196"/>
      <c r="BU152" s="196"/>
      <c r="BV152" s="196"/>
      <c r="BW152" s="196"/>
      <c r="BX152" s="196"/>
      <c r="BY152" s="196"/>
      <c r="BZ152" s="196"/>
      <c r="CA152" s="196"/>
      <c r="CB152" s="196"/>
      <c r="CC152" s="196"/>
      <c r="CD152" s="196"/>
      <c r="CE152" s="196"/>
      <c r="CF152" s="196"/>
      <c r="CG152" s="196"/>
    </row>
    <row r="153" spans="1:107" s="170" customFormat="1" ht="39.950000000000003" customHeight="1" x14ac:dyDescent="0.25">
      <c r="A153"/>
      <c r="B153"/>
      <c r="C153"/>
      <c r="D153"/>
      <c r="E153"/>
      <c r="F153"/>
      <c r="G153"/>
      <c r="H153"/>
      <c r="I153" s="68"/>
      <c r="J153" s="71"/>
      <c r="K153"/>
      <c r="L153"/>
      <c r="M153"/>
      <c r="N153"/>
      <c r="O153"/>
      <c r="P153"/>
      <c r="Q153" s="121"/>
      <c r="R153"/>
      <c r="S153"/>
      <c r="T153" s="229"/>
      <c r="U153" s="229"/>
      <c r="V153" s="229"/>
      <c r="W153" s="229"/>
      <c r="X153" s="229"/>
      <c r="Y153" s="136"/>
      <c r="Z153" s="166"/>
      <c r="AA153" s="166"/>
      <c r="AB153" s="71"/>
      <c r="AC153"/>
      <c r="AD153" s="196"/>
      <c r="AE153" s="196"/>
      <c r="AF153" s="196"/>
      <c r="AG153" s="196"/>
      <c r="AH153" s="196"/>
      <c r="AI153" s="196"/>
      <c r="AJ153" s="196"/>
      <c r="AK153" s="196"/>
      <c r="AL153" s="196"/>
      <c r="AM153" s="196"/>
      <c r="AN153" s="196"/>
      <c r="AO153" s="196"/>
      <c r="AP153" s="196"/>
      <c r="AQ153" s="196"/>
      <c r="AR153" s="196"/>
      <c r="AS153" s="196"/>
      <c r="AT153" s="196"/>
      <c r="AU153" s="196"/>
      <c r="AV153" s="196"/>
      <c r="AW153" s="196"/>
      <c r="AX153" s="196"/>
      <c r="AY153" s="196"/>
      <c r="AZ153" s="196"/>
      <c r="BA153" s="196"/>
      <c r="BB153" s="196"/>
      <c r="BC153" s="196"/>
      <c r="BD153" s="196"/>
      <c r="BE153" s="196"/>
      <c r="BF153" s="196"/>
      <c r="BG153" s="196"/>
      <c r="BH153" s="196"/>
      <c r="BI153" s="196"/>
      <c r="BJ153" s="196"/>
      <c r="BK153" s="196"/>
      <c r="BL153" s="196"/>
      <c r="BM153" s="196"/>
      <c r="BN153" s="196"/>
      <c r="BO153" s="196"/>
      <c r="BP153" s="196"/>
      <c r="BQ153" s="196"/>
      <c r="BR153" s="196"/>
      <c r="BS153" s="196"/>
      <c r="BT153" s="196"/>
      <c r="BU153" s="196"/>
      <c r="BV153" s="196"/>
      <c r="BW153" s="196"/>
      <c r="BX153" s="196"/>
      <c r="BY153" s="196"/>
      <c r="BZ153" s="196"/>
      <c r="CA153" s="196"/>
      <c r="CB153" s="196"/>
      <c r="CC153" s="196"/>
      <c r="CD153" s="196"/>
      <c r="CE153" s="196"/>
      <c r="CF153" s="196"/>
      <c r="CG153" s="196"/>
    </row>
    <row r="154" spans="1:107" s="170" customFormat="1" ht="39.950000000000003" customHeight="1" x14ac:dyDescent="0.25">
      <c r="A154"/>
      <c r="B154"/>
      <c r="C154"/>
      <c r="D154"/>
      <c r="E154"/>
      <c r="F154"/>
      <c r="G154"/>
      <c r="H154"/>
      <c r="I154" s="68"/>
      <c r="J154" s="71"/>
      <c r="K154"/>
      <c r="L154"/>
      <c r="M154"/>
      <c r="N154"/>
      <c r="O154"/>
      <c r="P154"/>
      <c r="Q154" s="121"/>
      <c r="R154"/>
      <c r="S154"/>
      <c r="T154" s="229"/>
      <c r="U154" s="229"/>
      <c r="V154" s="229"/>
      <c r="W154" s="229"/>
      <c r="X154" s="229"/>
      <c r="Y154" s="136"/>
      <c r="Z154" s="166"/>
      <c r="AA154" s="166"/>
      <c r="AB154" s="71"/>
      <c r="AC154"/>
      <c r="AD154" s="196"/>
      <c r="AE154" s="196"/>
      <c r="AF154" s="196"/>
      <c r="AG154" s="196"/>
      <c r="AH154" s="196"/>
      <c r="AI154" s="196"/>
      <c r="AJ154" s="196"/>
      <c r="AK154" s="196"/>
      <c r="AL154" s="196"/>
      <c r="AM154" s="196"/>
      <c r="AN154" s="196"/>
      <c r="AO154" s="196"/>
      <c r="AP154" s="196"/>
      <c r="AQ154" s="196"/>
      <c r="AR154" s="196"/>
      <c r="AS154" s="196"/>
      <c r="AT154" s="196"/>
      <c r="AU154" s="196"/>
      <c r="AV154" s="196"/>
      <c r="AW154" s="196"/>
      <c r="AX154" s="196"/>
      <c r="AY154" s="196"/>
      <c r="AZ154" s="196"/>
      <c r="BA154" s="196"/>
      <c r="BB154" s="196"/>
      <c r="BC154" s="196"/>
      <c r="BD154" s="196"/>
      <c r="BE154" s="196"/>
      <c r="BF154" s="196"/>
      <c r="BG154" s="196"/>
      <c r="BH154" s="196"/>
      <c r="BI154" s="196"/>
      <c r="BJ154" s="196"/>
      <c r="BK154" s="196"/>
      <c r="BL154" s="196"/>
      <c r="BM154" s="196"/>
      <c r="BN154" s="196"/>
      <c r="BO154" s="196"/>
      <c r="BP154" s="196"/>
      <c r="BQ154" s="196"/>
      <c r="BR154" s="196"/>
      <c r="BS154" s="196"/>
      <c r="BT154" s="196"/>
      <c r="BU154" s="196"/>
      <c r="BV154" s="196"/>
      <c r="BW154" s="196"/>
      <c r="BX154" s="196"/>
      <c r="BY154" s="196"/>
      <c r="BZ154" s="196"/>
      <c r="CA154" s="196"/>
      <c r="CB154" s="196"/>
      <c r="CC154" s="196"/>
      <c r="CD154" s="196"/>
      <c r="CE154" s="196"/>
      <c r="CF154" s="196"/>
      <c r="CG154" s="196"/>
    </row>
    <row r="155" spans="1:107" s="170" customFormat="1" ht="39.950000000000003" customHeight="1" x14ac:dyDescent="0.25">
      <c r="A155"/>
      <c r="B155"/>
      <c r="C155"/>
      <c r="D155"/>
      <c r="E155"/>
      <c r="F155"/>
      <c r="G155"/>
      <c r="H155"/>
      <c r="I155" s="68"/>
      <c r="J155" s="71"/>
      <c r="K155"/>
      <c r="L155"/>
      <c r="M155"/>
      <c r="N155"/>
      <c r="O155"/>
      <c r="P155"/>
      <c r="Q155" s="121"/>
      <c r="R155"/>
      <c r="S155"/>
      <c r="T155" s="229"/>
      <c r="U155" s="229"/>
      <c r="V155" s="229"/>
      <c r="W155" s="229"/>
      <c r="X155" s="229"/>
      <c r="Y155" s="136"/>
      <c r="Z155" s="166"/>
      <c r="AA155" s="166"/>
      <c r="AB155" s="71"/>
      <c r="AC155"/>
      <c r="AD155" s="196"/>
      <c r="AE155" s="196"/>
      <c r="AF155" s="196"/>
      <c r="AG155" s="196"/>
      <c r="AH155" s="196"/>
      <c r="AI155" s="196"/>
      <c r="AJ155" s="196"/>
      <c r="AK155" s="196"/>
      <c r="AL155" s="196"/>
      <c r="AM155" s="196"/>
      <c r="AN155" s="196"/>
      <c r="AO155" s="196"/>
      <c r="AP155" s="196"/>
      <c r="AQ155" s="196"/>
      <c r="AR155" s="196"/>
      <c r="AS155" s="196"/>
      <c r="AT155" s="196"/>
      <c r="AU155" s="196"/>
      <c r="AV155" s="196"/>
      <c r="AW155" s="196"/>
      <c r="AX155" s="196"/>
      <c r="AY155" s="196"/>
      <c r="AZ155" s="196"/>
      <c r="BA155" s="196"/>
      <c r="BB155" s="196"/>
      <c r="BC155" s="196"/>
      <c r="BD155" s="196"/>
      <c r="BE155" s="196"/>
      <c r="BF155" s="196"/>
      <c r="BG155" s="196"/>
      <c r="BH155" s="196"/>
      <c r="BI155" s="196"/>
      <c r="BJ155" s="196"/>
      <c r="BK155" s="196"/>
      <c r="BL155" s="196"/>
      <c r="BM155" s="196"/>
      <c r="BN155" s="196"/>
      <c r="BO155" s="196"/>
      <c r="BP155" s="196"/>
      <c r="BQ155" s="196"/>
      <c r="BR155" s="196"/>
      <c r="BS155" s="196"/>
      <c r="BT155" s="196"/>
      <c r="BU155" s="196"/>
      <c r="BV155" s="196"/>
      <c r="BW155" s="196"/>
      <c r="BX155" s="196"/>
      <c r="BY155" s="196"/>
      <c r="BZ155" s="196"/>
      <c r="CA155" s="196"/>
      <c r="CB155" s="196"/>
      <c r="CC155" s="196"/>
      <c r="CD155" s="196"/>
      <c r="CE155" s="196"/>
      <c r="CF155" s="196"/>
      <c r="CG155" s="196"/>
    </row>
    <row r="156" spans="1:107" s="170" customFormat="1" ht="39.950000000000003" customHeight="1" x14ac:dyDescent="0.25">
      <c r="A156"/>
      <c r="B156"/>
      <c r="C156"/>
      <c r="D156"/>
      <c r="E156"/>
      <c r="F156"/>
      <c r="G156"/>
      <c r="H156"/>
      <c r="I156" s="68"/>
      <c r="J156" s="71"/>
      <c r="K156"/>
      <c r="L156"/>
      <c r="M156"/>
      <c r="N156"/>
      <c r="O156"/>
      <c r="P156"/>
      <c r="Q156" s="121"/>
      <c r="R156"/>
      <c r="S156"/>
      <c r="T156" s="229"/>
      <c r="U156" s="229"/>
      <c r="V156" s="229"/>
      <c r="W156" s="229"/>
      <c r="X156" s="229"/>
      <c r="Y156" s="136"/>
      <c r="Z156" s="166"/>
      <c r="AA156" s="166"/>
      <c r="AB156" s="71"/>
      <c r="AC156"/>
      <c r="AD156" s="196"/>
      <c r="AE156" s="196"/>
      <c r="AF156" s="196"/>
      <c r="AG156" s="196"/>
      <c r="AH156" s="196"/>
      <c r="AI156" s="196"/>
      <c r="AJ156" s="196"/>
      <c r="AK156" s="196"/>
      <c r="AL156" s="196"/>
      <c r="AM156" s="196"/>
      <c r="AN156" s="196"/>
      <c r="AO156" s="196"/>
      <c r="AP156" s="196"/>
      <c r="AQ156" s="196"/>
      <c r="AR156" s="196"/>
      <c r="AS156" s="196"/>
      <c r="AT156" s="196"/>
      <c r="AU156" s="196"/>
      <c r="AV156" s="196"/>
      <c r="AW156" s="196"/>
      <c r="AX156" s="196"/>
      <c r="AY156" s="196"/>
      <c r="AZ156" s="196"/>
      <c r="BA156" s="196"/>
      <c r="BB156" s="196"/>
      <c r="BC156" s="196"/>
      <c r="BD156" s="196"/>
      <c r="BE156" s="196"/>
      <c r="BF156" s="196"/>
      <c r="BG156" s="196"/>
      <c r="BH156" s="196"/>
      <c r="BI156" s="196"/>
      <c r="BJ156" s="196"/>
      <c r="BK156" s="196"/>
      <c r="BL156" s="196"/>
      <c r="BM156" s="196"/>
      <c r="BN156" s="196"/>
      <c r="BO156" s="196"/>
      <c r="BP156" s="196"/>
      <c r="BQ156" s="196"/>
      <c r="BR156" s="196"/>
      <c r="BS156" s="196"/>
      <c r="BT156" s="196"/>
      <c r="BU156" s="196"/>
      <c r="BV156" s="196"/>
      <c r="BW156" s="196"/>
      <c r="BX156" s="196"/>
      <c r="BY156" s="196"/>
      <c r="BZ156" s="196"/>
      <c r="CA156" s="196"/>
      <c r="CB156" s="196"/>
      <c r="CC156" s="196"/>
      <c r="CD156" s="196"/>
      <c r="CE156" s="196"/>
      <c r="CF156" s="196"/>
      <c r="CG156" s="196"/>
    </row>
    <row r="157" spans="1:107" s="170" customFormat="1" ht="39.950000000000003" customHeight="1" x14ac:dyDescent="0.25">
      <c r="A157"/>
      <c r="B157"/>
      <c r="C157"/>
      <c r="D157"/>
      <c r="E157"/>
      <c r="F157"/>
      <c r="G157"/>
      <c r="H157"/>
      <c r="I157" s="68"/>
      <c r="J157" s="71"/>
      <c r="K157"/>
      <c r="L157"/>
      <c r="M157"/>
      <c r="N157"/>
      <c r="O157"/>
      <c r="P157"/>
      <c r="Q157" s="121"/>
      <c r="R157"/>
      <c r="S157"/>
      <c r="T157" s="229"/>
      <c r="U157" s="229"/>
      <c r="V157" s="229"/>
      <c r="W157" s="229"/>
      <c r="X157" s="229"/>
      <c r="Y157" s="136"/>
      <c r="Z157" s="166"/>
      <c r="AA157" s="166"/>
      <c r="AB157" s="71"/>
      <c r="AC157"/>
      <c r="AD157" s="196"/>
      <c r="AE157" s="196"/>
      <c r="AF157" s="196"/>
      <c r="AG157" s="196"/>
      <c r="AH157" s="196"/>
      <c r="AI157" s="196"/>
      <c r="AJ157" s="196"/>
      <c r="AK157" s="196"/>
      <c r="AL157" s="196"/>
      <c r="AM157" s="196"/>
      <c r="AN157" s="196"/>
      <c r="AO157" s="196"/>
      <c r="AP157" s="196"/>
      <c r="AQ157" s="196"/>
      <c r="AR157" s="196"/>
      <c r="AS157" s="196"/>
      <c r="AT157" s="196"/>
      <c r="AU157" s="196"/>
      <c r="AV157" s="196"/>
      <c r="AW157" s="196"/>
      <c r="AX157" s="196"/>
      <c r="AY157" s="196"/>
      <c r="AZ157" s="196"/>
      <c r="BA157" s="196"/>
      <c r="BB157" s="196"/>
      <c r="BC157" s="196"/>
      <c r="BD157" s="196"/>
      <c r="BE157" s="196"/>
      <c r="BF157" s="196"/>
      <c r="BG157" s="196"/>
      <c r="BH157" s="196"/>
      <c r="BI157" s="196"/>
      <c r="BJ157" s="196"/>
      <c r="BK157" s="196"/>
      <c r="BL157" s="196"/>
      <c r="BM157" s="196"/>
      <c r="BN157" s="196"/>
      <c r="BO157" s="196"/>
      <c r="BP157" s="196"/>
      <c r="BQ157" s="196"/>
      <c r="BR157" s="196"/>
      <c r="BS157" s="196"/>
      <c r="BT157" s="196"/>
      <c r="BU157" s="196"/>
      <c r="BV157" s="196"/>
      <c r="BW157" s="196"/>
      <c r="BX157" s="196"/>
      <c r="BY157" s="196"/>
      <c r="BZ157" s="196"/>
      <c r="CA157" s="196"/>
      <c r="CB157" s="196"/>
      <c r="CC157" s="196"/>
      <c r="CD157" s="196"/>
      <c r="CE157" s="196"/>
      <c r="CF157" s="196"/>
      <c r="CG157" s="196"/>
    </row>
    <row r="158" spans="1:107" s="170" customFormat="1" ht="39.950000000000003" customHeight="1" x14ac:dyDescent="0.25">
      <c r="A158"/>
      <c r="B158"/>
      <c r="C158"/>
      <c r="D158"/>
      <c r="E158"/>
      <c r="F158"/>
      <c r="G158"/>
      <c r="H158"/>
      <c r="I158" s="68"/>
      <c r="J158" s="71"/>
      <c r="K158"/>
      <c r="L158"/>
      <c r="M158"/>
      <c r="N158"/>
      <c r="O158"/>
      <c r="P158"/>
      <c r="Q158" s="121"/>
      <c r="R158"/>
      <c r="S158"/>
      <c r="T158" s="229"/>
      <c r="U158" s="229"/>
      <c r="V158" s="229"/>
      <c r="W158" s="229"/>
      <c r="X158" s="229"/>
      <c r="Y158" s="136"/>
      <c r="Z158" s="166"/>
      <c r="AA158" s="166"/>
      <c r="AB158" s="71"/>
      <c r="AC158"/>
      <c r="AD158" s="196"/>
      <c r="AE158" s="196"/>
      <c r="AF158" s="196"/>
      <c r="AG158" s="196"/>
      <c r="AH158" s="196"/>
      <c r="AI158" s="196"/>
      <c r="AJ158" s="196"/>
      <c r="AK158" s="196"/>
      <c r="AL158" s="196"/>
      <c r="AM158" s="196"/>
      <c r="AN158" s="196"/>
      <c r="AO158" s="196"/>
      <c r="AP158" s="196"/>
      <c r="AQ158" s="196"/>
      <c r="AR158" s="196"/>
      <c r="AS158" s="196"/>
      <c r="AT158" s="196"/>
      <c r="AU158" s="196"/>
      <c r="AV158" s="196"/>
      <c r="AW158" s="196"/>
      <c r="AX158" s="196"/>
      <c r="AY158" s="196"/>
      <c r="AZ158" s="196"/>
      <c r="BA158" s="196"/>
      <c r="BB158" s="196"/>
      <c r="BC158" s="196"/>
      <c r="BD158" s="196"/>
      <c r="BE158" s="196"/>
      <c r="BF158" s="196"/>
      <c r="BG158" s="196"/>
      <c r="BH158" s="196"/>
      <c r="BI158" s="196"/>
      <c r="BJ158" s="196"/>
      <c r="BK158" s="196"/>
      <c r="BL158" s="196"/>
      <c r="BM158" s="196"/>
      <c r="BN158" s="196"/>
      <c r="BO158" s="196"/>
      <c r="BP158" s="196"/>
      <c r="BQ158" s="196"/>
      <c r="BR158" s="196"/>
      <c r="BS158" s="196"/>
      <c r="BT158" s="196"/>
      <c r="BU158" s="196"/>
      <c r="BV158" s="196"/>
      <c r="BW158" s="196"/>
      <c r="BX158" s="196"/>
      <c r="BY158" s="196"/>
      <c r="BZ158" s="196"/>
      <c r="CA158" s="196"/>
      <c r="CB158" s="196"/>
      <c r="CC158" s="196"/>
      <c r="CD158" s="196"/>
      <c r="CE158" s="196"/>
      <c r="CF158" s="196"/>
      <c r="CG158" s="196"/>
    </row>
    <row r="159" spans="1:107" s="170" customFormat="1" ht="39.950000000000003" customHeight="1" x14ac:dyDescent="0.25">
      <c r="A159"/>
      <c r="B159"/>
      <c r="C159"/>
      <c r="D159"/>
      <c r="E159"/>
      <c r="F159"/>
      <c r="G159"/>
      <c r="H159"/>
      <c r="I159" s="68"/>
      <c r="J159" s="71"/>
      <c r="K159"/>
      <c r="L159"/>
      <c r="M159"/>
      <c r="N159"/>
      <c r="O159"/>
      <c r="P159"/>
      <c r="Q159" s="121"/>
      <c r="R159"/>
      <c r="S159"/>
      <c r="T159" s="229"/>
      <c r="U159" s="229"/>
      <c r="V159" s="229"/>
      <c r="W159" s="229"/>
      <c r="X159" s="229"/>
      <c r="Y159" s="136"/>
      <c r="Z159" s="166"/>
      <c r="AA159" s="166"/>
      <c r="AB159" s="71"/>
      <c r="AC159"/>
      <c r="AD159" s="196"/>
      <c r="AE159" s="196"/>
      <c r="AF159" s="196"/>
      <c r="AG159" s="196"/>
      <c r="AH159" s="196"/>
      <c r="AI159" s="196"/>
      <c r="AJ159" s="196"/>
      <c r="AK159" s="196"/>
      <c r="AL159" s="196"/>
      <c r="AM159" s="196"/>
      <c r="AN159" s="196"/>
      <c r="AO159" s="196"/>
      <c r="AP159" s="196"/>
      <c r="AQ159" s="196"/>
      <c r="AR159" s="196"/>
      <c r="AS159" s="196"/>
      <c r="AT159" s="196"/>
      <c r="AU159" s="196"/>
      <c r="AV159" s="196"/>
      <c r="AW159" s="196"/>
      <c r="AX159" s="196"/>
      <c r="AY159" s="196"/>
      <c r="AZ159" s="196"/>
      <c r="BA159" s="196"/>
      <c r="BB159" s="196"/>
      <c r="BC159" s="196"/>
      <c r="BD159" s="196"/>
      <c r="BE159" s="196"/>
      <c r="BF159" s="196"/>
      <c r="BG159" s="196"/>
      <c r="BH159" s="196"/>
      <c r="BI159" s="196"/>
      <c r="BJ159" s="196"/>
      <c r="BK159" s="196"/>
      <c r="BL159" s="196"/>
      <c r="BM159" s="196"/>
      <c r="BN159" s="196"/>
      <c r="BO159" s="196"/>
      <c r="BP159" s="196"/>
      <c r="BQ159" s="196"/>
      <c r="BR159" s="196"/>
      <c r="BS159" s="196"/>
      <c r="BT159" s="196"/>
      <c r="BU159" s="196"/>
      <c r="BV159" s="196"/>
      <c r="BW159" s="196"/>
      <c r="BX159" s="196"/>
      <c r="BY159" s="196"/>
      <c r="BZ159" s="196"/>
      <c r="CA159" s="196"/>
      <c r="CB159" s="196"/>
      <c r="CC159" s="196"/>
      <c r="CD159" s="196"/>
      <c r="CE159" s="196"/>
      <c r="CF159" s="196"/>
      <c r="CG159" s="196"/>
    </row>
    <row r="160" spans="1:107" s="92" customFormat="1" ht="39.950000000000003" customHeight="1" x14ac:dyDescent="0.25">
      <c r="A160"/>
      <c r="B160"/>
      <c r="C160"/>
      <c r="D160"/>
      <c r="E160"/>
      <c r="F160"/>
      <c r="G160"/>
      <c r="H160"/>
      <c r="I160" s="68"/>
      <c r="J160" s="71"/>
      <c r="K160"/>
      <c r="L160"/>
      <c r="M160"/>
      <c r="N160"/>
      <c r="O160"/>
      <c r="P160"/>
      <c r="Q160" s="121"/>
      <c r="R160"/>
      <c r="S160"/>
      <c r="T160" s="229"/>
      <c r="U160" s="229"/>
      <c r="V160" s="229"/>
      <c r="W160" s="229"/>
      <c r="X160" s="229"/>
      <c r="Y160" s="136"/>
      <c r="Z160" s="166"/>
      <c r="AA160" s="166"/>
      <c r="AB160" s="71"/>
      <c r="AC160"/>
      <c r="AD160" s="39"/>
      <c r="AE160" s="42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39"/>
      <c r="DB160" s="39"/>
      <c r="DC160" s="39"/>
    </row>
    <row r="161" spans="1:107" s="92" customFormat="1" ht="39.950000000000003" customHeight="1" x14ac:dyDescent="0.25">
      <c r="A161"/>
      <c r="B161"/>
      <c r="C161"/>
      <c r="D161"/>
      <c r="E161"/>
      <c r="F161"/>
      <c r="G161"/>
      <c r="H161"/>
      <c r="I161" s="68"/>
      <c r="J161" s="71"/>
      <c r="K161"/>
      <c r="L161"/>
      <c r="M161"/>
      <c r="N161"/>
      <c r="O161"/>
      <c r="P161"/>
      <c r="Q161" s="121"/>
      <c r="R161"/>
      <c r="S161"/>
      <c r="T161" s="229"/>
      <c r="U161" s="229"/>
      <c r="V161" s="229"/>
      <c r="W161" s="229"/>
      <c r="X161" s="229"/>
      <c r="Y161" s="136"/>
      <c r="Z161" s="166"/>
      <c r="AA161" s="166"/>
      <c r="AB161" s="71"/>
      <c r="AC161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39"/>
      <c r="DB161" s="39"/>
      <c r="DC161" s="39"/>
    </row>
    <row r="162" spans="1:107" s="92" customFormat="1" ht="39.950000000000003" customHeight="1" x14ac:dyDescent="0.25">
      <c r="A162"/>
      <c r="B162"/>
      <c r="C162"/>
      <c r="D162"/>
      <c r="E162"/>
      <c r="F162"/>
      <c r="G162"/>
      <c r="H162"/>
      <c r="I162" s="68"/>
      <c r="J162" s="71"/>
      <c r="K162"/>
      <c r="L162"/>
      <c r="M162"/>
      <c r="N162"/>
      <c r="O162"/>
      <c r="P162"/>
      <c r="Q162" s="121"/>
      <c r="R162"/>
      <c r="S162"/>
      <c r="T162" s="229"/>
      <c r="U162" s="229"/>
      <c r="V162" s="229"/>
      <c r="W162" s="229"/>
      <c r="X162" s="229"/>
      <c r="Y162" s="136"/>
      <c r="Z162" s="166"/>
      <c r="AA162" s="166"/>
      <c r="AB162" s="71"/>
      <c r="AC162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39"/>
      <c r="DB162" s="39"/>
      <c r="DC162" s="39"/>
    </row>
    <row r="163" spans="1:107" s="92" customFormat="1" ht="39.950000000000003" hidden="1" customHeight="1" x14ac:dyDescent="0.25">
      <c r="A163"/>
      <c r="B163"/>
      <c r="C163"/>
      <c r="D163"/>
      <c r="E163"/>
      <c r="F163"/>
      <c r="G163"/>
      <c r="H163"/>
      <c r="I163" s="68"/>
      <c r="J163" s="71"/>
      <c r="K163"/>
      <c r="L163"/>
      <c r="M163"/>
      <c r="N163"/>
      <c r="O163"/>
      <c r="P163"/>
      <c r="Q163" s="121"/>
      <c r="R163"/>
      <c r="S163"/>
      <c r="T163" s="229"/>
      <c r="U163" s="229"/>
      <c r="V163" s="229"/>
      <c r="W163" s="229"/>
      <c r="X163" s="229"/>
      <c r="Y163" s="136"/>
      <c r="Z163" s="166"/>
      <c r="AA163" s="166"/>
      <c r="AB163" s="71"/>
      <c r="AC163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39"/>
      <c r="DB163" s="39"/>
      <c r="DC163" s="39"/>
    </row>
    <row r="164" spans="1:107" s="92" customFormat="1" ht="39.950000000000003" hidden="1" customHeight="1" x14ac:dyDescent="0.25">
      <c r="A164"/>
      <c r="B164"/>
      <c r="C164"/>
      <c r="D164"/>
      <c r="E164"/>
      <c r="F164"/>
      <c r="G164"/>
      <c r="H164"/>
      <c r="I164" s="68"/>
      <c r="J164" s="71"/>
      <c r="K164"/>
      <c r="L164"/>
      <c r="M164"/>
      <c r="N164"/>
      <c r="O164"/>
      <c r="P164"/>
      <c r="Q164" s="121"/>
      <c r="R164"/>
      <c r="S164"/>
      <c r="T164" s="229"/>
      <c r="U164" s="229"/>
      <c r="V164" s="229"/>
      <c r="W164" s="229"/>
      <c r="X164" s="229"/>
      <c r="Y164" s="136"/>
      <c r="Z164" s="166"/>
      <c r="AA164" s="166"/>
      <c r="AB164" s="71"/>
      <c r="AC164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39"/>
      <c r="DB164" s="39"/>
      <c r="DC164" s="39"/>
    </row>
    <row r="165" spans="1:107" s="92" customFormat="1" ht="39.950000000000003" hidden="1" customHeight="1" x14ac:dyDescent="0.25">
      <c r="A165"/>
      <c r="B165"/>
      <c r="C165"/>
      <c r="D165"/>
      <c r="E165"/>
      <c r="F165"/>
      <c r="G165"/>
      <c r="H165"/>
      <c r="I165" s="68"/>
      <c r="J165" s="71"/>
      <c r="K165"/>
      <c r="L165"/>
      <c r="M165"/>
      <c r="N165"/>
      <c r="O165"/>
      <c r="P165"/>
      <c r="Q165" s="121"/>
      <c r="R165"/>
      <c r="S165"/>
      <c r="T165" s="229"/>
      <c r="U165" s="229"/>
      <c r="V165" s="229"/>
      <c r="W165" s="229"/>
      <c r="X165" s="229"/>
      <c r="Y165" s="136"/>
      <c r="Z165" s="166"/>
      <c r="AA165" s="166"/>
      <c r="AB165" s="71"/>
      <c r="AC165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39"/>
      <c r="DB165" s="39"/>
      <c r="DC165" s="39"/>
    </row>
    <row r="166" spans="1:107" s="92" customFormat="1" ht="39.950000000000003" hidden="1" customHeight="1" x14ac:dyDescent="0.25">
      <c r="A166"/>
      <c r="B166"/>
      <c r="C166"/>
      <c r="D166"/>
      <c r="E166"/>
      <c r="F166"/>
      <c r="G166"/>
      <c r="H166"/>
      <c r="I166" s="68"/>
      <c r="J166" s="71"/>
      <c r="K166"/>
      <c r="L166"/>
      <c r="M166"/>
      <c r="N166"/>
      <c r="O166"/>
      <c r="P166"/>
      <c r="Q166" s="121"/>
      <c r="R166"/>
      <c r="S166"/>
      <c r="T166" s="229"/>
      <c r="U166" s="229"/>
      <c r="V166" s="229"/>
      <c r="W166" s="229"/>
      <c r="X166" s="229"/>
      <c r="Y166" s="136"/>
      <c r="Z166" s="166"/>
      <c r="AA166" s="166"/>
      <c r="AB166" s="71"/>
      <c r="AC166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39"/>
      <c r="DB166" s="39"/>
      <c r="DC166" s="39"/>
    </row>
    <row r="167" spans="1:107" s="92" customFormat="1" ht="39.950000000000003" hidden="1" customHeight="1" x14ac:dyDescent="0.25">
      <c r="A167"/>
      <c r="B167"/>
      <c r="C167"/>
      <c r="D167"/>
      <c r="E167"/>
      <c r="F167"/>
      <c r="G167"/>
      <c r="H167"/>
      <c r="I167" s="68"/>
      <c r="J167" s="71"/>
      <c r="K167"/>
      <c r="L167"/>
      <c r="M167"/>
      <c r="N167"/>
      <c r="O167"/>
      <c r="P167"/>
      <c r="Q167" s="121"/>
      <c r="R167"/>
      <c r="S167"/>
      <c r="T167" s="229"/>
      <c r="U167" s="229"/>
      <c r="V167" s="229"/>
      <c r="W167" s="229"/>
      <c r="X167" s="229"/>
      <c r="Y167" s="136"/>
      <c r="Z167" s="166"/>
      <c r="AA167" s="166"/>
      <c r="AB167" s="71"/>
      <c r="AC167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39"/>
      <c r="DB167" s="39"/>
      <c r="DC167" s="39"/>
    </row>
    <row r="168" spans="1:107" s="92" customFormat="1" ht="39.950000000000003" hidden="1" customHeight="1" x14ac:dyDescent="0.25">
      <c r="A168"/>
      <c r="B168"/>
      <c r="C168"/>
      <c r="D168"/>
      <c r="E168"/>
      <c r="F168"/>
      <c r="G168"/>
      <c r="H168"/>
      <c r="I168" s="68"/>
      <c r="J168" s="71"/>
      <c r="K168"/>
      <c r="L168"/>
      <c r="M168"/>
      <c r="N168"/>
      <c r="O168"/>
      <c r="P168"/>
      <c r="Q168" s="121"/>
      <c r="R168"/>
      <c r="S168"/>
      <c r="T168" s="229"/>
      <c r="U168" s="229"/>
      <c r="V168" s="229"/>
      <c r="W168" s="229"/>
      <c r="X168" s="229"/>
      <c r="Y168" s="136"/>
      <c r="Z168" s="166"/>
      <c r="AA168" s="166"/>
      <c r="AB168" s="71"/>
      <c r="AC168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39"/>
      <c r="DB168" s="39"/>
      <c r="DC168" s="39"/>
    </row>
    <row r="169" spans="1:107" s="92" customFormat="1" ht="39.950000000000003" hidden="1" customHeight="1" x14ac:dyDescent="0.25">
      <c r="A169"/>
      <c r="B169"/>
      <c r="C169"/>
      <c r="D169"/>
      <c r="E169"/>
      <c r="F169"/>
      <c r="G169"/>
      <c r="H169"/>
      <c r="I169" s="68"/>
      <c r="J169" s="71"/>
      <c r="K169"/>
      <c r="L169"/>
      <c r="M169"/>
      <c r="N169"/>
      <c r="O169"/>
      <c r="P169"/>
      <c r="Q169" s="121"/>
      <c r="R169"/>
      <c r="S169"/>
      <c r="T169" s="229"/>
      <c r="U169" s="229"/>
      <c r="V169" s="229"/>
      <c r="W169" s="229"/>
      <c r="X169" s="229"/>
      <c r="Y169" s="136"/>
      <c r="Z169" s="166"/>
      <c r="AA169" s="166"/>
      <c r="AB169" s="71"/>
      <c r="AC16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39"/>
      <c r="DB169" s="39"/>
      <c r="DC169" s="39"/>
    </row>
    <row r="170" spans="1:107" s="92" customFormat="1" ht="39.950000000000003" customHeight="1" x14ac:dyDescent="0.25">
      <c r="A170"/>
      <c r="B170"/>
      <c r="C170"/>
      <c r="D170"/>
      <c r="E170"/>
      <c r="F170"/>
      <c r="G170"/>
      <c r="H170"/>
      <c r="I170" s="68"/>
      <c r="J170" s="71"/>
      <c r="K170"/>
      <c r="L170"/>
      <c r="M170"/>
      <c r="N170"/>
      <c r="O170"/>
      <c r="P170"/>
      <c r="Q170" s="121"/>
      <c r="R170"/>
      <c r="S170"/>
      <c r="T170" s="229"/>
      <c r="U170" s="229"/>
      <c r="V170" s="229"/>
      <c r="W170" s="229"/>
      <c r="X170" s="229"/>
      <c r="Y170" s="136"/>
      <c r="Z170" s="166"/>
      <c r="AA170" s="166"/>
      <c r="AB170" s="71"/>
      <c r="AC170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39"/>
      <c r="DB170" s="39"/>
      <c r="DC170" s="39"/>
    </row>
    <row r="171" spans="1:107" s="92" customFormat="1" ht="39.950000000000003" customHeight="1" x14ac:dyDescent="0.25">
      <c r="A171"/>
      <c r="B171"/>
      <c r="C171"/>
      <c r="D171"/>
      <c r="E171"/>
      <c r="F171"/>
      <c r="G171"/>
      <c r="H171"/>
      <c r="I171" s="68"/>
      <c r="J171" s="71"/>
      <c r="K171"/>
      <c r="L171"/>
      <c r="M171"/>
      <c r="N171"/>
      <c r="O171"/>
      <c r="P171"/>
      <c r="Q171" s="121"/>
      <c r="R171"/>
      <c r="S171"/>
      <c r="T171" s="229"/>
      <c r="U171" s="229"/>
      <c r="V171" s="229"/>
      <c r="W171" s="229"/>
      <c r="X171" s="229"/>
      <c r="Y171" s="136"/>
      <c r="Z171" s="166"/>
      <c r="AA171" s="166"/>
      <c r="AB171" s="71"/>
      <c r="AC171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39"/>
      <c r="DB171" s="39"/>
      <c r="DC171" s="39"/>
    </row>
    <row r="172" spans="1:107" s="92" customFormat="1" ht="39.950000000000003" hidden="1" customHeight="1" x14ac:dyDescent="0.25">
      <c r="A172"/>
      <c r="B172"/>
      <c r="C172"/>
      <c r="D172"/>
      <c r="E172"/>
      <c r="F172"/>
      <c r="G172"/>
      <c r="H172"/>
      <c r="I172" s="68"/>
      <c r="J172" s="71"/>
      <c r="K172"/>
      <c r="L172"/>
      <c r="M172"/>
      <c r="N172"/>
      <c r="O172"/>
      <c r="P172"/>
      <c r="Q172" s="121"/>
      <c r="R172"/>
      <c r="S172"/>
      <c r="T172" s="229"/>
      <c r="U172" s="229"/>
      <c r="V172" s="229"/>
      <c r="W172" s="229"/>
      <c r="X172" s="229"/>
      <c r="Y172" s="136"/>
      <c r="Z172" s="166"/>
      <c r="AA172" s="166"/>
      <c r="AB172" s="71"/>
      <c r="AC172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39"/>
      <c r="DB172" s="39"/>
      <c r="DC172" s="39"/>
    </row>
    <row r="173" spans="1:107" s="92" customFormat="1" ht="39.950000000000003" customHeight="1" x14ac:dyDescent="0.25">
      <c r="A173"/>
      <c r="B173"/>
      <c r="C173"/>
      <c r="D173"/>
      <c r="E173"/>
      <c r="F173"/>
      <c r="G173"/>
      <c r="H173"/>
      <c r="I173" s="68"/>
      <c r="J173" s="71"/>
      <c r="K173"/>
      <c r="L173"/>
      <c r="M173"/>
      <c r="N173"/>
      <c r="O173"/>
      <c r="P173"/>
      <c r="Q173" s="121"/>
      <c r="R173"/>
      <c r="S173"/>
      <c r="T173" s="229"/>
      <c r="U173" s="229"/>
      <c r="V173" s="229"/>
      <c r="W173" s="229"/>
      <c r="X173" s="229"/>
      <c r="Y173" s="136"/>
      <c r="Z173" s="166"/>
      <c r="AA173" s="166"/>
      <c r="AB173" s="71"/>
      <c r="AC173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39"/>
      <c r="DB173" s="39"/>
      <c r="DC173" s="39"/>
    </row>
    <row r="174" spans="1:107" s="92" customFormat="1" ht="39.950000000000003" customHeight="1" x14ac:dyDescent="0.25">
      <c r="A174"/>
      <c r="B174"/>
      <c r="C174"/>
      <c r="D174"/>
      <c r="E174"/>
      <c r="F174"/>
      <c r="G174"/>
      <c r="H174"/>
      <c r="I174" s="68"/>
      <c r="J174" s="71"/>
      <c r="K174"/>
      <c r="L174"/>
      <c r="M174"/>
      <c r="N174"/>
      <c r="O174"/>
      <c r="P174"/>
      <c r="Q174" s="121"/>
      <c r="R174"/>
      <c r="S174"/>
      <c r="T174" s="229"/>
      <c r="U174" s="229"/>
      <c r="V174" s="229"/>
      <c r="W174" s="229"/>
      <c r="X174" s="229"/>
      <c r="Y174" s="136"/>
      <c r="Z174" s="166"/>
      <c r="AA174" s="166"/>
      <c r="AB174" s="71"/>
      <c r="AC174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39"/>
      <c r="DB174" s="39"/>
      <c r="DC174" s="39"/>
    </row>
    <row r="175" spans="1:107" s="92" customFormat="1" ht="39.950000000000003" customHeight="1" x14ac:dyDescent="0.25">
      <c r="A175"/>
      <c r="B175"/>
      <c r="C175"/>
      <c r="D175"/>
      <c r="E175"/>
      <c r="F175"/>
      <c r="G175"/>
      <c r="H175"/>
      <c r="I175" s="68"/>
      <c r="J175" s="71"/>
      <c r="K175"/>
      <c r="L175"/>
      <c r="M175"/>
      <c r="N175"/>
      <c r="O175"/>
      <c r="P175"/>
      <c r="Q175" s="121"/>
      <c r="R175"/>
      <c r="S175"/>
      <c r="T175" s="229"/>
      <c r="U175" s="229"/>
      <c r="V175" s="229"/>
      <c r="W175" s="229"/>
      <c r="X175" s="229"/>
      <c r="Y175" s="136"/>
      <c r="Z175" s="166"/>
      <c r="AA175" s="166"/>
      <c r="AB175" s="71"/>
      <c r="AC175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39"/>
      <c r="DB175" s="39"/>
      <c r="DC175" s="39"/>
    </row>
    <row r="176" spans="1:107" s="92" customFormat="1" ht="39.950000000000003" customHeight="1" x14ac:dyDescent="0.25">
      <c r="A176"/>
      <c r="B176"/>
      <c r="C176"/>
      <c r="D176"/>
      <c r="E176"/>
      <c r="F176"/>
      <c r="G176"/>
      <c r="H176"/>
      <c r="I176" s="68"/>
      <c r="J176" s="71"/>
      <c r="K176"/>
      <c r="L176"/>
      <c r="M176"/>
      <c r="N176"/>
      <c r="O176"/>
      <c r="P176"/>
      <c r="Q176" s="121"/>
      <c r="R176"/>
      <c r="S176"/>
      <c r="T176" s="229"/>
      <c r="U176" s="229"/>
      <c r="V176" s="229"/>
      <c r="W176" s="229"/>
      <c r="X176" s="229"/>
      <c r="Y176" s="136"/>
      <c r="Z176" s="166"/>
      <c r="AA176" s="166"/>
      <c r="AB176" s="71"/>
      <c r="AC176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39"/>
      <c r="DB176" s="39"/>
      <c r="DC176" s="39"/>
    </row>
    <row r="177" spans="1:107" s="92" customFormat="1" ht="39.950000000000003" customHeight="1" x14ac:dyDescent="0.25">
      <c r="A177"/>
      <c r="B177"/>
      <c r="C177"/>
      <c r="D177"/>
      <c r="E177"/>
      <c r="F177"/>
      <c r="G177"/>
      <c r="H177"/>
      <c r="I177" s="68"/>
      <c r="J177" s="71"/>
      <c r="K177"/>
      <c r="L177"/>
      <c r="M177"/>
      <c r="N177"/>
      <c r="O177"/>
      <c r="P177"/>
      <c r="Q177" s="121"/>
      <c r="R177"/>
      <c r="S177"/>
      <c r="T177" s="229"/>
      <c r="U177" s="229"/>
      <c r="V177" s="229"/>
      <c r="W177" s="229"/>
      <c r="X177" s="229"/>
      <c r="Y177" s="136"/>
      <c r="Z177" s="166"/>
      <c r="AA177" s="166"/>
      <c r="AB177" s="71"/>
      <c r="AC177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39"/>
      <c r="DB177" s="39"/>
      <c r="DC177" s="39"/>
    </row>
    <row r="178" spans="1:107" s="92" customFormat="1" ht="39.950000000000003" customHeight="1" x14ac:dyDescent="0.25">
      <c r="A178"/>
      <c r="B178"/>
      <c r="C178"/>
      <c r="D178"/>
      <c r="E178"/>
      <c r="F178"/>
      <c r="G178"/>
      <c r="H178"/>
      <c r="I178" s="68"/>
      <c r="J178" s="71"/>
      <c r="K178"/>
      <c r="L178"/>
      <c r="M178"/>
      <c r="N178"/>
      <c r="O178"/>
      <c r="P178"/>
      <c r="Q178" s="121"/>
      <c r="R178"/>
      <c r="S178"/>
      <c r="T178" s="229"/>
      <c r="U178" s="229"/>
      <c r="V178" s="229"/>
      <c r="W178" s="229"/>
      <c r="X178" s="229"/>
      <c r="Y178" s="136"/>
      <c r="Z178" s="166"/>
      <c r="AA178" s="166"/>
      <c r="AB178" s="71"/>
      <c r="AC178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39"/>
      <c r="DB178" s="39"/>
      <c r="DC178" s="39"/>
    </row>
    <row r="179" spans="1:107" s="92" customFormat="1" ht="39.950000000000003" customHeight="1" x14ac:dyDescent="0.25">
      <c r="A179"/>
      <c r="B179"/>
      <c r="C179"/>
      <c r="D179"/>
      <c r="E179"/>
      <c r="F179"/>
      <c r="G179"/>
      <c r="H179"/>
      <c r="I179" s="68"/>
      <c r="J179" s="71"/>
      <c r="K179"/>
      <c r="L179"/>
      <c r="M179"/>
      <c r="N179"/>
      <c r="O179"/>
      <c r="P179"/>
      <c r="Q179" s="121"/>
      <c r="R179"/>
      <c r="S179"/>
      <c r="T179" s="229"/>
      <c r="U179" s="229"/>
      <c r="V179" s="229"/>
      <c r="W179" s="229"/>
      <c r="X179" s="229"/>
      <c r="Y179" s="136"/>
      <c r="Z179" s="166"/>
      <c r="AA179" s="166"/>
      <c r="AB179" s="71"/>
      <c r="AC17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39"/>
      <c r="DB179" s="39"/>
      <c r="DC179" s="39"/>
    </row>
    <row r="180" spans="1:107" s="92" customFormat="1" ht="39.950000000000003" customHeight="1" x14ac:dyDescent="0.25">
      <c r="A180"/>
      <c r="B180"/>
      <c r="C180"/>
      <c r="D180"/>
      <c r="E180"/>
      <c r="F180"/>
      <c r="G180"/>
      <c r="H180"/>
      <c r="I180" s="68"/>
      <c r="J180" s="71"/>
      <c r="K180"/>
      <c r="L180"/>
      <c r="M180"/>
      <c r="N180"/>
      <c r="O180"/>
      <c r="P180"/>
      <c r="Q180" s="121"/>
      <c r="R180"/>
      <c r="S180"/>
      <c r="T180" s="229"/>
      <c r="U180" s="229"/>
      <c r="V180" s="229"/>
      <c r="W180" s="229"/>
      <c r="X180" s="229"/>
      <c r="Y180" s="136"/>
      <c r="Z180" s="166"/>
      <c r="AA180" s="166"/>
      <c r="AB180" s="71"/>
      <c r="AC180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39"/>
      <c r="DB180" s="39"/>
      <c r="DC180" s="39"/>
    </row>
    <row r="181" spans="1:107" s="92" customFormat="1" ht="39.950000000000003" customHeight="1" x14ac:dyDescent="0.25">
      <c r="A181"/>
      <c r="B181"/>
      <c r="C181"/>
      <c r="D181"/>
      <c r="E181"/>
      <c r="F181"/>
      <c r="G181"/>
      <c r="H181"/>
      <c r="I181" s="68"/>
      <c r="J181" s="71"/>
      <c r="K181"/>
      <c r="L181"/>
      <c r="M181"/>
      <c r="N181"/>
      <c r="O181"/>
      <c r="P181"/>
      <c r="Q181" s="121"/>
      <c r="R181"/>
      <c r="S181"/>
      <c r="T181" s="229"/>
      <c r="U181" s="229"/>
      <c r="V181" s="229"/>
      <c r="W181" s="229"/>
      <c r="X181" s="229"/>
      <c r="Y181" s="136"/>
      <c r="Z181" s="166"/>
      <c r="AA181" s="166"/>
      <c r="AB181" s="71"/>
      <c r="AC181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39"/>
      <c r="DB181" s="39"/>
      <c r="DC181" s="39"/>
    </row>
    <row r="182" spans="1:107" s="92" customFormat="1" ht="39.950000000000003" customHeight="1" x14ac:dyDescent="0.25">
      <c r="A182"/>
      <c r="B182"/>
      <c r="C182"/>
      <c r="D182"/>
      <c r="E182"/>
      <c r="F182"/>
      <c r="G182"/>
      <c r="H182"/>
      <c r="I182" s="68"/>
      <c r="J182" s="71"/>
      <c r="K182"/>
      <c r="L182"/>
      <c r="M182"/>
      <c r="N182"/>
      <c r="O182"/>
      <c r="P182"/>
      <c r="Q182" s="121"/>
      <c r="R182"/>
      <c r="S182"/>
      <c r="T182" s="229"/>
      <c r="U182" s="229"/>
      <c r="V182" s="229"/>
      <c r="W182" s="229"/>
      <c r="X182" s="229"/>
      <c r="Y182" s="136"/>
      <c r="Z182" s="166"/>
      <c r="AA182" s="166"/>
      <c r="AB182" s="71"/>
      <c r="AC182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39"/>
      <c r="DB182" s="39"/>
      <c r="DC182" s="39"/>
    </row>
    <row r="183" spans="1:107" s="92" customFormat="1" ht="39.950000000000003" customHeight="1" x14ac:dyDescent="0.25">
      <c r="A183"/>
      <c r="B183"/>
      <c r="C183"/>
      <c r="D183"/>
      <c r="E183"/>
      <c r="F183"/>
      <c r="G183"/>
      <c r="H183"/>
      <c r="I183" s="68"/>
      <c r="J183" s="71"/>
      <c r="K183"/>
      <c r="L183"/>
      <c r="M183"/>
      <c r="N183"/>
      <c r="O183"/>
      <c r="P183"/>
      <c r="Q183" s="121"/>
      <c r="R183"/>
      <c r="S183"/>
      <c r="T183" s="229"/>
      <c r="U183" s="229"/>
      <c r="V183" s="229"/>
      <c r="W183" s="229"/>
      <c r="X183" s="229"/>
      <c r="Y183" s="136"/>
      <c r="Z183" s="166"/>
      <c r="AA183" s="166"/>
      <c r="AB183" s="71"/>
      <c r="AC183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39"/>
      <c r="DB183" s="39"/>
      <c r="DC183" s="39"/>
    </row>
    <row r="184" spans="1:107" s="92" customFormat="1" ht="39.950000000000003" customHeight="1" x14ac:dyDescent="0.25">
      <c r="A184"/>
      <c r="B184"/>
      <c r="C184"/>
      <c r="D184"/>
      <c r="E184"/>
      <c r="F184"/>
      <c r="G184"/>
      <c r="H184"/>
      <c r="I184" s="68"/>
      <c r="J184" s="71"/>
      <c r="K184"/>
      <c r="L184"/>
      <c r="M184"/>
      <c r="N184"/>
      <c r="O184"/>
      <c r="P184"/>
      <c r="Q184" s="121"/>
      <c r="R184"/>
      <c r="S184"/>
      <c r="T184" s="229"/>
      <c r="U184" s="229"/>
      <c r="V184" s="229"/>
      <c r="W184" s="229"/>
      <c r="X184" s="229"/>
      <c r="Y184" s="136"/>
      <c r="Z184" s="166"/>
      <c r="AA184" s="166"/>
      <c r="AB184" s="71"/>
      <c r="AC184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39"/>
      <c r="DB184" s="39"/>
      <c r="DC184" s="39"/>
    </row>
    <row r="185" spans="1:107" s="92" customFormat="1" ht="39.950000000000003" customHeight="1" x14ac:dyDescent="0.25">
      <c r="A185"/>
      <c r="B185"/>
      <c r="C185"/>
      <c r="D185"/>
      <c r="E185"/>
      <c r="F185"/>
      <c r="G185"/>
      <c r="H185"/>
      <c r="I185" s="68"/>
      <c r="J185" s="71"/>
      <c r="K185"/>
      <c r="L185"/>
      <c r="M185"/>
      <c r="N185"/>
      <c r="O185"/>
      <c r="P185"/>
      <c r="Q185" s="121"/>
      <c r="R185"/>
      <c r="S185"/>
      <c r="T185" s="229"/>
      <c r="U185" s="229"/>
      <c r="V185" s="229"/>
      <c r="W185" s="229"/>
      <c r="X185" s="229"/>
      <c r="Y185" s="136"/>
      <c r="Z185" s="166"/>
      <c r="AA185" s="166"/>
      <c r="AB185" s="71"/>
      <c r="AC185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39"/>
      <c r="DB185" s="39"/>
      <c r="DC185" s="39"/>
    </row>
    <row r="186" spans="1:107" s="92" customFormat="1" ht="39.950000000000003" customHeight="1" x14ac:dyDescent="0.25">
      <c r="A186"/>
      <c r="B186"/>
      <c r="C186"/>
      <c r="D186"/>
      <c r="E186"/>
      <c r="F186"/>
      <c r="G186"/>
      <c r="H186"/>
      <c r="I186" s="68"/>
      <c r="J186" s="71"/>
      <c r="K186"/>
      <c r="L186"/>
      <c r="M186"/>
      <c r="N186"/>
      <c r="O186"/>
      <c r="P186"/>
      <c r="Q186" s="121"/>
      <c r="R186"/>
      <c r="S186"/>
      <c r="T186" s="229"/>
      <c r="U186" s="229"/>
      <c r="V186" s="229"/>
      <c r="W186" s="229"/>
      <c r="X186" s="229"/>
      <c r="Y186" s="136"/>
      <c r="Z186" s="166"/>
      <c r="AA186" s="166"/>
      <c r="AB186" s="71"/>
      <c r="AC186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39"/>
      <c r="DB186" s="39"/>
      <c r="DC186" s="39"/>
    </row>
    <row r="187" spans="1:107" s="92" customFormat="1" ht="39.950000000000003" customHeight="1" x14ac:dyDescent="0.25">
      <c r="A187"/>
      <c r="B187"/>
      <c r="C187"/>
      <c r="D187"/>
      <c r="E187"/>
      <c r="F187"/>
      <c r="G187"/>
      <c r="H187"/>
      <c r="I187" s="68"/>
      <c r="J187" s="71"/>
      <c r="K187"/>
      <c r="L187"/>
      <c r="M187"/>
      <c r="N187"/>
      <c r="O187"/>
      <c r="P187"/>
      <c r="Q187" s="121"/>
      <c r="R187"/>
      <c r="S187"/>
      <c r="T187" s="229"/>
      <c r="U187" s="229"/>
      <c r="V187" s="229"/>
      <c r="W187" s="229"/>
      <c r="X187" s="229"/>
      <c r="Y187" s="136"/>
      <c r="Z187" s="166"/>
      <c r="AA187" s="166"/>
      <c r="AB187" s="71"/>
      <c r="AC187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39"/>
      <c r="DB187" s="39"/>
      <c r="DC187" s="39"/>
    </row>
    <row r="188" spans="1:107" s="92" customFormat="1" ht="39.950000000000003" customHeight="1" x14ac:dyDescent="0.25">
      <c r="A188"/>
      <c r="B188"/>
      <c r="C188"/>
      <c r="D188"/>
      <c r="E188"/>
      <c r="F188"/>
      <c r="G188"/>
      <c r="H188"/>
      <c r="I188" s="68"/>
      <c r="J188" s="71"/>
      <c r="K188"/>
      <c r="L188"/>
      <c r="M188"/>
      <c r="N188"/>
      <c r="O188"/>
      <c r="P188"/>
      <c r="Q188" s="121"/>
      <c r="R188"/>
      <c r="S188"/>
      <c r="T188" s="229"/>
      <c r="U188" s="229"/>
      <c r="V188" s="229"/>
      <c r="W188" s="229"/>
      <c r="X188" s="229"/>
      <c r="Y188" s="136"/>
      <c r="Z188" s="166"/>
      <c r="AA188" s="166"/>
      <c r="AB188" s="71"/>
      <c r="AC188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39"/>
      <c r="DB188" s="39"/>
      <c r="DC188" s="39"/>
    </row>
    <row r="189" spans="1:107" s="92" customFormat="1" ht="39.950000000000003" customHeight="1" x14ac:dyDescent="0.25">
      <c r="A189"/>
      <c r="B189"/>
      <c r="C189"/>
      <c r="D189"/>
      <c r="E189"/>
      <c r="F189"/>
      <c r="G189"/>
      <c r="H189"/>
      <c r="I189" s="68"/>
      <c r="J189" s="71"/>
      <c r="K189"/>
      <c r="L189"/>
      <c r="M189"/>
      <c r="N189"/>
      <c r="O189"/>
      <c r="P189"/>
      <c r="Q189" s="121"/>
      <c r="R189"/>
      <c r="S189"/>
      <c r="T189" s="229"/>
      <c r="U189" s="229"/>
      <c r="V189" s="229"/>
      <c r="W189" s="229"/>
      <c r="X189" s="229"/>
      <c r="Y189" s="136"/>
      <c r="Z189" s="166"/>
      <c r="AA189" s="166"/>
      <c r="AB189" s="71"/>
      <c r="AC18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39"/>
      <c r="DB189" s="39"/>
      <c r="DC189" s="39"/>
    </row>
    <row r="190" spans="1:107" s="92" customFormat="1" ht="39.950000000000003" customHeight="1" x14ac:dyDescent="0.25">
      <c r="A190"/>
      <c r="B190"/>
      <c r="C190"/>
      <c r="D190"/>
      <c r="E190"/>
      <c r="F190"/>
      <c r="G190"/>
      <c r="H190"/>
      <c r="I190" s="68"/>
      <c r="J190" s="71"/>
      <c r="K190"/>
      <c r="L190"/>
      <c r="M190"/>
      <c r="N190"/>
      <c r="O190"/>
      <c r="P190"/>
      <c r="Q190" s="121"/>
      <c r="R190"/>
      <c r="S190"/>
      <c r="T190" s="229"/>
      <c r="U190" s="229"/>
      <c r="V190" s="229"/>
      <c r="W190" s="229"/>
      <c r="X190" s="229"/>
      <c r="Y190" s="136"/>
      <c r="Z190" s="166"/>
      <c r="AA190" s="166"/>
      <c r="AB190" s="71"/>
      <c r="AC190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39"/>
      <c r="DB190" s="39"/>
      <c r="DC190" s="39"/>
    </row>
    <row r="191" spans="1:107" s="92" customFormat="1" ht="39.950000000000003" customHeight="1" x14ac:dyDescent="0.25">
      <c r="A191"/>
      <c r="B191"/>
      <c r="C191"/>
      <c r="D191"/>
      <c r="E191"/>
      <c r="F191"/>
      <c r="G191"/>
      <c r="H191"/>
      <c r="I191" s="68"/>
      <c r="J191" s="71"/>
      <c r="K191"/>
      <c r="L191"/>
      <c r="M191"/>
      <c r="N191"/>
      <c r="O191"/>
      <c r="P191"/>
      <c r="Q191" s="121"/>
      <c r="R191"/>
      <c r="S191"/>
      <c r="T191" s="229"/>
      <c r="U191" s="229"/>
      <c r="V191" s="229"/>
      <c r="W191" s="229"/>
      <c r="X191" s="229"/>
      <c r="Y191" s="136"/>
      <c r="Z191" s="166"/>
      <c r="AA191" s="166"/>
      <c r="AB191" s="71"/>
      <c r="AC191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39"/>
      <c r="DB191" s="39"/>
      <c r="DC191" s="39"/>
    </row>
    <row r="192" spans="1:107" s="92" customFormat="1" ht="39.950000000000003" customHeight="1" x14ac:dyDescent="0.25">
      <c r="A192"/>
      <c r="B192"/>
      <c r="C192"/>
      <c r="D192"/>
      <c r="E192"/>
      <c r="F192"/>
      <c r="G192"/>
      <c r="H192"/>
      <c r="I192" s="68"/>
      <c r="J192" s="71"/>
      <c r="K192"/>
      <c r="L192"/>
      <c r="M192"/>
      <c r="N192"/>
      <c r="O192"/>
      <c r="P192"/>
      <c r="Q192" s="121"/>
      <c r="R192"/>
      <c r="S192"/>
      <c r="T192" s="229"/>
      <c r="U192" s="229"/>
      <c r="V192" s="229"/>
      <c r="W192" s="229"/>
      <c r="X192" s="229"/>
      <c r="Y192" s="136"/>
      <c r="Z192" s="166"/>
      <c r="AA192" s="166"/>
      <c r="AB192" s="71"/>
      <c r="AC192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39"/>
      <c r="DB192" s="39"/>
      <c r="DC192" s="39"/>
    </row>
    <row r="193" spans="1:107" s="92" customFormat="1" ht="39.950000000000003" customHeight="1" x14ac:dyDescent="0.25">
      <c r="A193"/>
      <c r="B193"/>
      <c r="C193"/>
      <c r="D193"/>
      <c r="E193"/>
      <c r="F193"/>
      <c r="G193"/>
      <c r="H193"/>
      <c r="I193" s="68"/>
      <c r="J193" s="71"/>
      <c r="K193"/>
      <c r="L193"/>
      <c r="M193"/>
      <c r="N193"/>
      <c r="O193"/>
      <c r="P193"/>
      <c r="Q193" s="121"/>
      <c r="R193"/>
      <c r="S193"/>
      <c r="T193" s="229"/>
      <c r="U193" s="229"/>
      <c r="V193" s="229"/>
      <c r="W193" s="229"/>
      <c r="X193" s="229"/>
      <c r="Y193" s="136"/>
      <c r="Z193" s="166"/>
      <c r="AA193" s="166"/>
      <c r="AB193" s="71"/>
      <c r="AC193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39"/>
      <c r="DB193" s="39"/>
      <c r="DC193" s="39"/>
    </row>
    <row r="194" spans="1:107" s="92" customFormat="1" ht="39.950000000000003" customHeight="1" x14ac:dyDescent="0.25">
      <c r="A194"/>
      <c r="B194"/>
      <c r="C194"/>
      <c r="D194"/>
      <c r="E194"/>
      <c r="F194"/>
      <c r="G194"/>
      <c r="H194"/>
      <c r="I194" s="68"/>
      <c r="J194" s="71"/>
      <c r="K194"/>
      <c r="L194"/>
      <c r="M194"/>
      <c r="N194"/>
      <c r="O194"/>
      <c r="P194"/>
      <c r="Q194" s="121"/>
      <c r="R194"/>
      <c r="S194"/>
      <c r="T194" s="229"/>
      <c r="U194" s="229"/>
      <c r="V194" s="229"/>
      <c r="W194" s="229"/>
      <c r="X194" s="229"/>
      <c r="Y194" s="136"/>
      <c r="Z194" s="166"/>
      <c r="AA194" s="166"/>
      <c r="AB194" s="71"/>
      <c r="AC194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39"/>
      <c r="DB194" s="39"/>
      <c r="DC194" s="39"/>
    </row>
    <row r="195" spans="1:107" s="92" customFormat="1" ht="39.950000000000003" customHeight="1" x14ac:dyDescent="0.25">
      <c r="A195"/>
      <c r="B195"/>
      <c r="C195"/>
      <c r="D195"/>
      <c r="E195"/>
      <c r="F195"/>
      <c r="G195"/>
      <c r="H195"/>
      <c r="I195" s="68"/>
      <c r="J195" s="71"/>
      <c r="K195"/>
      <c r="L195"/>
      <c r="M195"/>
      <c r="N195"/>
      <c r="O195"/>
      <c r="P195"/>
      <c r="Q195" s="121"/>
      <c r="R195"/>
      <c r="S195"/>
      <c r="T195" s="229"/>
      <c r="U195" s="229"/>
      <c r="V195" s="229"/>
      <c r="W195" s="229"/>
      <c r="X195" s="229"/>
      <c r="Y195" s="136"/>
      <c r="Z195" s="166"/>
      <c r="AA195" s="166"/>
      <c r="AB195" s="71"/>
      <c r="AC195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39"/>
      <c r="DB195" s="39"/>
      <c r="DC195" s="39"/>
    </row>
    <row r="196" spans="1:107" s="92" customFormat="1" ht="39.950000000000003" customHeight="1" x14ac:dyDescent="0.25">
      <c r="A196"/>
      <c r="B196"/>
      <c r="C196"/>
      <c r="D196"/>
      <c r="E196"/>
      <c r="F196"/>
      <c r="G196"/>
      <c r="H196"/>
      <c r="I196" s="68"/>
      <c r="J196" s="71"/>
      <c r="K196"/>
      <c r="L196"/>
      <c r="M196"/>
      <c r="N196"/>
      <c r="O196"/>
      <c r="P196"/>
      <c r="Q196" s="121"/>
      <c r="R196"/>
      <c r="S196"/>
      <c r="T196" s="229"/>
      <c r="U196" s="229"/>
      <c r="V196" s="229"/>
      <c r="W196" s="229"/>
      <c r="X196" s="229"/>
      <c r="Y196" s="136"/>
      <c r="Z196" s="166"/>
      <c r="AA196" s="166"/>
      <c r="AB196" s="71"/>
      <c r="AC196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39"/>
      <c r="DB196" s="39"/>
      <c r="DC196" s="39"/>
    </row>
    <row r="197" spans="1:107" s="92" customFormat="1" ht="39.950000000000003" customHeight="1" x14ac:dyDescent="0.25">
      <c r="A197"/>
      <c r="B197"/>
      <c r="C197"/>
      <c r="D197"/>
      <c r="E197"/>
      <c r="F197"/>
      <c r="G197"/>
      <c r="H197"/>
      <c r="I197" s="68"/>
      <c r="J197" s="71"/>
      <c r="K197"/>
      <c r="L197"/>
      <c r="M197"/>
      <c r="N197"/>
      <c r="O197"/>
      <c r="P197"/>
      <c r="Q197" s="121"/>
      <c r="R197"/>
      <c r="S197"/>
      <c r="T197" s="229"/>
      <c r="U197" s="229"/>
      <c r="V197" s="229"/>
      <c r="W197" s="229"/>
      <c r="X197" s="229"/>
      <c r="Y197" s="136"/>
      <c r="Z197" s="166"/>
      <c r="AA197" s="166"/>
      <c r="AB197" s="71"/>
      <c r="AC197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39"/>
      <c r="DB197" s="39"/>
      <c r="DC197" s="39"/>
    </row>
    <row r="198" spans="1:107" s="92" customFormat="1" ht="39.950000000000003" customHeight="1" x14ac:dyDescent="0.25">
      <c r="A198"/>
      <c r="B198"/>
      <c r="C198"/>
      <c r="D198"/>
      <c r="E198"/>
      <c r="F198"/>
      <c r="G198"/>
      <c r="H198"/>
      <c r="I198" s="68"/>
      <c r="J198" s="71"/>
      <c r="K198"/>
      <c r="L198"/>
      <c r="M198"/>
      <c r="N198"/>
      <c r="O198"/>
      <c r="P198"/>
      <c r="Q198" s="121"/>
      <c r="R198"/>
      <c r="S198"/>
      <c r="T198" s="229"/>
      <c r="U198" s="229"/>
      <c r="V198" s="229"/>
      <c r="W198" s="229"/>
      <c r="X198" s="229"/>
      <c r="Y198" s="136"/>
      <c r="Z198" s="166"/>
      <c r="AA198" s="166"/>
      <c r="AB198" s="71"/>
      <c r="AC198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39"/>
      <c r="DB198" s="39"/>
      <c r="DC198" s="39"/>
    </row>
    <row r="199" spans="1:107" s="92" customFormat="1" ht="39.950000000000003" customHeight="1" x14ac:dyDescent="0.25">
      <c r="A199"/>
      <c r="B199"/>
      <c r="C199"/>
      <c r="D199"/>
      <c r="E199"/>
      <c r="F199"/>
      <c r="G199"/>
      <c r="H199"/>
      <c r="I199" s="68"/>
      <c r="J199" s="71"/>
      <c r="K199"/>
      <c r="L199"/>
      <c r="M199"/>
      <c r="N199"/>
      <c r="O199"/>
      <c r="P199"/>
      <c r="Q199" s="121"/>
      <c r="R199"/>
      <c r="S199"/>
      <c r="T199" s="229"/>
      <c r="U199" s="229"/>
      <c r="V199" s="229"/>
      <c r="W199" s="229"/>
      <c r="X199" s="229"/>
      <c r="Y199" s="136"/>
      <c r="Z199" s="166"/>
      <c r="AA199" s="166"/>
      <c r="AB199" s="71"/>
      <c r="AC19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39"/>
      <c r="DB199" s="39"/>
      <c r="DC199" s="39"/>
    </row>
    <row r="200" spans="1:107" s="92" customFormat="1" ht="39.950000000000003" customHeight="1" x14ac:dyDescent="0.25">
      <c r="A200"/>
      <c r="B200"/>
      <c r="C200"/>
      <c r="D200"/>
      <c r="E200"/>
      <c r="F200"/>
      <c r="G200"/>
      <c r="H200"/>
      <c r="I200" s="68"/>
      <c r="J200" s="71"/>
      <c r="K200"/>
      <c r="L200"/>
      <c r="M200"/>
      <c r="N200"/>
      <c r="O200"/>
      <c r="P200"/>
      <c r="Q200" s="121"/>
      <c r="R200"/>
      <c r="S200"/>
      <c r="T200" s="229"/>
      <c r="U200" s="229"/>
      <c r="V200" s="229"/>
      <c r="W200" s="229"/>
      <c r="X200" s="229"/>
      <c r="Y200" s="136"/>
      <c r="Z200" s="166"/>
      <c r="AA200" s="166"/>
      <c r="AB200" s="71"/>
      <c r="AC200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39"/>
      <c r="DB200" s="39"/>
      <c r="DC200" s="39"/>
    </row>
    <row r="201" spans="1:107" s="92" customFormat="1" ht="39.950000000000003" customHeight="1" x14ac:dyDescent="0.25">
      <c r="A201"/>
      <c r="B201"/>
      <c r="C201"/>
      <c r="D201"/>
      <c r="E201"/>
      <c r="F201"/>
      <c r="G201"/>
      <c r="H201"/>
      <c r="I201" s="68"/>
      <c r="J201" s="71"/>
      <c r="K201"/>
      <c r="L201"/>
      <c r="M201"/>
      <c r="N201"/>
      <c r="O201"/>
      <c r="P201"/>
      <c r="Q201" s="121"/>
      <c r="R201"/>
      <c r="S201"/>
      <c r="T201" s="229"/>
      <c r="U201" s="229"/>
      <c r="V201" s="229"/>
      <c r="W201" s="229"/>
      <c r="X201" s="229"/>
      <c r="Y201" s="136"/>
      <c r="Z201" s="166"/>
      <c r="AA201" s="166"/>
      <c r="AB201" s="71"/>
      <c r="AC201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</row>
    <row r="202" spans="1:107" s="92" customFormat="1" ht="39.950000000000003" customHeight="1" x14ac:dyDescent="0.25">
      <c r="A202"/>
      <c r="B202"/>
      <c r="C202"/>
      <c r="D202"/>
      <c r="E202"/>
      <c r="F202"/>
      <c r="G202"/>
      <c r="H202"/>
      <c r="I202" s="68"/>
      <c r="J202" s="71"/>
      <c r="K202"/>
      <c r="L202"/>
      <c r="M202"/>
      <c r="N202"/>
      <c r="O202"/>
      <c r="P202"/>
      <c r="Q202" s="121"/>
      <c r="R202"/>
      <c r="S202"/>
      <c r="T202" s="229"/>
      <c r="U202" s="229"/>
      <c r="V202" s="229"/>
      <c r="W202" s="229"/>
      <c r="X202" s="229"/>
      <c r="Y202" s="136"/>
      <c r="Z202" s="166"/>
      <c r="AA202" s="166"/>
      <c r="AB202" s="71"/>
      <c r="AC202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</row>
    <row r="203" spans="1:107" s="92" customFormat="1" ht="39.950000000000003" customHeight="1" x14ac:dyDescent="0.25">
      <c r="A203"/>
      <c r="B203"/>
      <c r="C203"/>
      <c r="D203"/>
      <c r="E203"/>
      <c r="F203"/>
      <c r="G203"/>
      <c r="H203"/>
      <c r="I203" s="68"/>
      <c r="J203" s="71"/>
      <c r="K203"/>
      <c r="L203"/>
      <c r="M203"/>
      <c r="N203"/>
      <c r="O203"/>
      <c r="P203"/>
      <c r="Q203" s="121"/>
      <c r="R203"/>
      <c r="S203"/>
      <c r="T203" s="229"/>
      <c r="U203" s="229"/>
      <c r="V203" s="229"/>
      <c r="W203" s="229"/>
      <c r="X203" s="229"/>
      <c r="Y203" s="136"/>
      <c r="Z203" s="166"/>
      <c r="AA203" s="166"/>
      <c r="AB203" s="71"/>
      <c r="AC203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</row>
    <row r="204" spans="1:107" s="92" customFormat="1" ht="39.950000000000003" customHeight="1" x14ac:dyDescent="0.25">
      <c r="A204"/>
      <c r="B204"/>
      <c r="C204"/>
      <c r="D204"/>
      <c r="E204"/>
      <c r="F204"/>
      <c r="G204"/>
      <c r="H204"/>
      <c r="I204" s="68"/>
      <c r="J204" s="71"/>
      <c r="K204"/>
      <c r="L204"/>
      <c r="M204"/>
      <c r="N204"/>
      <c r="O204"/>
      <c r="P204"/>
      <c r="Q204" s="121"/>
      <c r="R204"/>
      <c r="S204"/>
      <c r="T204" s="229"/>
      <c r="U204" s="229"/>
      <c r="V204" s="229"/>
      <c r="W204" s="229"/>
      <c r="X204" s="229"/>
      <c r="Y204" s="136"/>
      <c r="Z204" s="166"/>
      <c r="AA204" s="166"/>
      <c r="AB204" s="71"/>
      <c r="AC204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</row>
    <row r="205" spans="1:107" s="92" customFormat="1" ht="39.950000000000003" customHeight="1" x14ac:dyDescent="0.25">
      <c r="A205"/>
      <c r="B205"/>
      <c r="C205"/>
      <c r="D205"/>
      <c r="E205"/>
      <c r="F205"/>
      <c r="G205"/>
      <c r="H205"/>
      <c r="I205" s="68"/>
      <c r="J205" s="71"/>
      <c r="K205"/>
      <c r="L205"/>
      <c r="M205"/>
      <c r="N205"/>
      <c r="O205"/>
      <c r="P205"/>
      <c r="Q205" s="121"/>
      <c r="R205"/>
      <c r="S205"/>
      <c r="T205" s="229"/>
      <c r="U205" s="229"/>
      <c r="V205" s="229"/>
      <c r="W205" s="229"/>
      <c r="X205" s="229"/>
      <c r="Y205" s="136"/>
      <c r="Z205" s="166"/>
      <c r="AA205" s="166"/>
      <c r="AB205" s="71"/>
      <c r="AC205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</row>
    <row r="206" spans="1:107" s="92" customFormat="1" ht="39.950000000000003" customHeight="1" x14ac:dyDescent="0.25">
      <c r="A206"/>
      <c r="B206"/>
      <c r="C206"/>
      <c r="D206"/>
      <c r="E206"/>
      <c r="F206"/>
      <c r="G206"/>
      <c r="H206"/>
      <c r="I206" s="68"/>
      <c r="J206" s="71"/>
      <c r="K206"/>
      <c r="L206"/>
      <c r="M206"/>
      <c r="N206"/>
      <c r="O206"/>
      <c r="P206"/>
      <c r="Q206" s="121"/>
      <c r="R206"/>
      <c r="S206"/>
      <c r="T206" s="229"/>
      <c r="U206" s="229"/>
      <c r="V206" s="229"/>
      <c r="W206" s="229"/>
      <c r="X206" s="229"/>
      <c r="Y206" s="136"/>
      <c r="Z206" s="166"/>
      <c r="AA206" s="166"/>
      <c r="AB206" s="71"/>
      <c r="AC206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</row>
    <row r="207" spans="1:107" s="92" customFormat="1" ht="39.950000000000003" customHeight="1" x14ac:dyDescent="0.25">
      <c r="A207"/>
      <c r="B207"/>
      <c r="C207"/>
      <c r="D207"/>
      <c r="E207"/>
      <c r="F207"/>
      <c r="G207"/>
      <c r="H207"/>
      <c r="I207" s="68"/>
      <c r="J207" s="71"/>
      <c r="K207"/>
      <c r="L207"/>
      <c r="M207"/>
      <c r="N207"/>
      <c r="O207"/>
      <c r="P207"/>
      <c r="Q207" s="121"/>
      <c r="R207"/>
      <c r="S207"/>
      <c r="T207" s="229"/>
      <c r="U207" s="229"/>
      <c r="V207" s="229"/>
      <c r="W207" s="229"/>
      <c r="X207" s="229"/>
      <c r="Y207" s="136"/>
      <c r="Z207" s="166"/>
      <c r="AA207" s="166"/>
      <c r="AB207" s="71"/>
      <c r="AC207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</row>
    <row r="208" spans="1:107" s="92" customFormat="1" ht="39.950000000000003" customHeight="1" x14ac:dyDescent="0.25">
      <c r="A208"/>
      <c r="B208"/>
      <c r="C208"/>
      <c r="D208"/>
      <c r="E208"/>
      <c r="F208"/>
      <c r="G208"/>
      <c r="H208"/>
      <c r="I208" s="68"/>
      <c r="J208" s="71"/>
      <c r="K208"/>
      <c r="L208"/>
      <c r="M208"/>
      <c r="N208"/>
      <c r="O208"/>
      <c r="P208"/>
      <c r="Q208" s="121"/>
      <c r="R208"/>
      <c r="S208"/>
      <c r="T208" s="229"/>
      <c r="U208" s="229"/>
      <c r="V208" s="229"/>
      <c r="W208" s="229"/>
      <c r="X208" s="229"/>
      <c r="Y208" s="136"/>
      <c r="Z208" s="166"/>
      <c r="AA208" s="166"/>
      <c r="AB208" s="71"/>
      <c r="AC208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</row>
    <row r="209" spans="1:107" s="92" customFormat="1" ht="39.950000000000003" customHeight="1" x14ac:dyDescent="0.25">
      <c r="A209"/>
      <c r="B209"/>
      <c r="C209"/>
      <c r="D209"/>
      <c r="E209"/>
      <c r="F209"/>
      <c r="G209"/>
      <c r="H209"/>
      <c r="I209" s="68"/>
      <c r="J209" s="71"/>
      <c r="K209"/>
      <c r="L209"/>
      <c r="M209"/>
      <c r="N209"/>
      <c r="O209"/>
      <c r="P209"/>
      <c r="Q209" s="121"/>
      <c r="R209"/>
      <c r="S209"/>
      <c r="T209" s="229"/>
      <c r="U209" s="229"/>
      <c r="V209" s="229"/>
      <c r="W209" s="229"/>
      <c r="X209" s="229"/>
      <c r="Y209" s="136"/>
      <c r="Z209" s="166"/>
      <c r="AA209" s="166"/>
      <c r="AB209" s="71"/>
      <c r="AC20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</row>
    <row r="210" spans="1:107" s="92" customFormat="1" ht="39.950000000000003" customHeight="1" x14ac:dyDescent="0.25">
      <c r="A210"/>
      <c r="B210"/>
      <c r="C210"/>
      <c r="D210"/>
      <c r="E210"/>
      <c r="F210"/>
      <c r="G210"/>
      <c r="H210"/>
      <c r="I210" s="68"/>
      <c r="J210" s="71"/>
      <c r="K210"/>
      <c r="L210"/>
      <c r="M210"/>
      <c r="N210"/>
      <c r="O210"/>
      <c r="P210"/>
      <c r="Q210" s="121"/>
      <c r="R210"/>
      <c r="S210"/>
      <c r="T210" s="229"/>
      <c r="U210" s="229"/>
      <c r="V210" s="229"/>
      <c r="W210" s="229"/>
      <c r="X210" s="229"/>
      <c r="Y210" s="136"/>
      <c r="Z210" s="166"/>
      <c r="AA210" s="166"/>
      <c r="AB210" s="71"/>
      <c r="AC210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</row>
    <row r="211" spans="1:107" s="92" customFormat="1" ht="39.950000000000003" customHeight="1" x14ac:dyDescent="0.25">
      <c r="A211"/>
      <c r="B211"/>
      <c r="C211"/>
      <c r="D211"/>
      <c r="E211"/>
      <c r="F211"/>
      <c r="G211"/>
      <c r="H211"/>
      <c r="I211" s="68"/>
      <c r="J211" s="71"/>
      <c r="K211"/>
      <c r="L211"/>
      <c r="M211"/>
      <c r="N211"/>
      <c r="O211"/>
      <c r="P211"/>
      <c r="Q211" s="121"/>
      <c r="R211"/>
      <c r="S211"/>
      <c r="T211" s="229"/>
      <c r="U211" s="229"/>
      <c r="V211" s="229"/>
      <c r="W211" s="229"/>
      <c r="X211" s="229"/>
      <c r="Y211" s="136"/>
      <c r="Z211" s="166"/>
      <c r="AA211" s="166"/>
      <c r="AB211" s="71"/>
      <c r="AC211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</row>
    <row r="212" spans="1:107" s="92" customFormat="1" ht="39.950000000000003" customHeight="1" x14ac:dyDescent="0.25">
      <c r="A212"/>
      <c r="B212"/>
      <c r="C212"/>
      <c r="D212"/>
      <c r="E212"/>
      <c r="F212"/>
      <c r="G212"/>
      <c r="H212"/>
      <c r="I212" s="68"/>
      <c r="J212" s="71"/>
      <c r="K212"/>
      <c r="L212"/>
      <c r="M212"/>
      <c r="N212"/>
      <c r="O212"/>
      <c r="P212"/>
      <c r="Q212" s="121"/>
      <c r="R212"/>
      <c r="S212"/>
      <c r="T212" s="229"/>
      <c r="U212" s="229"/>
      <c r="V212" s="229"/>
      <c r="W212" s="229"/>
      <c r="X212" s="229"/>
      <c r="Y212" s="136"/>
      <c r="Z212" s="166"/>
      <c r="AA212" s="166"/>
      <c r="AB212" s="71"/>
      <c r="AC212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</row>
    <row r="213" spans="1:107" s="92" customFormat="1" ht="39.950000000000003" customHeight="1" x14ac:dyDescent="0.25">
      <c r="A213"/>
      <c r="B213"/>
      <c r="C213"/>
      <c r="D213"/>
      <c r="E213"/>
      <c r="F213"/>
      <c r="G213"/>
      <c r="H213"/>
      <c r="I213" s="68"/>
      <c r="J213" s="71"/>
      <c r="K213"/>
      <c r="L213"/>
      <c r="M213"/>
      <c r="N213"/>
      <c r="O213"/>
      <c r="P213"/>
      <c r="Q213" s="121"/>
      <c r="R213"/>
      <c r="S213"/>
      <c r="T213" s="229"/>
      <c r="U213" s="229"/>
      <c r="V213" s="229"/>
      <c r="W213" s="229"/>
      <c r="X213" s="229"/>
      <c r="Y213" s="136"/>
      <c r="Z213" s="166"/>
      <c r="AA213" s="166"/>
      <c r="AB213" s="71"/>
      <c r="AC213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</row>
    <row r="214" spans="1:107" s="92" customFormat="1" ht="39.950000000000003" customHeight="1" x14ac:dyDescent="0.25">
      <c r="A214"/>
      <c r="B214"/>
      <c r="C214"/>
      <c r="D214"/>
      <c r="E214"/>
      <c r="F214"/>
      <c r="G214"/>
      <c r="H214"/>
      <c r="I214" s="68"/>
      <c r="J214" s="71"/>
      <c r="K214"/>
      <c r="L214"/>
      <c r="M214"/>
      <c r="N214"/>
      <c r="O214"/>
      <c r="P214"/>
      <c r="Q214" s="121"/>
      <c r="R214"/>
      <c r="S214"/>
      <c r="T214" s="229"/>
      <c r="U214" s="229"/>
      <c r="V214" s="229"/>
      <c r="W214" s="229"/>
      <c r="X214" s="229"/>
      <c r="Y214" s="136"/>
      <c r="Z214" s="166"/>
      <c r="AA214" s="166"/>
      <c r="AB214" s="71"/>
      <c r="AC214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</row>
    <row r="215" spans="1:107" s="92" customFormat="1" ht="39.950000000000003" customHeight="1" x14ac:dyDescent="0.25">
      <c r="A215"/>
      <c r="B215"/>
      <c r="C215"/>
      <c r="D215"/>
      <c r="E215"/>
      <c r="F215"/>
      <c r="G215"/>
      <c r="H215"/>
      <c r="I215" s="68"/>
      <c r="J215" s="71"/>
      <c r="K215"/>
      <c r="L215"/>
      <c r="M215"/>
      <c r="N215"/>
      <c r="O215"/>
      <c r="P215"/>
      <c r="Q215" s="121"/>
      <c r="R215"/>
      <c r="S215"/>
      <c r="T215" s="229"/>
      <c r="U215" s="229"/>
      <c r="V215" s="229"/>
      <c r="W215" s="229"/>
      <c r="X215" s="229"/>
      <c r="Y215" s="136"/>
      <c r="Z215" s="166"/>
      <c r="AA215" s="166"/>
      <c r="AB215" s="71"/>
      <c r="AC215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</row>
    <row r="216" spans="1:107" s="92" customFormat="1" ht="39.950000000000003" customHeight="1" x14ac:dyDescent="0.25">
      <c r="A216"/>
      <c r="B216"/>
      <c r="C216"/>
      <c r="D216"/>
      <c r="E216"/>
      <c r="F216"/>
      <c r="G216"/>
      <c r="H216"/>
      <c r="I216" s="68"/>
      <c r="J216" s="71"/>
      <c r="K216"/>
      <c r="L216"/>
      <c r="M216"/>
      <c r="N216"/>
      <c r="O216"/>
      <c r="P216"/>
      <c r="Q216" s="121"/>
      <c r="R216"/>
      <c r="S216"/>
      <c r="T216" s="229"/>
      <c r="U216" s="229"/>
      <c r="V216" s="229"/>
      <c r="W216" s="229"/>
      <c r="X216" s="229"/>
      <c r="Y216" s="136"/>
      <c r="Z216" s="166"/>
      <c r="AA216" s="166"/>
      <c r="AB216" s="71"/>
      <c r="AC216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</row>
    <row r="217" spans="1:107" s="92" customFormat="1" ht="39.950000000000003" customHeight="1" x14ac:dyDescent="0.25">
      <c r="A217"/>
      <c r="B217"/>
      <c r="C217"/>
      <c r="D217"/>
      <c r="E217"/>
      <c r="F217"/>
      <c r="G217"/>
      <c r="H217"/>
      <c r="I217" s="68"/>
      <c r="J217" s="71"/>
      <c r="K217"/>
      <c r="L217"/>
      <c r="M217"/>
      <c r="N217"/>
      <c r="O217"/>
      <c r="P217"/>
      <c r="Q217" s="121"/>
      <c r="R217"/>
      <c r="S217"/>
      <c r="T217" s="229"/>
      <c r="U217" s="229"/>
      <c r="V217" s="229"/>
      <c r="W217" s="229"/>
      <c r="X217" s="229"/>
      <c r="Y217" s="136"/>
      <c r="Z217" s="166"/>
      <c r="AA217" s="166"/>
      <c r="AB217" s="71"/>
      <c r="AC217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</row>
    <row r="218" spans="1:107" s="92" customFormat="1" ht="39.950000000000003" customHeight="1" x14ac:dyDescent="0.25">
      <c r="A218"/>
      <c r="B218"/>
      <c r="C218"/>
      <c r="D218"/>
      <c r="E218"/>
      <c r="F218"/>
      <c r="G218"/>
      <c r="H218"/>
      <c r="I218" s="68"/>
      <c r="J218" s="71"/>
      <c r="K218"/>
      <c r="L218"/>
      <c r="M218"/>
      <c r="N218"/>
      <c r="O218"/>
      <c r="P218"/>
      <c r="Q218" s="121"/>
      <c r="R218"/>
      <c r="S218"/>
      <c r="T218" s="229"/>
      <c r="U218" s="229"/>
      <c r="V218" s="229"/>
      <c r="W218" s="229"/>
      <c r="X218" s="229"/>
      <c r="Y218" s="136"/>
      <c r="Z218" s="166"/>
      <c r="AA218" s="166"/>
      <c r="AB218" s="71"/>
      <c r="AC218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</row>
    <row r="219" spans="1:107" s="92" customFormat="1" ht="39.950000000000003" customHeight="1" x14ac:dyDescent="0.25">
      <c r="A219"/>
      <c r="B219"/>
      <c r="C219"/>
      <c r="D219"/>
      <c r="E219"/>
      <c r="F219"/>
      <c r="G219"/>
      <c r="H219"/>
      <c r="I219" s="68"/>
      <c r="J219" s="71"/>
      <c r="K219"/>
      <c r="L219"/>
      <c r="M219"/>
      <c r="N219"/>
      <c r="O219"/>
      <c r="P219"/>
      <c r="Q219" s="121"/>
      <c r="R219"/>
      <c r="S219"/>
      <c r="T219" s="229"/>
      <c r="U219" s="229"/>
      <c r="V219" s="229"/>
      <c r="W219" s="229"/>
      <c r="X219" s="229"/>
      <c r="Y219" s="136"/>
      <c r="Z219" s="166"/>
      <c r="AA219" s="166"/>
      <c r="AB219" s="71"/>
      <c r="AC21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</row>
    <row r="220" spans="1:107" s="92" customFormat="1" ht="39.950000000000003" customHeight="1" x14ac:dyDescent="0.25">
      <c r="A220"/>
      <c r="B220"/>
      <c r="C220"/>
      <c r="D220"/>
      <c r="E220"/>
      <c r="F220"/>
      <c r="G220"/>
      <c r="H220"/>
      <c r="I220" s="68"/>
      <c r="J220" s="71"/>
      <c r="K220"/>
      <c r="L220"/>
      <c r="M220"/>
      <c r="N220"/>
      <c r="O220"/>
      <c r="P220"/>
      <c r="Q220" s="121"/>
      <c r="R220"/>
      <c r="S220"/>
      <c r="T220" s="229"/>
      <c r="U220" s="229"/>
      <c r="V220" s="229"/>
      <c r="W220" s="229"/>
      <c r="X220" s="229"/>
      <c r="Y220" s="136"/>
      <c r="Z220" s="166"/>
      <c r="AA220" s="166"/>
      <c r="AB220" s="71"/>
      <c r="AC220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</row>
    <row r="221" spans="1:107" s="92" customFormat="1" ht="39.950000000000003" customHeight="1" x14ac:dyDescent="0.25">
      <c r="A221"/>
      <c r="B221"/>
      <c r="C221"/>
      <c r="D221"/>
      <c r="E221"/>
      <c r="F221"/>
      <c r="G221"/>
      <c r="H221"/>
      <c r="I221" s="68"/>
      <c r="J221" s="71"/>
      <c r="K221"/>
      <c r="L221"/>
      <c r="M221"/>
      <c r="N221"/>
      <c r="O221"/>
      <c r="P221"/>
      <c r="Q221" s="121"/>
      <c r="R221"/>
      <c r="S221"/>
      <c r="T221" s="229"/>
      <c r="U221" s="229"/>
      <c r="V221" s="229"/>
      <c r="W221" s="229"/>
      <c r="X221" s="229"/>
      <c r="Y221" s="136"/>
      <c r="Z221" s="166"/>
      <c r="AA221" s="166"/>
      <c r="AB221" s="71"/>
      <c r="AC221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</row>
    <row r="222" spans="1:107" s="92" customFormat="1" ht="39.950000000000003" customHeight="1" x14ac:dyDescent="0.25">
      <c r="A222"/>
      <c r="B222"/>
      <c r="C222"/>
      <c r="D222"/>
      <c r="E222"/>
      <c r="F222"/>
      <c r="G222"/>
      <c r="H222"/>
      <c r="I222" s="68"/>
      <c r="J222" s="71"/>
      <c r="K222"/>
      <c r="L222"/>
      <c r="M222"/>
      <c r="N222"/>
      <c r="O222"/>
      <c r="P222"/>
      <c r="Q222" s="121"/>
      <c r="R222"/>
      <c r="S222"/>
      <c r="T222" s="229"/>
      <c r="U222" s="229"/>
      <c r="V222" s="229"/>
      <c r="W222" s="229"/>
      <c r="X222" s="229"/>
      <c r="Y222" s="136"/>
      <c r="Z222" s="166"/>
      <c r="AA222" s="166"/>
      <c r="AB222" s="71"/>
      <c r="AC222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</row>
    <row r="223" spans="1:107" s="92" customFormat="1" ht="39.950000000000003" customHeight="1" x14ac:dyDescent="0.25">
      <c r="A223"/>
      <c r="B223"/>
      <c r="C223"/>
      <c r="D223"/>
      <c r="E223"/>
      <c r="F223"/>
      <c r="G223"/>
      <c r="H223"/>
      <c r="I223" s="68"/>
      <c r="J223" s="71"/>
      <c r="K223"/>
      <c r="L223"/>
      <c r="M223"/>
      <c r="N223"/>
      <c r="O223"/>
      <c r="P223"/>
      <c r="Q223" s="121"/>
      <c r="R223"/>
      <c r="S223"/>
      <c r="T223" s="229"/>
      <c r="U223" s="229"/>
      <c r="V223" s="229"/>
      <c r="W223" s="229"/>
      <c r="X223" s="229"/>
      <c r="Y223" s="136"/>
      <c r="Z223" s="166"/>
      <c r="AA223" s="166"/>
      <c r="AB223" s="71"/>
      <c r="AC223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</row>
    <row r="224" spans="1:107" s="92" customFormat="1" ht="39.950000000000003" customHeight="1" x14ac:dyDescent="0.25">
      <c r="A224"/>
      <c r="B224"/>
      <c r="C224"/>
      <c r="D224"/>
      <c r="E224"/>
      <c r="F224"/>
      <c r="G224"/>
      <c r="H224"/>
      <c r="I224" s="68"/>
      <c r="J224" s="71"/>
      <c r="K224"/>
      <c r="L224"/>
      <c r="M224"/>
      <c r="N224"/>
      <c r="O224"/>
      <c r="P224"/>
      <c r="Q224" s="121"/>
      <c r="R224"/>
      <c r="S224"/>
      <c r="T224" s="229"/>
      <c r="U224" s="229"/>
      <c r="V224" s="229"/>
      <c r="W224" s="229"/>
      <c r="X224" s="229"/>
      <c r="Y224" s="136"/>
      <c r="Z224" s="166"/>
      <c r="AA224" s="166"/>
      <c r="AB224" s="71"/>
      <c r="AC224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</row>
    <row r="225" spans="1:107" s="92" customFormat="1" ht="39.950000000000003" customHeight="1" x14ac:dyDescent="0.25">
      <c r="A225"/>
      <c r="B225"/>
      <c r="C225"/>
      <c r="D225"/>
      <c r="E225"/>
      <c r="F225"/>
      <c r="G225"/>
      <c r="H225"/>
      <c r="I225" s="68"/>
      <c r="J225" s="71"/>
      <c r="K225"/>
      <c r="L225"/>
      <c r="M225"/>
      <c r="N225"/>
      <c r="O225"/>
      <c r="P225"/>
      <c r="Q225" s="121"/>
      <c r="R225"/>
      <c r="S225"/>
      <c r="T225" s="229"/>
      <c r="U225" s="229"/>
      <c r="V225" s="229"/>
      <c r="W225" s="229"/>
      <c r="X225" s="229"/>
      <c r="Y225" s="136"/>
      <c r="Z225" s="166"/>
      <c r="AA225" s="166"/>
      <c r="AB225" s="71"/>
      <c r="AC225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</row>
    <row r="226" spans="1:107" s="92" customFormat="1" ht="39.950000000000003" customHeight="1" x14ac:dyDescent="0.25">
      <c r="A226"/>
      <c r="B226"/>
      <c r="C226"/>
      <c r="D226"/>
      <c r="E226"/>
      <c r="F226"/>
      <c r="G226"/>
      <c r="H226"/>
      <c r="I226" s="68"/>
      <c r="J226" s="71"/>
      <c r="K226"/>
      <c r="L226"/>
      <c r="M226"/>
      <c r="N226"/>
      <c r="O226"/>
      <c r="P226"/>
      <c r="Q226" s="121"/>
      <c r="R226"/>
      <c r="S226"/>
      <c r="T226" s="229"/>
      <c r="U226" s="229"/>
      <c r="V226" s="229"/>
      <c r="W226" s="229"/>
      <c r="X226" s="229"/>
      <c r="Y226" s="136"/>
      <c r="Z226" s="166"/>
      <c r="AA226" s="166"/>
      <c r="AB226" s="71"/>
      <c r="AC226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</row>
    <row r="227" spans="1:107" s="92" customFormat="1" ht="39.950000000000003" customHeight="1" x14ac:dyDescent="0.25">
      <c r="A227"/>
      <c r="B227"/>
      <c r="C227"/>
      <c r="D227"/>
      <c r="E227"/>
      <c r="F227"/>
      <c r="G227"/>
      <c r="H227"/>
      <c r="I227" s="68"/>
      <c r="J227" s="71"/>
      <c r="K227"/>
      <c r="L227"/>
      <c r="M227"/>
      <c r="N227"/>
      <c r="O227"/>
      <c r="P227"/>
      <c r="Q227" s="121"/>
      <c r="R227"/>
      <c r="S227"/>
      <c r="T227" s="229"/>
      <c r="U227" s="229"/>
      <c r="V227" s="229"/>
      <c r="W227" s="229"/>
      <c r="X227" s="229"/>
      <c r="Y227" s="136"/>
      <c r="Z227" s="166"/>
      <c r="AA227" s="166"/>
      <c r="AB227" s="71"/>
      <c r="AC227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</row>
    <row r="228" spans="1:107" s="92" customFormat="1" ht="39.950000000000003" customHeight="1" x14ac:dyDescent="0.25">
      <c r="A228"/>
      <c r="B228"/>
      <c r="C228"/>
      <c r="D228"/>
      <c r="E228"/>
      <c r="F228"/>
      <c r="G228"/>
      <c r="H228"/>
      <c r="I228" s="68"/>
      <c r="J228" s="71"/>
      <c r="K228"/>
      <c r="L228"/>
      <c r="M228"/>
      <c r="N228"/>
      <c r="O228"/>
      <c r="P228"/>
      <c r="Q228" s="121"/>
      <c r="R228"/>
      <c r="S228"/>
      <c r="T228" s="229"/>
      <c r="U228" s="229"/>
      <c r="V228" s="229"/>
      <c r="W228" s="229"/>
      <c r="X228" s="229"/>
      <c r="Y228" s="136"/>
      <c r="Z228" s="166"/>
      <c r="AA228" s="166"/>
      <c r="AB228" s="71"/>
      <c r="AC228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</row>
    <row r="229" spans="1:107" s="92" customFormat="1" ht="39.950000000000003" customHeight="1" x14ac:dyDescent="0.25">
      <c r="A229"/>
      <c r="B229"/>
      <c r="C229"/>
      <c r="D229"/>
      <c r="E229"/>
      <c r="F229"/>
      <c r="G229"/>
      <c r="H229"/>
      <c r="I229" s="68"/>
      <c r="J229" s="71"/>
      <c r="K229"/>
      <c r="L229"/>
      <c r="M229"/>
      <c r="N229"/>
      <c r="O229"/>
      <c r="P229"/>
      <c r="Q229" s="121"/>
      <c r="R229"/>
      <c r="S229"/>
      <c r="T229" s="229"/>
      <c r="U229" s="229"/>
      <c r="V229" s="229"/>
      <c r="W229" s="229"/>
      <c r="X229" s="229"/>
      <c r="Y229" s="136"/>
      <c r="Z229" s="166"/>
      <c r="AA229" s="166"/>
      <c r="AB229" s="71"/>
      <c r="AC22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</row>
    <row r="230" spans="1:107" s="92" customFormat="1" ht="39.950000000000003" customHeight="1" x14ac:dyDescent="0.25">
      <c r="A230"/>
      <c r="B230"/>
      <c r="C230"/>
      <c r="D230"/>
      <c r="E230"/>
      <c r="F230"/>
      <c r="G230"/>
      <c r="H230"/>
      <c r="I230" s="68"/>
      <c r="J230" s="71"/>
      <c r="K230"/>
      <c r="L230"/>
      <c r="M230"/>
      <c r="N230"/>
      <c r="O230"/>
      <c r="P230"/>
      <c r="Q230" s="121"/>
      <c r="R230"/>
      <c r="S230"/>
      <c r="T230" s="229"/>
      <c r="U230" s="229"/>
      <c r="V230" s="229"/>
      <c r="W230" s="229"/>
      <c r="X230" s="229"/>
      <c r="Y230" s="136"/>
      <c r="Z230" s="166"/>
      <c r="AA230" s="166"/>
      <c r="AB230" s="71"/>
      <c r="AC230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</row>
    <row r="231" spans="1:107" s="92" customFormat="1" ht="39.950000000000003" customHeight="1" x14ac:dyDescent="0.25">
      <c r="A231"/>
      <c r="B231"/>
      <c r="C231"/>
      <c r="D231"/>
      <c r="E231"/>
      <c r="F231"/>
      <c r="G231"/>
      <c r="H231"/>
      <c r="I231" s="68"/>
      <c r="J231" s="71"/>
      <c r="K231"/>
      <c r="L231"/>
      <c r="M231"/>
      <c r="N231"/>
      <c r="O231"/>
      <c r="P231"/>
      <c r="Q231" s="121"/>
      <c r="R231"/>
      <c r="S231"/>
      <c r="T231" s="229"/>
      <c r="U231" s="229"/>
      <c r="V231" s="229"/>
      <c r="W231" s="229"/>
      <c r="X231" s="229"/>
      <c r="Y231" s="136"/>
      <c r="Z231" s="166"/>
      <c r="AA231" s="166"/>
      <c r="AB231" s="71"/>
      <c r="AC231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</row>
    <row r="232" spans="1:107" s="92" customFormat="1" ht="39.950000000000003" customHeight="1" x14ac:dyDescent="0.25">
      <c r="A232"/>
      <c r="B232"/>
      <c r="C232"/>
      <c r="D232"/>
      <c r="E232"/>
      <c r="F232"/>
      <c r="G232"/>
      <c r="H232"/>
      <c r="I232" s="68"/>
      <c r="J232" s="71"/>
      <c r="K232"/>
      <c r="L232"/>
      <c r="M232"/>
      <c r="N232"/>
      <c r="O232"/>
      <c r="P232"/>
      <c r="Q232" s="121"/>
      <c r="R232"/>
      <c r="S232"/>
      <c r="T232" s="229"/>
      <c r="U232" s="229"/>
      <c r="V232" s="229"/>
      <c r="W232" s="229"/>
      <c r="X232" s="229"/>
      <c r="Y232" s="136"/>
      <c r="Z232" s="166"/>
      <c r="AA232" s="166"/>
      <c r="AB232" s="71"/>
      <c r="AC232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</row>
    <row r="233" spans="1:107" s="92" customFormat="1" ht="39.950000000000003" customHeight="1" x14ac:dyDescent="0.25">
      <c r="A233"/>
      <c r="B233"/>
      <c r="C233"/>
      <c r="D233"/>
      <c r="E233"/>
      <c r="F233"/>
      <c r="G233"/>
      <c r="H233"/>
      <c r="I233" s="68"/>
      <c r="J233" s="71"/>
      <c r="K233"/>
      <c r="L233"/>
      <c r="M233"/>
      <c r="N233"/>
      <c r="O233"/>
      <c r="P233"/>
      <c r="Q233" s="121"/>
      <c r="R233"/>
      <c r="S233"/>
      <c r="T233" s="229"/>
      <c r="U233" s="229"/>
      <c r="V233" s="229"/>
      <c r="W233" s="229"/>
      <c r="X233" s="229"/>
      <c r="Y233" s="136"/>
      <c r="Z233" s="166"/>
      <c r="AA233" s="166"/>
      <c r="AB233" s="71"/>
      <c r="AC233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</row>
    <row r="234" spans="1:107" s="92" customFormat="1" ht="39.950000000000003" customHeight="1" x14ac:dyDescent="0.25">
      <c r="A234"/>
      <c r="B234"/>
      <c r="C234"/>
      <c r="D234"/>
      <c r="E234"/>
      <c r="F234"/>
      <c r="G234"/>
      <c r="H234"/>
      <c r="I234" s="68"/>
      <c r="J234" s="71"/>
      <c r="K234"/>
      <c r="L234"/>
      <c r="M234"/>
      <c r="N234"/>
      <c r="O234"/>
      <c r="P234"/>
      <c r="Q234" s="121"/>
      <c r="R234"/>
      <c r="S234"/>
      <c r="T234" s="229"/>
      <c r="U234" s="229"/>
      <c r="V234" s="229"/>
      <c r="W234" s="229"/>
      <c r="X234" s="229"/>
      <c r="Y234" s="136"/>
      <c r="Z234" s="166"/>
      <c r="AA234" s="166"/>
      <c r="AB234" s="71"/>
      <c r="AC234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</row>
    <row r="235" spans="1:107" s="92" customFormat="1" ht="39.950000000000003" customHeight="1" x14ac:dyDescent="0.25">
      <c r="A235"/>
      <c r="B235"/>
      <c r="C235"/>
      <c r="D235"/>
      <c r="E235"/>
      <c r="F235"/>
      <c r="G235"/>
      <c r="H235"/>
      <c r="I235" s="68"/>
      <c r="J235" s="71"/>
      <c r="K235"/>
      <c r="L235"/>
      <c r="M235"/>
      <c r="N235"/>
      <c r="O235"/>
      <c r="P235"/>
      <c r="Q235" s="121"/>
      <c r="R235"/>
      <c r="S235"/>
      <c r="T235" s="229"/>
      <c r="U235" s="229"/>
      <c r="V235" s="229"/>
      <c r="W235" s="229"/>
      <c r="X235" s="229"/>
      <c r="Y235" s="136"/>
      <c r="Z235" s="166"/>
      <c r="AA235" s="166"/>
      <c r="AB235" s="71"/>
      <c r="AC235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</row>
    <row r="236" spans="1:107" s="92" customFormat="1" ht="39.950000000000003" customHeight="1" x14ac:dyDescent="0.25">
      <c r="A236"/>
      <c r="B236"/>
      <c r="C236"/>
      <c r="D236"/>
      <c r="E236"/>
      <c r="F236"/>
      <c r="G236"/>
      <c r="H236"/>
      <c r="I236" s="68"/>
      <c r="J236" s="71"/>
      <c r="K236"/>
      <c r="L236"/>
      <c r="M236"/>
      <c r="N236"/>
      <c r="O236"/>
      <c r="P236"/>
      <c r="Q236" s="121"/>
      <c r="R236"/>
      <c r="S236"/>
      <c r="T236" s="229"/>
      <c r="U236" s="229"/>
      <c r="V236" s="229"/>
      <c r="W236" s="229"/>
      <c r="X236" s="229"/>
      <c r="Y236" s="136"/>
      <c r="Z236" s="166"/>
      <c r="AA236" s="166"/>
      <c r="AB236" s="71"/>
      <c r="AC236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</row>
    <row r="237" spans="1:107" s="92" customFormat="1" ht="39.950000000000003" customHeight="1" x14ac:dyDescent="0.25">
      <c r="A237"/>
      <c r="B237"/>
      <c r="C237"/>
      <c r="D237"/>
      <c r="E237"/>
      <c r="F237"/>
      <c r="G237"/>
      <c r="H237"/>
      <c r="I237" s="68"/>
      <c r="J237" s="71"/>
      <c r="K237"/>
      <c r="L237"/>
      <c r="M237"/>
      <c r="N237"/>
      <c r="O237"/>
      <c r="P237"/>
      <c r="Q237" s="121"/>
      <c r="R237"/>
      <c r="S237"/>
      <c r="T237" s="229"/>
      <c r="U237" s="229"/>
      <c r="V237" s="229"/>
      <c r="W237" s="229"/>
      <c r="X237" s="229"/>
      <c r="Y237" s="136"/>
      <c r="Z237" s="166"/>
      <c r="AA237" s="166"/>
      <c r="AB237" s="71"/>
      <c r="AC237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</row>
    <row r="238" spans="1:107" s="92" customFormat="1" ht="39.950000000000003" customHeight="1" x14ac:dyDescent="0.25">
      <c r="A238"/>
      <c r="B238"/>
      <c r="C238"/>
      <c r="D238"/>
      <c r="E238"/>
      <c r="F238"/>
      <c r="G238"/>
      <c r="H238"/>
      <c r="I238" s="68"/>
      <c r="J238" s="71"/>
      <c r="K238"/>
      <c r="L238"/>
      <c r="M238"/>
      <c r="N238"/>
      <c r="O238"/>
      <c r="P238"/>
      <c r="Q238" s="121"/>
      <c r="R238"/>
      <c r="S238"/>
      <c r="T238" s="229"/>
      <c r="U238" s="229"/>
      <c r="V238" s="229"/>
      <c r="W238" s="229"/>
      <c r="X238" s="229"/>
      <c r="Y238" s="136"/>
      <c r="Z238" s="166"/>
      <c r="AA238" s="166"/>
      <c r="AB238" s="71"/>
      <c r="AC238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</row>
    <row r="239" spans="1:107" s="92" customFormat="1" ht="39.950000000000003" customHeight="1" x14ac:dyDescent="0.25">
      <c r="A239"/>
      <c r="B239"/>
      <c r="C239"/>
      <c r="D239"/>
      <c r="E239"/>
      <c r="F239"/>
      <c r="G239"/>
      <c r="H239"/>
      <c r="I239" s="68"/>
      <c r="J239" s="71"/>
      <c r="K239"/>
      <c r="L239"/>
      <c r="M239"/>
      <c r="N239"/>
      <c r="O239"/>
      <c r="P239"/>
      <c r="Q239" s="121"/>
      <c r="R239"/>
      <c r="S239"/>
      <c r="T239" s="229"/>
      <c r="U239" s="229"/>
      <c r="V239" s="229"/>
      <c r="W239" s="229"/>
      <c r="X239" s="229"/>
      <c r="Y239" s="136"/>
      <c r="Z239" s="166"/>
      <c r="AA239" s="166"/>
      <c r="AB239" s="71"/>
      <c r="AC2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</row>
    <row r="240" spans="1:107" s="92" customFormat="1" ht="39.950000000000003" customHeight="1" x14ac:dyDescent="0.25">
      <c r="A240"/>
      <c r="B240"/>
      <c r="C240"/>
      <c r="D240"/>
      <c r="E240"/>
      <c r="F240"/>
      <c r="G240"/>
      <c r="H240"/>
      <c r="I240" s="68"/>
      <c r="J240" s="71"/>
      <c r="K240"/>
      <c r="L240"/>
      <c r="M240"/>
      <c r="N240"/>
      <c r="O240"/>
      <c r="P240"/>
      <c r="Q240" s="121"/>
      <c r="R240"/>
      <c r="S240"/>
      <c r="T240" s="229"/>
      <c r="U240" s="229"/>
      <c r="V240" s="229"/>
      <c r="W240" s="229"/>
      <c r="X240" s="229"/>
      <c r="Y240" s="136"/>
      <c r="Z240" s="166"/>
      <c r="AA240" s="166"/>
      <c r="AB240" s="71"/>
      <c r="AC240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</row>
    <row r="241" spans="1:107" s="92" customFormat="1" ht="39.950000000000003" customHeight="1" x14ac:dyDescent="0.25">
      <c r="A241"/>
      <c r="B241"/>
      <c r="C241"/>
      <c r="D241"/>
      <c r="E241"/>
      <c r="F241"/>
      <c r="G241"/>
      <c r="H241"/>
      <c r="I241" s="68"/>
      <c r="J241" s="71"/>
      <c r="K241"/>
      <c r="L241"/>
      <c r="M241"/>
      <c r="N241"/>
      <c r="O241"/>
      <c r="P241"/>
      <c r="Q241" s="121"/>
      <c r="R241"/>
      <c r="S241"/>
      <c r="T241" s="229"/>
      <c r="U241" s="229"/>
      <c r="V241" s="229"/>
      <c r="W241" s="229"/>
      <c r="X241" s="229"/>
      <c r="Y241" s="136"/>
      <c r="Z241" s="166"/>
      <c r="AA241" s="166"/>
      <c r="AB241" s="71"/>
      <c r="AC241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</row>
    <row r="242" spans="1:107" s="92" customFormat="1" ht="39.950000000000003" customHeight="1" x14ac:dyDescent="0.25">
      <c r="A242"/>
      <c r="B242"/>
      <c r="C242"/>
      <c r="D242"/>
      <c r="E242"/>
      <c r="F242"/>
      <c r="G242"/>
      <c r="H242"/>
      <c r="I242" s="68"/>
      <c r="J242" s="71"/>
      <c r="K242"/>
      <c r="L242"/>
      <c r="M242"/>
      <c r="N242"/>
      <c r="O242"/>
      <c r="P242"/>
      <c r="Q242" s="121"/>
      <c r="R242"/>
      <c r="S242"/>
      <c r="T242" s="229"/>
      <c r="U242" s="229"/>
      <c r="V242" s="229"/>
      <c r="W242" s="229"/>
      <c r="X242" s="229"/>
      <c r="Y242" s="136"/>
      <c r="Z242" s="166"/>
      <c r="AA242" s="166"/>
      <c r="AB242" s="71"/>
      <c r="AC242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</row>
    <row r="243" spans="1:107" s="92" customFormat="1" ht="39.950000000000003" customHeight="1" x14ac:dyDescent="0.25">
      <c r="A243"/>
      <c r="B243"/>
      <c r="C243"/>
      <c r="D243"/>
      <c r="E243"/>
      <c r="F243"/>
      <c r="G243"/>
      <c r="H243"/>
      <c r="I243" s="68"/>
      <c r="J243" s="71"/>
      <c r="K243"/>
      <c r="L243"/>
      <c r="M243"/>
      <c r="N243"/>
      <c r="O243"/>
      <c r="P243"/>
      <c r="Q243" s="121"/>
      <c r="R243"/>
      <c r="S243"/>
      <c r="T243" s="229"/>
      <c r="U243" s="229"/>
      <c r="V243" s="229"/>
      <c r="W243" s="229"/>
      <c r="X243" s="229"/>
      <c r="Y243" s="136"/>
      <c r="Z243" s="166"/>
      <c r="AA243" s="166"/>
      <c r="AB243" s="71"/>
      <c r="AC243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</row>
    <row r="244" spans="1:107" s="92" customFormat="1" ht="39.950000000000003" customHeight="1" x14ac:dyDescent="0.25">
      <c r="A244"/>
      <c r="B244"/>
      <c r="C244"/>
      <c r="D244"/>
      <c r="E244"/>
      <c r="F244"/>
      <c r="G244"/>
      <c r="H244"/>
      <c r="I244" s="68"/>
      <c r="J244" s="71"/>
      <c r="K244"/>
      <c r="L244"/>
      <c r="M244"/>
      <c r="N244"/>
      <c r="O244"/>
      <c r="P244"/>
      <c r="Q244" s="121"/>
      <c r="R244"/>
      <c r="S244"/>
      <c r="T244" s="229"/>
      <c r="U244" s="229"/>
      <c r="V244" s="229"/>
      <c r="W244" s="229"/>
      <c r="X244" s="229"/>
      <c r="Y244" s="136"/>
      <c r="Z244" s="166"/>
      <c r="AA244" s="166"/>
      <c r="AB244" s="71"/>
      <c r="AC244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</row>
    <row r="245" spans="1:107" s="92" customFormat="1" ht="39.950000000000003" customHeight="1" x14ac:dyDescent="0.25">
      <c r="A245"/>
      <c r="B245"/>
      <c r="C245"/>
      <c r="D245"/>
      <c r="E245"/>
      <c r="F245"/>
      <c r="G245"/>
      <c r="H245"/>
      <c r="I245" s="68"/>
      <c r="J245" s="71"/>
      <c r="K245"/>
      <c r="L245"/>
      <c r="M245"/>
      <c r="N245"/>
      <c r="O245"/>
      <c r="P245"/>
      <c r="Q245" s="121"/>
      <c r="R245"/>
      <c r="S245"/>
      <c r="T245" s="229"/>
      <c r="U245" s="229"/>
      <c r="V245" s="229"/>
      <c r="W245" s="229"/>
      <c r="X245" s="229"/>
      <c r="Y245" s="136"/>
      <c r="Z245" s="166"/>
      <c r="AA245" s="166"/>
      <c r="AB245" s="71"/>
      <c r="AC245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</row>
    <row r="246" spans="1:107" s="92" customFormat="1" ht="39.950000000000003" customHeight="1" x14ac:dyDescent="0.25">
      <c r="A246"/>
      <c r="B246"/>
      <c r="C246"/>
      <c r="D246"/>
      <c r="E246"/>
      <c r="F246"/>
      <c r="G246"/>
      <c r="H246"/>
      <c r="I246" s="68"/>
      <c r="J246" s="71"/>
      <c r="K246"/>
      <c r="L246"/>
      <c r="M246"/>
      <c r="N246"/>
      <c r="O246"/>
      <c r="P246"/>
      <c r="Q246" s="121"/>
      <c r="R246"/>
      <c r="S246"/>
      <c r="T246" s="229"/>
      <c r="U246" s="229"/>
      <c r="V246" s="229"/>
      <c r="W246" s="229"/>
      <c r="X246" s="229"/>
      <c r="Y246" s="136"/>
      <c r="Z246" s="166"/>
      <c r="AA246" s="166"/>
      <c r="AB246" s="71"/>
      <c r="AC246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</row>
    <row r="247" spans="1:107" s="92" customFormat="1" ht="39.950000000000003" customHeight="1" x14ac:dyDescent="0.25">
      <c r="A247"/>
      <c r="B247"/>
      <c r="C247"/>
      <c r="D247"/>
      <c r="E247"/>
      <c r="F247"/>
      <c r="G247"/>
      <c r="H247"/>
      <c r="I247" s="68"/>
      <c r="J247" s="71"/>
      <c r="K247"/>
      <c r="L247"/>
      <c r="M247"/>
      <c r="N247"/>
      <c r="O247"/>
      <c r="P247"/>
      <c r="Q247" s="121"/>
      <c r="R247"/>
      <c r="S247"/>
      <c r="T247" s="229"/>
      <c r="U247" s="229"/>
      <c r="V247" s="229"/>
      <c r="W247" s="229"/>
      <c r="X247" s="229"/>
      <c r="Y247" s="136"/>
      <c r="Z247" s="166"/>
      <c r="AA247" s="166"/>
      <c r="AB247" s="71"/>
      <c r="AC247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</row>
    <row r="248" spans="1:107" s="92" customFormat="1" ht="39.950000000000003" customHeight="1" x14ac:dyDescent="0.25">
      <c r="A248"/>
      <c r="B248"/>
      <c r="C248"/>
      <c r="D248"/>
      <c r="E248"/>
      <c r="F248"/>
      <c r="G248"/>
      <c r="H248"/>
      <c r="I248" s="68"/>
      <c r="J248" s="71"/>
      <c r="K248"/>
      <c r="L248"/>
      <c r="M248"/>
      <c r="N248"/>
      <c r="O248"/>
      <c r="P248"/>
      <c r="Q248" s="121"/>
      <c r="R248"/>
      <c r="S248"/>
      <c r="T248" s="229"/>
      <c r="U248" s="229"/>
      <c r="V248" s="229"/>
      <c r="W248" s="229"/>
      <c r="X248" s="229"/>
      <c r="Y248" s="136"/>
      <c r="Z248" s="166"/>
      <c r="AA248" s="166"/>
      <c r="AB248" s="71"/>
      <c r="AC248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</row>
    <row r="249" spans="1:107" s="92" customFormat="1" ht="39.950000000000003" customHeight="1" x14ac:dyDescent="0.25">
      <c r="A249"/>
      <c r="B249"/>
      <c r="C249"/>
      <c r="D249"/>
      <c r="E249"/>
      <c r="F249"/>
      <c r="G249"/>
      <c r="H249"/>
      <c r="I249" s="68"/>
      <c r="J249" s="71"/>
      <c r="K249"/>
      <c r="L249"/>
      <c r="M249"/>
      <c r="N249"/>
      <c r="O249"/>
      <c r="P249"/>
      <c r="Q249" s="121"/>
      <c r="R249"/>
      <c r="S249"/>
      <c r="T249" s="229"/>
      <c r="U249" s="229"/>
      <c r="V249" s="229"/>
      <c r="W249" s="229"/>
      <c r="X249" s="229"/>
      <c r="Y249" s="136"/>
      <c r="Z249" s="166"/>
      <c r="AA249" s="166"/>
      <c r="AB249" s="71"/>
      <c r="AC24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</row>
    <row r="250" spans="1:107" s="92" customFormat="1" ht="39.950000000000003" customHeight="1" x14ac:dyDescent="0.25">
      <c r="A250"/>
      <c r="B250"/>
      <c r="C250"/>
      <c r="D250"/>
      <c r="E250"/>
      <c r="F250"/>
      <c r="G250"/>
      <c r="H250"/>
      <c r="I250" s="68"/>
      <c r="J250" s="71"/>
      <c r="K250"/>
      <c r="L250"/>
      <c r="M250"/>
      <c r="N250"/>
      <c r="O250"/>
      <c r="P250"/>
      <c r="Q250" s="121"/>
      <c r="R250"/>
      <c r="S250"/>
      <c r="T250" s="229"/>
      <c r="U250" s="229"/>
      <c r="V250" s="229"/>
      <c r="W250" s="229"/>
      <c r="X250" s="229"/>
      <c r="Y250" s="136"/>
      <c r="Z250" s="166"/>
      <c r="AA250" s="166"/>
      <c r="AB250" s="71"/>
      <c r="AC250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</row>
    <row r="251" spans="1:107" s="92" customFormat="1" ht="39.950000000000003" customHeight="1" x14ac:dyDescent="0.25">
      <c r="A251"/>
      <c r="B251"/>
      <c r="C251"/>
      <c r="D251"/>
      <c r="E251"/>
      <c r="F251"/>
      <c r="G251"/>
      <c r="H251"/>
      <c r="I251" s="68"/>
      <c r="J251" s="71"/>
      <c r="K251"/>
      <c r="L251"/>
      <c r="M251"/>
      <c r="N251"/>
      <c r="O251"/>
      <c r="P251"/>
      <c r="Q251" s="121"/>
      <c r="R251"/>
      <c r="S251"/>
      <c r="T251" s="229"/>
      <c r="U251" s="229"/>
      <c r="V251" s="229"/>
      <c r="W251" s="229"/>
      <c r="X251" s="229"/>
      <c r="Y251" s="136"/>
      <c r="Z251" s="166"/>
      <c r="AA251" s="166"/>
      <c r="AB251" s="71"/>
      <c r="AC251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</row>
    <row r="252" spans="1:107" s="92" customFormat="1" ht="39.950000000000003" customHeight="1" x14ac:dyDescent="0.25">
      <c r="A252"/>
      <c r="B252"/>
      <c r="C252"/>
      <c r="D252"/>
      <c r="E252"/>
      <c r="F252"/>
      <c r="G252"/>
      <c r="H252"/>
      <c r="I252" s="68"/>
      <c r="J252" s="71"/>
      <c r="K252"/>
      <c r="L252"/>
      <c r="M252"/>
      <c r="N252"/>
      <c r="O252"/>
      <c r="P252"/>
      <c r="Q252" s="121"/>
      <c r="R252"/>
      <c r="S252"/>
      <c r="T252" s="229"/>
      <c r="U252" s="229"/>
      <c r="V252" s="229"/>
      <c r="W252" s="229"/>
      <c r="X252" s="229"/>
      <c r="Y252" s="136"/>
      <c r="Z252" s="166"/>
      <c r="AA252" s="166"/>
      <c r="AB252" s="71"/>
      <c r="AC252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</row>
    <row r="253" spans="1:107" s="92" customFormat="1" ht="39.950000000000003" customHeight="1" x14ac:dyDescent="0.25">
      <c r="A253"/>
      <c r="B253"/>
      <c r="C253"/>
      <c r="D253"/>
      <c r="E253"/>
      <c r="F253"/>
      <c r="G253"/>
      <c r="H253"/>
      <c r="I253" s="68"/>
      <c r="J253" s="71"/>
      <c r="K253"/>
      <c r="L253"/>
      <c r="M253"/>
      <c r="N253"/>
      <c r="O253"/>
      <c r="P253"/>
      <c r="Q253" s="121"/>
      <c r="R253"/>
      <c r="S253"/>
      <c r="T253" s="229"/>
      <c r="U253" s="229"/>
      <c r="V253" s="229"/>
      <c r="W253" s="229"/>
      <c r="X253" s="229"/>
      <c r="Y253" s="136"/>
      <c r="Z253" s="166"/>
      <c r="AA253" s="166"/>
      <c r="AB253" s="71"/>
      <c r="AC253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</row>
    <row r="254" spans="1:107" s="92" customFormat="1" ht="39.950000000000003" customHeight="1" x14ac:dyDescent="0.25">
      <c r="A254"/>
      <c r="B254"/>
      <c r="C254"/>
      <c r="D254"/>
      <c r="E254"/>
      <c r="F254"/>
      <c r="G254"/>
      <c r="H254"/>
      <c r="I254" s="68"/>
      <c r="J254" s="71"/>
      <c r="K254"/>
      <c r="L254"/>
      <c r="M254"/>
      <c r="N254"/>
      <c r="O254"/>
      <c r="P254"/>
      <c r="Q254" s="121"/>
      <c r="R254"/>
      <c r="S254"/>
      <c r="T254" s="229"/>
      <c r="U254" s="229"/>
      <c r="V254" s="229"/>
      <c r="W254" s="229"/>
      <c r="X254" s="229"/>
      <c r="Y254" s="136"/>
      <c r="Z254" s="166"/>
      <c r="AA254" s="166"/>
      <c r="AB254" s="71"/>
      <c r="AC254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</row>
    <row r="255" spans="1:107" s="92" customFormat="1" ht="39.950000000000003" customHeight="1" x14ac:dyDescent="0.25">
      <c r="A255"/>
      <c r="B255"/>
      <c r="C255"/>
      <c r="D255"/>
      <c r="E255"/>
      <c r="F255"/>
      <c r="G255"/>
      <c r="H255"/>
      <c r="I255" s="68"/>
      <c r="J255" s="71"/>
      <c r="K255"/>
      <c r="L255"/>
      <c r="M255"/>
      <c r="N255"/>
      <c r="O255"/>
      <c r="P255"/>
      <c r="Q255" s="121"/>
      <c r="R255"/>
      <c r="S255"/>
      <c r="T255" s="229"/>
      <c r="U255" s="229"/>
      <c r="V255" s="229"/>
      <c r="W255" s="229"/>
      <c r="X255" s="229"/>
      <c r="Y255" s="136"/>
      <c r="Z255" s="166"/>
      <c r="AA255" s="166"/>
      <c r="AB255" s="71"/>
      <c r="AC255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</row>
    <row r="256" spans="1:107" s="92" customFormat="1" ht="39.950000000000003" customHeight="1" x14ac:dyDescent="0.25">
      <c r="A256"/>
      <c r="B256"/>
      <c r="C256"/>
      <c r="D256"/>
      <c r="E256"/>
      <c r="F256"/>
      <c r="G256"/>
      <c r="H256"/>
      <c r="I256" s="68"/>
      <c r="J256" s="71"/>
      <c r="K256"/>
      <c r="L256"/>
      <c r="M256"/>
      <c r="N256"/>
      <c r="O256"/>
      <c r="P256"/>
      <c r="Q256" s="121"/>
      <c r="R256"/>
      <c r="S256"/>
      <c r="T256" s="229"/>
      <c r="U256" s="229"/>
      <c r="V256" s="229"/>
      <c r="W256" s="229"/>
      <c r="X256" s="229"/>
      <c r="Y256" s="136"/>
      <c r="Z256" s="166"/>
      <c r="AA256" s="166"/>
      <c r="AB256" s="71"/>
      <c r="AC256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</row>
    <row r="257" spans="1:107" s="92" customFormat="1" ht="39.950000000000003" customHeight="1" x14ac:dyDescent="0.25">
      <c r="A257"/>
      <c r="B257"/>
      <c r="C257"/>
      <c r="D257"/>
      <c r="E257"/>
      <c r="F257"/>
      <c r="G257"/>
      <c r="H257"/>
      <c r="I257" s="68"/>
      <c r="J257" s="71"/>
      <c r="K257"/>
      <c r="L257"/>
      <c r="M257"/>
      <c r="N257"/>
      <c r="O257"/>
      <c r="P257"/>
      <c r="Q257" s="121"/>
      <c r="R257"/>
      <c r="S257"/>
      <c r="T257" s="229"/>
      <c r="U257" s="229"/>
      <c r="V257" s="229"/>
      <c r="W257" s="229"/>
      <c r="X257" s="229"/>
      <c r="Y257" s="136"/>
      <c r="Z257" s="166"/>
      <c r="AA257" s="166"/>
      <c r="AB257" s="71"/>
      <c r="AC257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</row>
    <row r="258" spans="1:107" s="92" customFormat="1" ht="39.950000000000003" customHeight="1" x14ac:dyDescent="0.25">
      <c r="A258"/>
      <c r="B258"/>
      <c r="C258"/>
      <c r="D258"/>
      <c r="E258"/>
      <c r="F258"/>
      <c r="G258"/>
      <c r="H258"/>
      <c r="I258" s="68"/>
      <c r="J258" s="71"/>
      <c r="K258"/>
      <c r="L258"/>
      <c r="M258"/>
      <c r="N258"/>
      <c r="O258"/>
      <c r="P258"/>
      <c r="Q258" s="121"/>
      <c r="R258"/>
      <c r="S258"/>
      <c r="T258" s="229"/>
      <c r="U258" s="229"/>
      <c r="V258" s="229"/>
      <c r="W258" s="229"/>
      <c r="X258" s="229"/>
      <c r="Y258" s="136"/>
      <c r="Z258" s="166"/>
      <c r="AA258" s="166"/>
      <c r="AB258" s="71"/>
      <c r="AC258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</row>
    <row r="259" spans="1:107" s="92" customFormat="1" ht="39.950000000000003" customHeight="1" x14ac:dyDescent="0.25">
      <c r="A259"/>
      <c r="B259"/>
      <c r="C259"/>
      <c r="D259"/>
      <c r="E259"/>
      <c r="F259"/>
      <c r="G259"/>
      <c r="H259"/>
      <c r="I259" s="68"/>
      <c r="J259" s="71"/>
      <c r="K259"/>
      <c r="L259"/>
      <c r="M259"/>
      <c r="N259"/>
      <c r="O259"/>
      <c r="P259"/>
      <c r="Q259" s="121"/>
      <c r="R259"/>
      <c r="S259"/>
      <c r="T259" s="229"/>
      <c r="U259" s="229"/>
      <c r="V259" s="229"/>
      <c r="W259" s="229"/>
      <c r="X259" s="229"/>
      <c r="Y259" s="136"/>
      <c r="Z259" s="166"/>
      <c r="AA259" s="166"/>
      <c r="AB259" s="71"/>
      <c r="AC25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</row>
    <row r="260" spans="1:107" s="92" customFormat="1" ht="39.950000000000003" customHeight="1" x14ac:dyDescent="0.25">
      <c r="A260"/>
      <c r="B260"/>
      <c r="C260"/>
      <c r="D260"/>
      <c r="E260"/>
      <c r="F260"/>
      <c r="G260"/>
      <c r="H260"/>
      <c r="I260" s="68"/>
      <c r="J260" s="71"/>
      <c r="K260"/>
      <c r="L260"/>
      <c r="M260"/>
      <c r="N260"/>
      <c r="O260"/>
      <c r="P260"/>
      <c r="Q260" s="121"/>
      <c r="R260"/>
      <c r="S260"/>
      <c r="T260" s="229"/>
      <c r="U260" s="229"/>
      <c r="V260" s="229"/>
      <c r="W260" s="229"/>
      <c r="X260" s="229"/>
      <c r="Y260" s="136"/>
      <c r="Z260" s="166"/>
      <c r="AA260" s="166"/>
      <c r="AB260" s="71"/>
      <c r="AC260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</row>
    <row r="261" spans="1:107" s="92" customFormat="1" ht="39.950000000000003" customHeight="1" x14ac:dyDescent="0.25">
      <c r="A261"/>
      <c r="B261"/>
      <c r="C261"/>
      <c r="D261"/>
      <c r="E261"/>
      <c r="F261"/>
      <c r="G261"/>
      <c r="H261"/>
      <c r="I261" s="68"/>
      <c r="J261" s="71"/>
      <c r="K261"/>
      <c r="L261"/>
      <c r="M261"/>
      <c r="N261"/>
      <c r="O261"/>
      <c r="P261"/>
      <c r="Q261" s="121"/>
      <c r="R261"/>
      <c r="S261"/>
      <c r="T261" s="229"/>
      <c r="U261" s="229"/>
      <c r="V261" s="229"/>
      <c r="W261" s="229"/>
      <c r="X261" s="229"/>
      <c r="Y261" s="136"/>
      <c r="Z261" s="166"/>
      <c r="AA261" s="166"/>
      <c r="AB261" s="71"/>
      <c r="AC261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</row>
    <row r="262" spans="1:107" s="92" customFormat="1" ht="39.950000000000003" customHeight="1" x14ac:dyDescent="0.25">
      <c r="A262"/>
      <c r="B262"/>
      <c r="C262"/>
      <c r="D262"/>
      <c r="E262"/>
      <c r="F262"/>
      <c r="G262"/>
      <c r="H262"/>
      <c r="I262" s="68"/>
      <c r="J262" s="71"/>
      <c r="K262"/>
      <c r="L262"/>
      <c r="M262"/>
      <c r="N262"/>
      <c r="O262"/>
      <c r="P262"/>
      <c r="Q262" s="121"/>
      <c r="R262"/>
      <c r="S262"/>
      <c r="T262" s="229"/>
      <c r="U262" s="229"/>
      <c r="V262" s="229"/>
      <c r="W262" s="229"/>
      <c r="X262" s="229"/>
      <c r="Y262" s="136"/>
      <c r="Z262" s="166"/>
      <c r="AA262" s="166"/>
      <c r="AB262" s="71"/>
      <c r="AC262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</row>
    <row r="263" spans="1:107" s="92" customFormat="1" ht="39.950000000000003" customHeight="1" x14ac:dyDescent="0.25">
      <c r="A263"/>
      <c r="B263"/>
      <c r="C263"/>
      <c r="D263"/>
      <c r="E263"/>
      <c r="F263"/>
      <c r="G263"/>
      <c r="H263"/>
      <c r="I263" s="68"/>
      <c r="J263" s="71"/>
      <c r="K263"/>
      <c r="L263"/>
      <c r="M263"/>
      <c r="N263"/>
      <c r="O263"/>
      <c r="P263"/>
      <c r="Q263" s="121"/>
      <c r="R263"/>
      <c r="S263"/>
      <c r="T263" s="229"/>
      <c r="U263" s="229"/>
      <c r="V263" s="229"/>
      <c r="W263" s="229"/>
      <c r="X263" s="229"/>
      <c r="Y263" s="136"/>
      <c r="Z263" s="166"/>
      <c r="AA263" s="166"/>
      <c r="AB263" s="71"/>
      <c r="AC263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</row>
    <row r="264" spans="1:107" s="92" customFormat="1" ht="39.950000000000003" customHeight="1" x14ac:dyDescent="0.25">
      <c r="A264"/>
      <c r="B264"/>
      <c r="C264"/>
      <c r="D264"/>
      <c r="E264"/>
      <c r="F264"/>
      <c r="G264"/>
      <c r="H264"/>
      <c r="I264" s="68"/>
      <c r="J264" s="71"/>
      <c r="K264"/>
      <c r="L264"/>
      <c r="M264"/>
      <c r="N264"/>
      <c r="O264"/>
      <c r="P264"/>
      <c r="Q264" s="121"/>
      <c r="R264"/>
      <c r="S264"/>
      <c r="T264" s="229"/>
      <c r="U264" s="229"/>
      <c r="V264" s="229"/>
      <c r="W264" s="229"/>
      <c r="X264" s="229"/>
      <c r="Y264" s="136"/>
      <c r="Z264" s="166"/>
      <c r="AA264" s="166"/>
      <c r="AB264" s="71"/>
      <c r="AC264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</row>
    <row r="265" spans="1:107" s="92" customFormat="1" ht="39.950000000000003" customHeight="1" x14ac:dyDescent="0.25">
      <c r="A265"/>
      <c r="B265"/>
      <c r="C265"/>
      <c r="D265"/>
      <c r="E265"/>
      <c r="F265"/>
      <c r="G265"/>
      <c r="H265"/>
      <c r="I265" s="68"/>
      <c r="J265" s="71"/>
      <c r="K265"/>
      <c r="L265"/>
      <c r="M265"/>
      <c r="N265"/>
      <c r="O265"/>
      <c r="P265"/>
      <c r="Q265" s="121"/>
      <c r="R265"/>
      <c r="S265"/>
      <c r="T265" s="229"/>
      <c r="U265" s="229"/>
      <c r="V265" s="229"/>
      <c r="W265" s="229"/>
      <c r="X265" s="229"/>
      <c r="Y265" s="136"/>
      <c r="Z265" s="166"/>
      <c r="AA265" s="166"/>
      <c r="AB265" s="71"/>
      <c r="AC265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</row>
    <row r="266" spans="1:107" s="92" customFormat="1" ht="39.950000000000003" customHeight="1" x14ac:dyDescent="0.25">
      <c r="A266"/>
      <c r="B266"/>
      <c r="C266"/>
      <c r="D266"/>
      <c r="E266"/>
      <c r="F266"/>
      <c r="G266"/>
      <c r="H266"/>
      <c r="I266" s="68"/>
      <c r="J266" s="71"/>
      <c r="K266"/>
      <c r="L266"/>
      <c r="M266"/>
      <c r="N266"/>
      <c r="O266"/>
      <c r="P266"/>
      <c r="Q266" s="121"/>
      <c r="R266"/>
      <c r="S266"/>
      <c r="T266" s="229"/>
      <c r="U266" s="229"/>
      <c r="V266" s="229"/>
      <c r="W266" s="229"/>
      <c r="X266" s="229"/>
      <c r="Y266" s="136"/>
      <c r="Z266" s="166"/>
      <c r="AA266" s="166"/>
      <c r="AB266" s="71"/>
      <c r="AC266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</row>
    <row r="267" spans="1:107" s="92" customFormat="1" ht="39.950000000000003" customHeight="1" x14ac:dyDescent="0.25">
      <c r="A267"/>
      <c r="B267"/>
      <c r="C267"/>
      <c r="D267"/>
      <c r="E267"/>
      <c r="F267"/>
      <c r="G267"/>
      <c r="H267"/>
      <c r="I267" s="68"/>
      <c r="J267" s="71"/>
      <c r="K267"/>
      <c r="L267"/>
      <c r="M267"/>
      <c r="N267"/>
      <c r="O267"/>
      <c r="P267"/>
      <c r="Q267" s="121"/>
      <c r="R267"/>
      <c r="S267"/>
      <c r="T267" s="229"/>
      <c r="U267" s="229"/>
      <c r="V267" s="229"/>
      <c r="W267" s="229"/>
      <c r="X267" s="229"/>
      <c r="Y267" s="136"/>
      <c r="Z267" s="166"/>
      <c r="AA267" s="166"/>
      <c r="AB267" s="71"/>
      <c r="AC267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</row>
    <row r="268" spans="1:107" s="92" customFormat="1" ht="39.950000000000003" customHeight="1" x14ac:dyDescent="0.25">
      <c r="A268"/>
      <c r="B268"/>
      <c r="C268"/>
      <c r="D268"/>
      <c r="E268"/>
      <c r="F268"/>
      <c r="G268"/>
      <c r="H268"/>
      <c r="I268" s="68"/>
      <c r="J268" s="71"/>
      <c r="K268"/>
      <c r="L268"/>
      <c r="M268"/>
      <c r="N268"/>
      <c r="O268"/>
      <c r="P268"/>
      <c r="Q268" s="121"/>
      <c r="R268"/>
      <c r="S268"/>
      <c r="T268" s="229"/>
      <c r="U268" s="229"/>
      <c r="V268" s="229"/>
      <c r="W268" s="229"/>
      <c r="X268" s="229"/>
      <c r="Y268" s="136"/>
      <c r="Z268" s="166"/>
      <c r="AA268" s="166"/>
      <c r="AB268" s="71"/>
      <c r="AC268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</row>
    <row r="269" spans="1:107" s="92" customFormat="1" ht="39.950000000000003" customHeight="1" x14ac:dyDescent="0.25">
      <c r="A269"/>
      <c r="B269"/>
      <c r="C269"/>
      <c r="D269"/>
      <c r="E269"/>
      <c r="F269"/>
      <c r="G269"/>
      <c r="H269"/>
      <c r="I269" s="68"/>
      <c r="J269" s="71"/>
      <c r="K269"/>
      <c r="L269"/>
      <c r="M269"/>
      <c r="N269"/>
      <c r="O269"/>
      <c r="P269"/>
      <c r="Q269" s="121"/>
      <c r="R269"/>
      <c r="S269"/>
      <c r="T269" s="229"/>
      <c r="U269" s="229"/>
      <c r="V269" s="229"/>
      <c r="W269" s="229"/>
      <c r="X269" s="229"/>
      <c r="Y269" s="136"/>
      <c r="Z269" s="166"/>
      <c r="AA269" s="166"/>
      <c r="AB269" s="71"/>
      <c r="AC26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</row>
    <row r="270" spans="1:107" s="92" customFormat="1" ht="39.950000000000003" customHeight="1" x14ac:dyDescent="0.25">
      <c r="A270"/>
      <c r="B270"/>
      <c r="C270"/>
      <c r="D270"/>
      <c r="E270"/>
      <c r="F270"/>
      <c r="G270"/>
      <c r="H270"/>
      <c r="I270" s="68"/>
      <c r="J270" s="71"/>
      <c r="K270"/>
      <c r="L270"/>
      <c r="M270"/>
      <c r="N270"/>
      <c r="O270"/>
      <c r="P270"/>
      <c r="Q270" s="121"/>
      <c r="R270"/>
      <c r="S270"/>
      <c r="T270" s="229"/>
      <c r="U270" s="229"/>
      <c r="V270" s="229"/>
      <c r="W270" s="229"/>
      <c r="X270" s="229"/>
      <c r="Y270" s="136"/>
      <c r="Z270" s="166"/>
      <c r="AA270" s="166"/>
      <c r="AB270" s="71"/>
      <c r="AC270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</row>
    <row r="271" spans="1:107" s="92" customFormat="1" ht="39.950000000000003" customHeight="1" x14ac:dyDescent="0.25">
      <c r="A271"/>
      <c r="B271"/>
      <c r="C271"/>
      <c r="D271"/>
      <c r="E271"/>
      <c r="F271"/>
      <c r="G271"/>
      <c r="H271"/>
      <c r="I271" s="68"/>
      <c r="J271" s="71"/>
      <c r="K271"/>
      <c r="L271"/>
      <c r="M271"/>
      <c r="N271"/>
      <c r="O271"/>
      <c r="P271"/>
      <c r="Q271" s="121"/>
      <c r="R271"/>
      <c r="S271"/>
      <c r="T271" s="229"/>
      <c r="U271" s="229"/>
      <c r="V271" s="229"/>
      <c r="W271" s="229"/>
      <c r="X271" s="229"/>
      <c r="Y271" s="136"/>
      <c r="Z271" s="166"/>
      <c r="AA271" s="166"/>
      <c r="AB271" s="71"/>
      <c r="AC271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</row>
    <row r="272" spans="1:107" s="92" customFormat="1" ht="39.950000000000003" customHeight="1" x14ac:dyDescent="0.25">
      <c r="A272"/>
      <c r="B272"/>
      <c r="C272"/>
      <c r="D272"/>
      <c r="E272"/>
      <c r="F272"/>
      <c r="G272"/>
      <c r="H272"/>
      <c r="I272" s="68"/>
      <c r="J272" s="71"/>
      <c r="K272"/>
      <c r="L272"/>
      <c r="M272"/>
      <c r="N272"/>
      <c r="O272"/>
      <c r="P272"/>
      <c r="Q272" s="121"/>
      <c r="R272"/>
      <c r="S272"/>
      <c r="T272" s="229"/>
      <c r="U272" s="229"/>
      <c r="V272" s="229"/>
      <c r="W272" s="229"/>
      <c r="X272" s="229"/>
      <c r="Y272" s="136"/>
      <c r="Z272" s="166"/>
      <c r="AA272" s="166"/>
      <c r="AB272" s="71"/>
      <c r="AC272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</row>
    <row r="273" spans="1:107" s="92" customFormat="1" ht="39.950000000000003" customHeight="1" x14ac:dyDescent="0.25">
      <c r="A273"/>
      <c r="B273"/>
      <c r="C273"/>
      <c r="D273"/>
      <c r="E273"/>
      <c r="F273"/>
      <c r="G273"/>
      <c r="H273"/>
      <c r="I273" s="68"/>
      <c r="J273" s="71"/>
      <c r="K273"/>
      <c r="L273"/>
      <c r="M273"/>
      <c r="N273"/>
      <c r="O273"/>
      <c r="P273"/>
      <c r="Q273" s="121"/>
      <c r="R273"/>
      <c r="S273"/>
      <c r="T273" s="229"/>
      <c r="U273" s="229"/>
      <c r="V273" s="229"/>
      <c r="W273" s="229"/>
      <c r="X273" s="229"/>
      <c r="Y273" s="136"/>
      <c r="Z273" s="166"/>
      <c r="AA273" s="166"/>
      <c r="AB273" s="71"/>
      <c r="AC273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</row>
    <row r="274" spans="1:107" s="92" customFormat="1" ht="39.950000000000003" customHeight="1" x14ac:dyDescent="0.25">
      <c r="A274"/>
      <c r="B274"/>
      <c r="C274"/>
      <c r="D274"/>
      <c r="E274"/>
      <c r="F274"/>
      <c r="G274"/>
      <c r="H274"/>
      <c r="I274" s="68"/>
      <c r="J274" s="71"/>
      <c r="K274"/>
      <c r="L274"/>
      <c r="M274"/>
      <c r="N274"/>
      <c r="O274"/>
      <c r="P274"/>
      <c r="Q274" s="121"/>
      <c r="R274"/>
      <c r="S274"/>
      <c r="T274" s="229"/>
      <c r="U274" s="229"/>
      <c r="V274" s="229"/>
      <c r="W274" s="229"/>
      <c r="X274" s="229"/>
      <c r="Y274" s="136"/>
      <c r="Z274" s="166"/>
      <c r="AA274" s="166"/>
      <c r="AB274" s="71"/>
      <c r="AC274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</row>
    <row r="275" spans="1:107" s="92" customFormat="1" ht="39.950000000000003" customHeight="1" x14ac:dyDescent="0.25">
      <c r="A275"/>
      <c r="B275"/>
      <c r="C275"/>
      <c r="D275"/>
      <c r="E275"/>
      <c r="F275"/>
      <c r="G275"/>
      <c r="H275"/>
      <c r="I275" s="68"/>
      <c r="J275" s="71"/>
      <c r="K275"/>
      <c r="L275"/>
      <c r="M275"/>
      <c r="N275"/>
      <c r="O275"/>
      <c r="P275"/>
      <c r="Q275" s="121"/>
      <c r="R275"/>
      <c r="S275"/>
      <c r="T275" s="229"/>
      <c r="U275" s="229"/>
      <c r="V275" s="229"/>
      <c r="W275" s="229"/>
      <c r="X275" s="229"/>
      <c r="Y275" s="136"/>
      <c r="Z275" s="166"/>
      <c r="AA275" s="166"/>
      <c r="AB275" s="71"/>
      <c r="AC275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</row>
    <row r="276" spans="1:107" s="92" customFormat="1" ht="39.950000000000003" customHeight="1" x14ac:dyDescent="0.25">
      <c r="A276"/>
      <c r="B276"/>
      <c r="C276"/>
      <c r="D276"/>
      <c r="E276"/>
      <c r="F276"/>
      <c r="G276"/>
      <c r="H276"/>
      <c r="I276" s="68"/>
      <c r="J276" s="71"/>
      <c r="K276"/>
      <c r="L276"/>
      <c r="M276"/>
      <c r="N276"/>
      <c r="O276"/>
      <c r="P276"/>
      <c r="Q276" s="121"/>
      <c r="R276"/>
      <c r="S276"/>
      <c r="T276" s="229"/>
      <c r="U276" s="229"/>
      <c r="V276" s="229"/>
      <c r="W276" s="229"/>
      <c r="X276" s="229"/>
      <c r="Y276" s="136"/>
      <c r="Z276" s="166"/>
      <c r="AA276" s="166"/>
      <c r="AB276" s="71"/>
      <c r="AC276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</row>
    <row r="277" spans="1:107" s="92" customFormat="1" ht="39.950000000000003" customHeight="1" x14ac:dyDescent="0.25">
      <c r="A277"/>
      <c r="B277"/>
      <c r="C277"/>
      <c r="D277"/>
      <c r="E277"/>
      <c r="F277"/>
      <c r="G277"/>
      <c r="H277"/>
      <c r="I277" s="68"/>
      <c r="J277" s="71"/>
      <c r="K277"/>
      <c r="L277"/>
      <c r="M277"/>
      <c r="N277"/>
      <c r="O277"/>
      <c r="P277"/>
      <c r="Q277" s="121"/>
      <c r="R277"/>
      <c r="S277"/>
      <c r="T277" s="229"/>
      <c r="U277" s="229"/>
      <c r="V277" s="229"/>
      <c r="W277" s="229"/>
      <c r="X277" s="229"/>
      <c r="Y277" s="136"/>
      <c r="Z277" s="166"/>
      <c r="AA277" s="166"/>
      <c r="AB277" s="71"/>
      <c r="AC277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</row>
    <row r="278" spans="1:107" s="92" customFormat="1" ht="39.950000000000003" customHeight="1" x14ac:dyDescent="0.25">
      <c r="A278"/>
      <c r="B278"/>
      <c r="C278"/>
      <c r="D278"/>
      <c r="E278"/>
      <c r="F278"/>
      <c r="G278"/>
      <c r="H278"/>
      <c r="I278" s="68"/>
      <c r="J278" s="71"/>
      <c r="K278"/>
      <c r="L278"/>
      <c r="M278"/>
      <c r="N278"/>
      <c r="O278"/>
      <c r="P278"/>
      <c r="Q278" s="121"/>
      <c r="R278"/>
      <c r="S278"/>
      <c r="T278" s="229"/>
      <c r="U278" s="229"/>
      <c r="V278" s="229"/>
      <c r="W278" s="229"/>
      <c r="X278" s="229"/>
      <c r="Y278" s="136"/>
      <c r="Z278" s="166"/>
      <c r="AA278" s="166"/>
      <c r="AB278" s="71"/>
      <c r="AC278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</row>
    <row r="279" spans="1:107" s="92" customFormat="1" ht="39.950000000000003" customHeight="1" x14ac:dyDescent="0.25">
      <c r="A279"/>
      <c r="B279"/>
      <c r="C279"/>
      <c r="D279"/>
      <c r="E279"/>
      <c r="F279"/>
      <c r="G279"/>
      <c r="H279"/>
      <c r="I279" s="68"/>
      <c r="J279" s="71"/>
      <c r="K279"/>
      <c r="L279"/>
      <c r="M279"/>
      <c r="N279"/>
      <c r="O279"/>
      <c r="P279"/>
      <c r="Q279" s="121"/>
      <c r="R279"/>
      <c r="S279"/>
      <c r="T279" s="229"/>
      <c r="U279" s="229"/>
      <c r="V279" s="229"/>
      <c r="W279" s="229"/>
      <c r="X279" s="229"/>
      <c r="Y279" s="136"/>
      <c r="Z279" s="166"/>
      <c r="AA279" s="166"/>
      <c r="AB279" s="71"/>
      <c r="AC27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</row>
    <row r="280" spans="1:107" s="92" customFormat="1" ht="39.950000000000003" customHeight="1" x14ac:dyDescent="0.25">
      <c r="A280"/>
      <c r="B280"/>
      <c r="C280"/>
      <c r="D280"/>
      <c r="E280"/>
      <c r="F280"/>
      <c r="G280"/>
      <c r="H280"/>
      <c r="I280" s="68"/>
      <c r="J280" s="71"/>
      <c r="K280"/>
      <c r="L280"/>
      <c r="M280"/>
      <c r="N280"/>
      <c r="O280"/>
      <c r="P280"/>
      <c r="Q280" s="121"/>
      <c r="R280"/>
      <c r="S280"/>
      <c r="T280" s="229"/>
      <c r="U280" s="229"/>
      <c r="V280" s="229"/>
      <c r="W280" s="229"/>
      <c r="X280" s="229"/>
      <c r="Y280" s="136"/>
      <c r="Z280" s="166"/>
      <c r="AA280" s="166"/>
      <c r="AB280" s="71"/>
      <c r="AC280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</row>
    <row r="281" spans="1:107" s="92" customFormat="1" ht="39.950000000000003" customHeight="1" x14ac:dyDescent="0.25">
      <c r="A281"/>
      <c r="B281"/>
      <c r="C281"/>
      <c r="D281"/>
      <c r="E281"/>
      <c r="F281"/>
      <c r="G281"/>
      <c r="H281"/>
      <c r="I281" s="68"/>
      <c r="J281" s="71"/>
      <c r="K281"/>
      <c r="L281"/>
      <c r="M281"/>
      <c r="N281"/>
      <c r="O281"/>
      <c r="P281"/>
      <c r="Q281" s="121"/>
      <c r="R281"/>
      <c r="S281"/>
      <c r="T281" s="229"/>
      <c r="U281" s="229"/>
      <c r="V281" s="229"/>
      <c r="W281" s="229"/>
      <c r="X281" s="229"/>
      <c r="Y281" s="136"/>
      <c r="Z281" s="166"/>
      <c r="AA281" s="166"/>
      <c r="AB281" s="71"/>
      <c r="AC281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</row>
    <row r="282" spans="1:107" s="92" customFormat="1" ht="39.950000000000003" customHeight="1" x14ac:dyDescent="0.25">
      <c r="A282"/>
      <c r="B282"/>
      <c r="C282"/>
      <c r="D282"/>
      <c r="E282"/>
      <c r="F282"/>
      <c r="G282"/>
      <c r="H282"/>
      <c r="I282" s="68"/>
      <c r="J282" s="71"/>
      <c r="K282"/>
      <c r="L282"/>
      <c r="M282"/>
      <c r="N282"/>
      <c r="O282"/>
      <c r="P282"/>
      <c r="Q282" s="121"/>
      <c r="R282"/>
      <c r="S282"/>
      <c r="T282" s="229"/>
      <c r="U282" s="229"/>
      <c r="V282" s="229"/>
      <c r="W282" s="229"/>
      <c r="X282" s="229"/>
      <c r="Y282" s="136"/>
      <c r="Z282" s="166"/>
      <c r="AA282" s="166"/>
      <c r="AB282" s="71"/>
      <c r="AC282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</row>
    <row r="283" spans="1:107" s="92" customFormat="1" ht="39.950000000000003" customHeight="1" x14ac:dyDescent="0.25">
      <c r="A283"/>
      <c r="B283"/>
      <c r="C283"/>
      <c r="D283"/>
      <c r="E283"/>
      <c r="F283"/>
      <c r="G283"/>
      <c r="H283"/>
      <c r="I283" s="68"/>
      <c r="J283" s="71"/>
      <c r="K283"/>
      <c r="L283"/>
      <c r="M283"/>
      <c r="N283"/>
      <c r="O283"/>
      <c r="P283"/>
      <c r="Q283" s="121"/>
      <c r="R283"/>
      <c r="S283"/>
      <c r="T283" s="229"/>
      <c r="U283" s="229"/>
      <c r="V283" s="229"/>
      <c r="W283" s="229"/>
      <c r="X283" s="229"/>
      <c r="Y283" s="136"/>
      <c r="Z283" s="166"/>
      <c r="AA283" s="166"/>
      <c r="AB283" s="71"/>
      <c r="AC283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</row>
    <row r="284" spans="1:107" s="92" customFormat="1" ht="39.950000000000003" customHeight="1" x14ac:dyDescent="0.25">
      <c r="A284"/>
      <c r="B284"/>
      <c r="C284"/>
      <c r="D284"/>
      <c r="E284"/>
      <c r="F284"/>
      <c r="G284"/>
      <c r="H284"/>
      <c r="I284" s="68"/>
      <c r="J284" s="71"/>
      <c r="K284"/>
      <c r="L284"/>
      <c r="M284"/>
      <c r="N284"/>
      <c r="O284"/>
      <c r="P284"/>
      <c r="Q284" s="121"/>
      <c r="R284"/>
      <c r="S284"/>
      <c r="T284" s="229"/>
      <c r="U284" s="229"/>
      <c r="V284" s="229"/>
      <c r="W284" s="229"/>
      <c r="X284" s="229"/>
      <c r="Y284" s="136"/>
      <c r="Z284" s="166"/>
      <c r="AA284" s="166"/>
      <c r="AB284" s="71"/>
      <c r="AC284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</row>
    <row r="285" spans="1:107" s="92" customFormat="1" ht="39.950000000000003" customHeight="1" x14ac:dyDescent="0.25">
      <c r="A285"/>
      <c r="B285"/>
      <c r="C285"/>
      <c r="D285"/>
      <c r="E285"/>
      <c r="F285"/>
      <c r="G285"/>
      <c r="H285"/>
      <c r="I285" s="68"/>
      <c r="J285" s="71"/>
      <c r="K285"/>
      <c r="L285"/>
      <c r="M285"/>
      <c r="N285"/>
      <c r="O285"/>
      <c r="P285"/>
      <c r="Q285" s="121"/>
      <c r="R285"/>
      <c r="S285"/>
      <c r="T285" s="229"/>
      <c r="U285" s="229"/>
      <c r="V285" s="229"/>
      <c r="W285" s="229"/>
      <c r="X285" s="229"/>
      <c r="Y285" s="136"/>
      <c r="Z285" s="166"/>
      <c r="AA285" s="166"/>
      <c r="AB285" s="71"/>
      <c r="AC285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</row>
    <row r="286" spans="1:107" s="92" customFormat="1" ht="39.950000000000003" customHeight="1" x14ac:dyDescent="0.25">
      <c r="A286"/>
      <c r="B286"/>
      <c r="C286"/>
      <c r="D286"/>
      <c r="E286"/>
      <c r="F286"/>
      <c r="G286"/>
      <c r="H286"/>
      <c r="I286" s="68"/>
      <c r="J286" s="71"/>
      <c r="K286"/>
      <c r="L286"/>
      <c r="M286"/>
      <c r="N286"/>
      <c r="O286"/>
      <c r="P286"/>
      <c r="Q286" s="121"/>
      <c r="R286"/>
      <c r="S286"/>
      <c r="T286" s="229"/>
      <c r="U286" s="229"/>
      <c r="V286" s="229"/>
      <c r="W286" s="229"/>
      <c r="X286" s="229"/>
      <c r="Y286" s="136"/>
      <c r="Z286" s="166"/>
      <c r="AA286" s="166"/>
      <c r="AB286" s="71"/>
      <c r="AC286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</row>
    <row r="287" spans="1:107" s="92" customFormat="1" ht="39.950000000000003" customHeight="1" x14ac:dyDescent="0.25">
      <c r="A287"/>
      <c r="B287"/>
      <c r="C287"/>
      <c r="D287"/>
      <c r="E287"/>
      <c r="F287"/>
      <c r="G287"/>
      <c r="H287"/>
      <c r="I287" s="68"/>
      <c r="J287" s="71"/>
      <c r="K287"/>
      <c r="L287"/>
      <c r="M287"/>
      <c r="N287"/>
      <c r="O287"/>
      <c r="P287"/>
      <c r="Q287" s="121"/>
      <c r="R287"/>
      <c r="S287"/>
      <c r="T287" s="229"/>
      <c r="U287" s="229"/>
      <c r="V287" s="229"/>
      <c r="W287" s="229"/>
      <c r="X287" s="229"/>
      <c r="Y287" s="136"/>
      <c r="Z287" s="166"/>
      <c r="AA287" s="166"/>
      <c r="AB287" s="71"/>
      <c r="AC287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</row>
    <row r="288" spans="1:107" s="92" customFormat="1" ht="39.950000000000003" customHeight="1" x14ac:dyDescent="0.25">
      <c r="A288"/>
      <c r="B288"/>
      <c r="C288"/>
      <c r="D288"/>
      <c r="E288"/>
      <c r="F288"/>
      <c r="G288"/>
      <c r="H288"/>
      <c r="I288" s="68"/>
      <c r="J288" s="71"/>
      <c r="K288"/>
      <c r="L288"/>
      <c r="M288"/>
      <c r="N288"/>
      <c r="O288"/>
      <c r="P288"/>
      <c r="Q288" s="121"/>
      <c r="R288"/>
      <c r="S288"/>
      <c r="T288" s="229"/>
      <c r="U288" s="229"/>
      <c r="V288" s="229"/>
      <c r="W288" s="229"/>
      <c r="X288" s="229"/>
      <c r="Y288" s="136"/>
      <c r="Z288" s="166"/>
      <c r="AA288" s="166"/>
      <c r="AB288" s="71"/>
      <c r="AC288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</row>
    <row r="289" spans="1:107" s="92" customFormat="1" ht="39.950000000000003" customHeight="1" x14ac:dyDescent="0.25">
      <c r="A289"/>
      <c r="B289"/>
      <c r="C289"/>
      <c r="D289"/>
      <c r="E289"/>
      <c r="F289"/>
      <c r="G289"/>
      <c r="H289"/>
      <c r="I289" s="68"/>
      <c r="J289" s="71"/>
      <c r="K289"/>
      <c r="L289"/>
      <c r="M289"/>
      <c r="N289"/>
      <c r="O289"/>
      <c r="P289"/>
      <c r="Q289" s="121"/>
      <c r="R289"/>
      <c r="S289"/>
      <c r="T289" s="229"/>
      <c r="U289" s="229"/>
      <c r="V289" s="229"/>
      <c r="W289" s="229"/>
      <c r="X289" s="229"/>
      <c r="Y289" s="136"/>
      <c r="Z289" s="166"/>
      <c r="AA289" s="166"/>
      <c r="AB289" s="71"/>
      <c r="AC28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</row>
    <row r="290" spans="1:107" s="92" customFormat="1" ht="39.950000000000003" customHeight="1" x14ac:dyDescent="0.25">
      <c r="A290"/>
      <c r="B290"/>
      <c r="C290"/>
      <c r="D290"/>
      <c r="E290"/>
      <c r="F290"/>
      <c r="G290"/>
      <c r="H290"/>
      <c r="I290" s="68"/>
      <c r="J290" s="71"/>
      <c r="K290"/>
      <c r="L290"/>
      <c r="M290"/>
      <c r="N290"/>
      <c r="O290"/>
      <c r="P290"/>
      <c r="Q290" s="121"/>
      <c r="R290"/>
      <c r="S290"/>
      <c r="T290" s="229"/>
      <c r="U290" s="229"/>
      <c r="V290" s="229"/>
      <c r="W290" s="229"/>
      <c r="X290" s="229"/>
      <c r="Y290" s="136"/>
      <c r="Z290" s="166"/>
      <c r="AA290" s="166"/>
      <c r="AB290" s="71"/>
      <c r="AC290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</row>
    <row r="291" spans="1:107" s="92" customFormat="1" ht="39.950000000000003" customHeight="1" x14ac:dyDescent="0.25">
      <c r="A291"/>
      <c r="B291"/>
      <c r="C291"/>
      <c r="D291"/>
      <c r="E291"/>
      <c r="F291"/>
      <c r="G291"/>
      <c r="H291"/>
      <c r="I291" s="68"/>
      <c r="J291" s="71"/>
      <c r="K291"/>
      <c r="L291"/>
      <c r="M291"/>
      <c r="N291"/>
      <c r="O291"/>
      <c r="P291"/>
      <c r="Q291" s="121"/>
      <c r="R291"/>
      <c r="S291"/>
      <c r="T291" s="229"/>
      <c r="U291" s="229"/>
      <c r="V291" s="229"/>
      <c r="W291" s="229"/>
      <c r="X291" s="229"/>
      <c r="Y291" s="136"/>
      <c r="Z291" s="166"/>
      <c r="AA291" s="166"/>
      <c r="AB291" s="71"/>
      <c r="AC291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</row>
    <row r="292" spans="1:107" s="92" customFormat="1" ht="39.950000000000003" customHeight="1" x14ac:dyDescent="0.25">
      <c r="A292"/>
      <c r="B292"/>
      <c r="C292"/>
      <c r="D292"/>
      <c r="E292"/>
      <c r="F292"/>
      <c r="G292"/>
      <c r="H292"/>
      <c r="I292" s="68"/>
      <c r="J292" s="71"/>
      <c r="K292"/>
      <c r="L292"/>
      <c r="M292"/>
      <c r="N292"/>
      <c r="O292"/>
      <c r="P292"/>
      <c r="Q292" s="121"/>
      <c r="R292"/>
      <c r="S292"/>
      <c r="T292" s="229"/>
      <c r="U292" s="229"/>
      <c r="V292" s="229"/>
      <c r="W292" s="229"/>
      <c r="X292" s="229"/>
      <c r="Y292" s="136"/>
      <c r="Z292" s="166"/>
      <c r="AA292" s="166"/>
      <c r="AB292" s="71"/>
      <c r="AC292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</row>
    <row r="293" spans="1:107" s="92" customFormat="1" ht="39.950000000000003" customHeight="1" x14ac:dyDescent="0.25">
      <c r="A293"/>
      <c r="B293"/>
      <c r="C293"/>
      <c r="D293"/>
      <c r="E293"/>
      <c r="F293"/>
      <c r="G293"/>
      <c r="H293"/>
      <c r="I293" s="68"/>
      <c r="J293" s="71"/>
      <c r="K293"/>
      <c r="L293"/>
      <c r="M293"/>
      <c r="N293"/>
      <c r="O293"/>
      <c r="P293"/>
      <c r="Q293" s="121"/>
      <c r="R293"/>
      <c r="S293"/>
      <c r="T293" s="229"/>
      <c r="U293" s="229"/>
      <c r="V293" s="229"/>
      <c r="W293" s="229"/>
      <c r="X293" s="229"/>
      <c r="Y293" s="136"/>
      <c r="Z293" s="166"/>
      <c r="AA293" s="166"/>
      <c r="AB293" s="71"/>
      <c r="AC293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</row>
    <row r="294" spans="1:107" s="92" customFormat="1" ht="39.950000000000003" customHeight="1" x14ac:dyDescent="0.25">
      <c r="A294"/>
      <c r="B294"/>
      <c r="C294"/>
      <c r="D294"/>
      <c r="E294"/>
      <c r="F294"/>
      <c r="G294"/>
      <c r="H294"/>
      <c r="I294" s="68"/>
      <c r="J294" s="71"/>
      <c r="K294"/>
      <c r="L294"/>
      <c r="M294"/>
      <c r="N294"/>
      <c r="O294"/>
      <c r="P294"/>
      <c r="Q294" s="121"/>
      <c r="R294"/>
      <c r="S294"/>
      <c r="T294" s="229"/>
      <c r="U294" s="229"/>
      <c r="V294" s="229"/>
      <c r="W294" s="229"/>
      <c r="X294" s="229"/>
      <c r="Y294" s="136"/>
      <c r="Z294" s="166"/>
      <c r="AA294" s="166"/>
      <c r="AB294" s="71"/>
      <c r="AC294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</row>
    <row r="295" spans="1:107" s="92" customFormat="1" ht="39.950000000000003" customHeight="1" x14ac:dyDescent="0.25">
      <c r="A295"/>
      <c r="B295"/>
      <c r="C295"/>
      <c r="D295"/>
      <c r="E295"/>
      <c r="F295"/>
      <c r="G295"/>
      <c r="H295"/>
      <c r="I295" s="68"/>
      <c r="J295" s="71"/>
      <c r="K295"/>
      <c r="L295"/>
      <c r="M295"/>
      <c r="N295"/>
      <c r="O295"/>
      <c r="P295"/>
      <c r="Q295" s="121"/>
      <c r="R295"/>
      <c r="S295"/>
      <c r="T295" s="229"/>
      <c r="U295" s="229"/>
      <c r="V295" s="229"/>
      <c r="W295" s="229"/>
      <c r="X295" s="229"/>
      <c r="Y295" s="136"/>
      <c r="Z295" s="166"/>
      <c r="AA295" s="166"/>
      <c r="AB295" s="71"/>
      <c r="AC295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</row>
    <row r="296" spans="1:107" s="92" customFormat="1" ht="39.950000000000003" customHeight="1" x14ac:dyDescent="0.25">
      <c r="A296"/>
      <c r="B296"/>
      <c r="C296"/>
      <c r="D296"/>
      <c r="E296"/>
      <c r="F296"/>
      <c r="G296"/>
      <c r="H296"/>
      <c r="I296" s="68"/>
      <c r="J296" s="71"/>
      <c r="K296"/>
      <c r="L296"/>
      <c r="M296"/>
      <c r="N296"/>
      <c r="O296"/>
      <c r="P296"/>
      <c r="Q296" s="121"/>
      <c r="R296"/>
      <c r="S296"/>
      <c r="T296" s="229"/>
      <c r="U296" s="229"/>
      <c r="V296" s="229"/>
      <c r="W296" s="229"/>
      <c r="X296" s="229"/>
      <c r="Y296" s="136"/>
      <c r="Z296" s="166"/>
      <c r="AA296" s="166"/>
      <c r="AB296" s="71"/>
      <c r="AC296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</row>
    <row r="297" spans="1:107" s="92" customFormat="1" ht="39.950000000000003" customHeight="1" x14ac:dyDescent="0.25">
      <c r="A297"/>
      <c r="B297"/>
      <c r="C297"/>
      <c r="D297"/>
      <c r="E297"/>
      <c r="F297"/>
      <c r="G297"/>
      <c r="H297"/>
      <c r="I297" s="68"/>
      <c r="J297" s="71"/>
      <c r="K297"/>
      <c r="L297"/>
      <c r="M297"/>
      <c r="N297"/>
      <c r="O297"/>
      <c r="P297"/>
      <c r="Q297" s="121"/>
      <c r="R297"/>
      <c r="S297"/>
      <c r="T297" s="229"/>
      <c r="U297" s="229"/>
      <c r="V297" s="229"/>
      <c r="W297" s="229"/>
      <c r="X297" s="229"/>
      <c r="Y297" s="136"/>
      <c r="Z297" s="166"/>
      <c r="AA297" s="166"/>
      <c r="AB297" s="71"/>
      <c r="AC297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</row>
    <row r="298" spans="1:107" s="92" customFormat="1" ht="39.950000000000003" customHeight="1" x14ac:dyDescent="0.25">
      <c r="A298"/>
      <c r="B298"/>
      <c r="C298"/>
      <c r="D298"/>
      <c r="E298"/>
      <c r="F298"/>
      <c r="G298"/>
      <c r="H298"/>
      <c r="I298" s="68"/>
      <c r="J298" s="71"/>
      <c r="K298"/>
      <c r="L298"/>
      <c r="M298"/>
      <c r="N298"/>
      <c r="O298"/>
      <c r="P298"/>
      <c r="Q298" s="121"/>
      <c r="R298"/>
      <c r="S298"/>
      <c r="T298" s="229"/>
      <c r="U298" s="229"/>
      <c r="V298" s="229"/>
      <c r="W298" s="229"/>
      <c r="X298" s="229"/>
      <c r="Y298" s="136"/>
      <c r="Z298" s="166"/>
      <c r="AA298" s="166"/>
      <c r="AB298" s="71"/>
      <c r="AC298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</row>
    <row r="299" spans="1:107" s="92" customFormat="1" ht="39.950000000000003" customHeight="1" x14ac:dyDescent="0.25">
      <c r="A299"/>
      <c r="B299"/>
      <c r="C299"/>
      <c r="D299"/>
      <c r="E299"/>
      <c r="F299"/>
      <c r="G299"/>
      <c r="H299"/>
      <c r="I299" s="68"/>
      <c r="J299" s="71"/>
      <c r="K299"/>
      <c r="L299"/>
      <c r="M299"/>
      <c r="N299"/>
      <c r="O299"/>
      <c r="P299"/>
      <c r="Q299" s="121"/>
      <c r="R299"/>
      <c r="S299"/>
      <c r="T299" s="229"/>
      <c r="U299" s="229"/>
      <c r="V299" s="229"/>
      <c r="W299" s="229"/>
      <c r="X299" s="229"/>
      <c r="Y299" s="136"/>
      <c r="Z299" s="166"/>
      <c r="AA299" s="166"/>
      <c r="AB299" s="71"/>
      <c r="AC29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</row>
    <row r="300" spans="1:107" s="92" customFormat="1" ht="39.950000000000003" customHeight="1" x14ac:dyDescent="0.25">
      <c r="A300"/>
      <c r="B300"/>
      <c r="C300"/>
      <c r="D300"/>
      <c r="E300"/>
      <c r="F300"/>
      <c r="G300"/>
      <c r="H300"/>
      <c r="I300" s="68"/>
      <c r="J300" s="71"/>
      <c r="K300"/>
      <c r="L300"/>
      <c r="M300"/>
      <c r="N300"/>
      <c r="O300"/>
      <c r="P300"/>
      <c r="Q300" s="121"/>
      <c r="R300"/>
      <c r="S300"/>
      <c r="T300" s="229"/>
      <c r="U300" s="229"/>
      <c r="V300" s="229"/>
      <c r="W300" s="229"/>
      <c r="X300" s="229"/>
      <c r="Y300" s="136"/>
      <c r="Z300" s="166"/>
      <c r="AA300" s="166"/>
      <c r="AB300" s="71"/>
      <c r="AC300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</row>
    <row r="301" spans="1:107" s="92" customFormat="1" ht="39.950000000000003" customHeight="1" x14ac:dyDescent="0.25">
      <c r="A301"/>
      <c r="B301"/>
      <c r="C301"/>
      <c r="D301"/>
      <c r="E301"/>
      <c r="F301"/>
      <c r="G301"/>
      <c r="H301"/>
      <c r="I301" s="68"/>
      <c r="J301" s="71"/>
      <c r="K301"/>
      <c r="L301"/>
      <c r="M301"/>
      <c r="N301"/>
      <c r="O301"/>
      <c r="P301"/>
      <c r="Q301" s="121"/>
      <c r="R301"/>
      <c r="S301"/>
      <c r="T301" s="229"/>
      <c r="U301" s="229"/>
      <c r="V301" s="229"/>
      <c r="W301" s="229"/>
      <c r="X301" s="229"/>
      <c r="Y301" s="136"/>
      <c r="Z301" s="166"/>
      <c r="AA301" s="166"/>
      <c r="AB301" s="71"/>
      <c r="AC301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</row>
    <row r="302" spans="1:107" s="92" customFormat="1" ht="39.950000000000003" customHeight="1" x14ac:dyDescent="0.25">
      <c r="A302"/>
      <c r="B302"/>
      <c r="C302"/>
      <c r="D302"/>
      <c r="E302"/>
      <c r="F302"/>
      <c r="G302"/>
      <c r="H302"/>
      <c r="I302" s="68"/>
      <c r="J302" s="71"/>
      <c r="K302"/>
      <c r="L302"/>
      <c r="M302"/>
      <c r="N302"/>
      <c r="O302"/>
      <c r="P302"/>
      <c r="Q302" s="121"/>
      <c r="R302"/>
      <c r="S302"/>
      <c r="T302" s="229"/>
      <c r="U302" s="229"/>
      <c r="V302" s="229"/>
      <c r="W302" s="229"/>
      <c r="X302" s="229"/>
      <c r="Y302" s="136"/>
      <c r="Z302" s="166"/>
      <c r="AA302" s="166"/>
      <c r="AB302" s="71"/>
      <c r="AC302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</row>
    <row r="303" spans="1:107" s="92" customFormat="1" ht="39.950000000000003" customHeight="1" x14ac:dyDescent="0.25">
      <c r="A303"/>
      <c r="B303"/>
      <c r="C303"/>
      <c r="D303"/>
      <c r="E303"/>
      <c r="F303"/>
      <c r="G303"/>
      <c r="H303"/>
      <c r="I303" s="68"/>
      <c r="J303" s="71"/>
      <c r="K303"/>
      <c r="L303"/>
      <c r="M303"/>
      <c r="N303"/>
      <c r="O303"/>
      <c r="P303"/>
      <c r="Q303" s="121"/>
      <c r="R303"/>
      <c r="S303"/>
      <c r="T303" s="229"/>
      <c r="U303" s="229"/>
      <c r="V303" s="229"/>
      <c r="W303" s="229"/>
      <c r="X303" s="229"/>
      <c r="Y303" s="136"/>
      <c r="Z303" s="166"/>
      <c r="AA303" s="166"/>
      <c r="AB303" s="71"/>
      <c r="AC303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</row>
    <row r="304" spans="1:107" s="92" customFormat="1" ht="39.950000000000003" customHeight="1" x14ac:dyDescent="0.25">
      <c r="A304"/>
      <c r="B304"/>
      <c r="C304"/>
      <c r="D304"/>
      <c r="E304"/>
      <c r="F304"/>
      <c r="G304"/>
      <c r="H304"/>
      <c r="I304" s="68"/>
      <c r="J304" s="71"/>
      <c r="K304"/>
      <c r="L304"/>
      <c r="M304"/>
      <c r="N304"/>
      <c r="O304"/>
      <c r="P304"/>
      <c r="Q304" s="121"/>
      <c r="R304"/>
      <c r="S304"/>
      <c r="T304" s="229"/>
      <c r="U304" s="229"/>
      <c r="V304" s="229"/>
      <c r="W304" s="229"/>
      <c r="X304" s="229"/>
      <c r="Y304" s="136"/>
      <c r="Z304" s="166"/>
      <c r="AA304" s="166"/>
      <c r="AB304" s="71"/>
      <c r="AC304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</row>
    <row r="305" spans="1:107" s="92" customFormat="1" ht="39.950000000000003" customHeight="1" x14ac:dyDescent="0.25">
      <c r="A305"/>
      <c r="B305"/>
      <c r="C305"/>
      <c r="D305"/>
      <c r="E305"/>
      <c r="F305"/>
      <c r="G305"/>
      <c r="H305"/>
      <c r="I305" s="68"/>
      <c r="J305" s="71"/>
      <c r="K305"/>
      <c r="L305"/>
      <c r="M305"/>
      <c r="N305"/>
      <c r="O305"/>
      <c r="P305"/>
      <c r="Q305" s="121"/>
      <c r="R305"/>
      <c r="S305"/>
      <c r="T305" s="229"/>
      <c r="U305" s="229"/>
      <c r="V305" s="229"/>
      <c r="W305" s="229"/>
      <c r="X305" s="229"/>
      <c r="Y305" s="136"/>
      <c r="Z305" s="166"/>
      <c r="AA305" s="166"/>
      <c r="AB305" s="71"/>
      <c r="AC305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</row>
    <row r="306" spans="1:107" s="92" customFormat="1" ht="39.950000000000003" customHeight="1" x14ac:dyDescent="0.25">
      <c r="A306"/>
      <c r="B306"/>
      <c r="C306"/>
      <c r="D306"/>
      <c r="E306"/>
      <c r="F306"/>
      <c r="G306"/>
      <c r="H306"/>
      <c r="I306" s="68"/>
      <c r="J306" s="71"/>
      <c r="K306"/>
      <c r="L306"/>
      <c r="M306"/>
      <c r="N306"/>
      <c r="O306"/>
      <c r="P306"/>
      <c r="Q306" s="121"/>
      <c r="R306"/>
      <c r="S306"/>
      <c r="T306" s="229"/>
      <c r="U306" s="229"/>
      <c r="V306" s="229"/>
      <c r="W306" s="229"/>
      <c r="X306" s="229"/>
      <c r="Y306" s="136"/>
      <c r="Z306" s="166"/>
      <c r="AA306" s="166"/>
      <c r="AB306" s="71"/>
      <c r="AC306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</row>
    <row r="307" spans="1:107" s="92" customFormat="1" ht="39.950000000000003" customHeight="1" x14ac:dyDescent="0.25">
      <c r="A307"/>
      <c r="B307"/>
      <c r="C307"/>
      <c r="D307"/>
      <c r="E307"/>
      <c r="F307"/>
      <c r="G307"/>
      <c r="H307"/>
      <c r="I307" s="68"/>
      <c r="J307" s="71"/>
      <c r="K307"/>
      <c r="L307"/>
      <c r="M307"/>
      <c r="N307"/>
      <c r="O307"/>
      <c r="P307"/>
      <c r="Q307" s="121"/>
      <c r="R307"/>
      <c r="S307"/>
      <c r="T307" s="229"/>
      <c r="U307" s="229"/>
      <c r="V307" s="229"/>
      <c r="W307" s="229"/>
      <c r="X307" s="229"/>
      <c r="Y307" s="136"/>
      <c r="Z307" s="166"/>
      <c r="AA307" s="166"/>
      <c r="AB307" s="71"/>
      <c r="AC307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</row>
    <row r="308" spans="1:107" s="92" customFormat="1" ht="39.950000000000003" customHeight="1" x14ac:dyDescent="0.25">
      <c r="A308"/>
      <c r="B308"/>
      <c r="C308"/>
      <c r="D308"/>
      <c r="E308"/>
      <c r="F308"/>
      <c r="G308"/>
      <c r="H308"/>
      <c r="I308" s="68"/>
      <c r="J308" s="71"/>
      <c r="K308"/>
      <c r="L308"/>
      <c r="M308"/>
      <c r="N308"/>
      <c r="O308"/>
      <c r="P308"/>
      <c r="Q308" s="121"/>
      <c r="R308"/>
      <c r="S308"/>
      <c r="T308" s="229"/>
      <c r="U308" s="229"/>
      <c r="V308" s="229"/>
      <c r="W308" s="229"/>
      <c r="X308" s="229"/>
      <c r="Y308" s="136"/>
      <c r="Z308" s="166"/>
      <c r="AA308" s="166"/>
      <c r="AB308" s="71"/>
      <c r="AC308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</row>
    <row r="309" spans="1:107" s="92" customFormat="1" ht="39.950000000000003" customHeight="1" x14ac:dyDescent="0.25">
      <c r="A309"/>
      <c r="B309"/>
      <c r="C309"/>
      <c r="D309"/>
      <c r="E309"/>
      <c r="F309"/>
      <c r="G309"/>
      <c r="H309"/>
      <c r="I309" s="68"/>
      <c r="J309" s="71"/>
      <c r="K309"/>
      <c r="L309"/>
      <c r="M309"/>
      <c r="N309"/>
      <c r="O309"/>
      <c r="P309"/>
      <c r="Q309" s="121"/>
      <c r="R309"/>
      <c r="S309"/>
      <c r="T309" s="229"/>
      <c r="U309" s="229"/>
      <c r="V309" s="229"/>
      <c r="W309" s="229"/>
      <c r="X309" s="229"/>
      <c r="Y309" s="136"/>
      <c r="Z309" s="166"/>
      <c r="AA309" s="166"/>
      <c r="AB309" s="71"/>
      <c r="AC30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</row>
    <row r="310" spans="1:107" s="92" customFormat="1" ht="39.950000000000003" customHeight="1" x14ac:dyDescent="0.25">
      <c r="A310"/>
      <c r="B310"/>
      <c r="C310"/>
      <c r="D310"/>
      <c r="E310"/>
      <c r="F310"/>
      <c r="G310"/>
      <c r="H310"/>
      <c r="I310" s="68"/>
      <c r="J310" s="71"/>
      <c r="K310"/>
      <c r="L310"/>
      <c r="M310"/>
      <c r="N310"/>
      <c r="O310"/>
      <c r="P310"/>
      <c r="Q310" s="121"/>
      <c r="R310"/>
      <c r="S310"/>
      <c r="T310" s="229"/>
      <c r="U310" s="229"/>
      <c r="V310" s="229"/>
      <c r="W310" s="229"/>
      <c r="X310" s="229"/>
      <c r="Y310" s="136"/>
      <c r="Z310" s="166"/>
      <c r="AA310" s="166"/>
      <c r="AB310" s="71"/>
      <c r="AC310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</row>
    <row r="311" spans="1:107" s="92" customFormat="1" ht="39.950000000000003" customHeight="1" x14ac:dyDescent="0.25">
      <c r="A311"/>
      <c r="B311"/>
      <c r="C311"/>
      <c r="D311"/>
      <c r="E311"/>
      <c r="F311"/>
      <c r="G311"/>
      <c r="H311"/>
      <c r="I311" s="68"/>
      <c r="J311" s="71"/>
      <c r="K311"/>
      <c r="L311"/>
      <c r="M311"/>
      <c r="N311"/>
      <c r="O311"/>
      <c r="P311"/>
      <c r="Q311" s="121"/>
      <c r="R311"/>
      <c r="S311"/>
      <c r="T311" s="229"/>
      <c r="U311" s="229"/>
      <c r="V311" s="229"/>
      <c r="W311" s="229"/>
      <c r="X311" s="229"/>
      <c r="Y311" s="136"/>
      <c r="Z311" s="166"/>
      <c r="AA311" s="166"/>
      <c r="AB311" s="71"/>
      <c r="AC311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</row>
    <row r="312" spans="1:107" s="92" customFormat="1" ht="39.950000000000003" customHeight="1" x14ac:dyDescent="0.25">
      <c r="A312"/>
      <c r="B312"/>
      <c r="C312"/>
      <c r="D312"/>
      <c r="E312"/>
      <c r="F312"/>
      <c r="G312"/>
      <c r="H312"/>
      <c r="I312" s="68"/>
      <c r="J312" s="71"/>
      <c r="K312"/>
      <c r="L312"/>
      <c r="M312"/>
      <c r="N312"/>
      <c r="O312"/>
      <c r="P312"/>
      <c r="Q312" s="121"/>
      <c r="R312"/>
      <c r="S312"/>
      <c r="T312" s="229"/>
      <c r="U312" s="229"/>
      <c r="V312" s="229"/>
      <c r="W312" s="229"/>
      <c r="X312" s="229"/>
      <c r="Y312" s="136"/>
      <c r="Z312" s="166"/>
      <c r="AA312" s="166"/>
      <c r="AB312" s="71"/>
      <c r="AC312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</row>
    <row r="313" spans="1:107" s="92" customFormat="1" ht="39.950000000000003" customHeight="1" x14ac:dyDescent="0.25">
      <c r="A313"/>
      <c r="B313"/>
      <c r="C313"/>
      <c r="D313"/>
      <c r="E313"/>
      <c r="F313"/>
      <c r="G313"/>
      <c r="H313"/>
      <c r="I313" s="68"/>
      <c r="J313" s="71"/>
      <c r="K313"/>
      <c r="L313"/>
      <c r="M313"/>
      <c r="N313"/>
      <c r="O313"/>
      <c r="P313"/>
      <c r="Q313" s="121"/>
      <c r="R313"/>
      <c r="S313"/>
      <c r="T313" s="229"/>
      <c r="U313" s="229"/>
      <c r="V313" s="229"/>
      <c r="W313" s="229"/>
      <c r="X313" s="229"/>
      <c r="Y313" s="136"/>
      <c r="Z313" s="166"/>
      <c r="AA313" s="166"/>
      <c r="AB313" s="71"/>
      <c r="AC313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</row>
    <row r="314" spans="1:107" s="92" customFormat="1" ht="39.950000000000003" customHeight="1" x14ac:dyDescent="0.25">
      <c r="A314"/>
      <c r="B314"/>
      <c r="C314"/>
      <c r="D314"/>
      <c r="E314"/>
      <c r="F314"/>
      <c r="G314"/>
      <c r="H314"/>
      <c r="I314" s="68"/>
      <c r="J314" s="71"/>
      <c r="K314"/>
      <c r="L314"/>
      <c r="M314"/>
      <c r="N314"/>
      <c r="O314"/>
      <c r="P314"/>
      <c r="Q314" s="121"/>
      <c r="R314"/>
      <c r="S314"/>
      <c r="T314" s="229"/>
      <c r="U314" s="229"/>
      <c r="V314" s="229"/>
      <c r="W314" s="229"/>
      <c r="X314" s="229"/>
      <c r="Y314" s="136"/>
      <c r="Z314" s="166"/>
      <c r="AA314" s="166"/>
      <c r="AB314" s="71"/>
      <c r="AC314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</row>
    <row r="315" spans="1:107" s="92" customFormat="1" ht="39.950000000000003" customHeight="1" x14ac:dyDescent="0.25">
      <c r="A315"/>
      <c r="B315"/>
      <c r="C315"/>
      <c r="D315"/>
      <c r="E315"/>
      <c r="F315"/>
      <c r="G315"/>
      <c r="H315"/>
      <c r="I315" s="68"/>
      <c r="J315" s="71"/>
      <c r="K315"/>
      <c r="L315"/>
      <c r="M315"/>
      <c r="N315"/>
      <c r="O315"/>
      <c r="P315"/>
      <c r="Q315" s="121"/>
      <c r="R315"/>
      <c r="S315"/>
      <c r="T315" s="229"/>
      <c r="U315" s="229"/>
      <c r="V315" s="229"/>
      <c r="W315" s="229"/>
      <c r="X315" s="229"/>
      <c r="Y315" s="136"/>
      <c r="Z315" s="166"/>
      <c r="AA315" s="166"/>
      <c r="AB315" s="71"/>
      <c r="AC315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</row>
    <row r="316" spans="1:107" s="92" customFormat="1" ht="39.950000000000003" customHeight="1" x14ac:dyDescent="0.25">
      <c r="A316"/>
      <c r="B316"/>
      <c r="C316"/>
      <c r="D316"/>
      <c r="E316"/>
      <c r="F316"/>
      <c r="G316"/>
      <c r="H316"/>
      <c r="I316" s="68"/>
      <c r="J316" s="71"/>
      <c r="K316"/>
      <c r="L316"/>
      <c r="M316"/>
      <c r="N316"/>
      <c r="O316"/>
      <c r="P316"/>
      <c r="Q316" s="121"/>
      <c r="R316"/>
      <c r="S316"/>
      <c r="T316" s="229"/>
      <c r="U316" s="229"/>
      <c r="V316" s="229"/>
      <c r="W316" s="229"/>
      <c r="X316" s="229"/>
      <c r="Y316" s="136"/>
      <c r="Z316" s="166"/>
      <c r="AA316" s="166"/>
      <c r="AB316" s="71"/>
      <c r="AC316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</row>
    <row r="317" spans="1:107" s="92" customFormat="1" ht="39.950000000000003" customHeight="1" x14ac:dyDescent="0.25">
      <c r="A317"/>
      <c r="B317"/>
      <c r="C317"/>
      <c r="D317"/>
      <c r="E317"/>
      <c r="F317"/>
      <c r="G317"/>
      <c r="H317"/>
      <c r="I317" s="68"/>
      <c r="J317" s="71"/>
      <c r="K317"/>
      <c r="L317"/>
      <c r="M317"/>
      <c r="N317"/>
      <c r="O317"/>
      <c r="P317"/>
      <c r="Q317" s="121"/>
      <c r="R317"/>
      <c r="S317"/>
      <c r="T317" s="229"/>
      <c r="U317" s="229"/>
      <c r="V317" s="229"/>
      <c r="W317" s="229"/>
      <c r="X317" s="229"/>
      <c r="Y317" s="136"/>
      <c r="Z317" s="166"/>
      <c r="AA317" s="166"/>
      <c r="AB317" s="71"/>
      <c r="AC317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</row>
    <row r="318" spans="1:107" s="92" customFormat="1" ht="39.950000000000003" customHeight="1" x14ac:dyDescent="0.25">
      <c r="A318"/>
      <c r="B318"/>
      <c r="C318"/>
      <c r="D318"/>
      <c r="E318"/>
      <c r="F318"/>
      <c r="G318"/>
      <c r="H318"/>
      <c r="I318" s="68"/>
      <c r="J318" s="71"/>
      <c r="K318"/>
      <c r="L318"/>
      <c r="M318"/>
      <c r="N318"/>
      <c r="O318"/>
      <c r="P318"/>
      <c r="Q318" s="121"/>
      <c r="R318"/>
      <c r="S318"/>
      <c r="T318" s="229"/>
      <c r="U318" s="229"/>
      <c r="V318" s="229"/>
      <c r="W318" s="229"/>
      <c r="X318" s="229"/>
      <c r="Y318" s="136"/>
      <c r="Z318" s="166"/>
      <c r="AA318" s="166"/>
      <c r="AB318" s="71"/>
      <c r="AC318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</row>
    <row r="319" spans="1:107" s="92" customFormat="1" ht="39.950000000000003" customHeight="1" x14ac:dyDescent="0.25">
      <c r="A319"/>
      <c r="B319"/>
      <c r="C319"/>
      <c r="D319"/>
      <c r="E319"/>
      <c r="F319"/>
      <c r="G319"/>
      <c r="H319"/>
      <c r="I319" s="68"/>
      <c r="J319" s="71"/>
      <c r="K319"/>
      <c r="L319"/>
      <c r="M319"/>
      <c r="N319"/>
      <c r="O319"/>
      <c r="P319"/>
      <c r="Q319" s="121"/>
      <c r="R319"/>
      <c r="S319"/>
      <c r="T319" s="229"/>
      <c r="U319" s="229"/>
      <c r="V319" s="229"/>
      <c r="W319" s="229"/>
      <c r="X319" s="229"/>
      <c r="Y319" s="136"/>
      <c r="Z319" s="166"/>
      <c r="AA319" s="166"/>
      <c r="AB319" s="71"/>
      <c r="AC31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</row>
    <row r="320" spans="1:107" s="92" customFormat="1" ht="39.950000000000003" customHeight="1" x14ac:dyDescent="0.25">
      <c r="A320"/>
      <c r="B320"/>
      <c r="C320"/>
      <c r="D320"/>
      <c r="E320"/>
      <c r="F320"/>
      <c r="G320"/>
      <c r="H320"/>
      <c r="I320" s="68"/>
      <c r="J320" s="71"/>
      <c r="K320"/>
      <c r="L320"/>
      <c r="M320"/>
      <c r="N320"/>
      <c r="O320"/>
      <c r="P320"/>
      <c r="Q320" s="121"/>
      <c r="R320"/>
      <c r="S320"/>
      <c r="T320" s="229"/>
      <c r="U320" s="229"/>
      <c r="V320" s="229"/>
      <c r="W320" s="229"/>
      <c r="X320" s="229"/>
      <c r="Y320" s="136"/>
      <c r="Z320" s="166"/>
      <c r="AA320" s="166"/>
      <c r="AB320" s="71"/>
      <c r="AC320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</row>
    <row r="321" spans="1:107" s="92" customFormat="1" ht="39.950000000000003" customHeight="1" x14ac:dyDescent="0.25">
      <c r="A321"/>
      <c r="B321"/>
      <c r="C321"/>
      <c r="D321"/>
      <c r="E321"/>
      <c r="F321"/>
      <c r="G321"/>
      <c r="H321"/>
      <c r="I321" s="68"/>
      <c r="J321" s="71"/>
      <c r="K321"/>
      <c r="L321"/>
      <c r="M321"/>
      <c r="N321"/>
      <c r="O321"/>
      <c r="P321"/>
      <c r="Q321" s="121"/>
      <c r="R321"/>
      <c r="S321"/>
      <c r="T321" s="229"/>
      <c r="U321" s="229"/>
      <c r="V321" s="229"/>
      <c r="W321" s="229"/>
      <c r="X321" s="229"/>
      <c r="Y321" s="136"/>
      <c r="Z321" s="166"/>
      <c r="AA321" s="166"/>
      <c r="AB321" s="71"/>
      <c r="AC321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</row>
    <row r="322" spans="1:107" s="92" customFormat="1" ht="39.950000000000003" customHeight="1" x14ac:dyDescent="0.25">
      <c r="A322"/>
      <c r="B322"/>
      <c r="C322"/>
      <c r="D322"/>
      <c r="E322"/>
      <c r="F322"/>
      <c r="G322"/>
      <c r="H322"/>
      <c r="I322" s="68"/>
      <c r="J322" s="71"/>
      <c r="K322"/>
      <c r="L322"/>
      <c r="M322"/>
      <c r="N322"/>
      <c r="O322"/>
      <c r="P322"/>
      <c r="Q322" s="121"/>
      <c r="R322"/>
      <c r="S322"/>
      <c r="T322" s="229"/>
      <c r="U322" s="229"/>
      <c r="V322" s="229"/>
      <c r="W322" s="229"/>
      <c r="X322" s="229"/>
      <c r="Y322" s="136"/>
      <c r="Z322" s="166"/>
      <c r="AA322" s="166"/>
      <c r="AB322" s="71"/>
      <c r="AC322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</row>
    <row r="323" spans="1:107" s="92" customFormat="1" ht="39.950000000000003" customHeight="1" x14ac:dyDescent="0.25">
      <c r="A323"/>
      <c r="B323"/>
      <c r="C323"/>
      <c r="D323"/>
      <c r="E323"/>
      <c r="F323"/>
      <c r="G323"/>
      <c r="H323"/>
      <c r="I323" s="68"/>
      <c r="J323" s="71"/>
      <c r="K323"/>
      <c r="L323"/>
      <c r="M323"/>
      <c r="N323"/>
      <c r="O323"/>
      <c r="P323"/>
      <c r="Q323" s="121"/>
      <c r="R323"/>
      <c r="S323"/>
      <c r="T323" s="229"/>
      <c r="U323" s="229"/>
      <c r="V323" s="229"/>
      <c r="W323" s="229"/>
      <c r="X323" s="229"/>
      <c r="Y323" s="136"/>
      <c r="Z323" s="166"/>
      <c r="AA323" s="166"/>
      <c r="AB323" s="71"/>
      <c r="AC323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</row>
    <row r="324" spans="1:107" s="92" customFormat="1" ht="39.950000000000003" customHeight="1" x14ac:dyDescent="0.25">
      <c r="A324"/>
      <c r="B324"/>
      <c r="C324"/>
      <c r="D324"/>
      <c r="E324"/>
      <c r="F324"/>
      <c r="G324"/>
      <c r="H324"/>
      <c r="I324" s="68"/>
      <c r="J324" s="71"/>
      <c r="K324"/>
      <c r="L324"/>
      <c r="M324"/>
      <c r="N324"/>
      <c r="O324"/>
      <c r="P324"/>
      <c r="Q324" s="121"/>
      <c r="R324"/>
      <c r="S324"/>
      <c r="T324" s="229"/>
      <c r="U324" s="229"/>
      <c r="V324" s="229"/>
      <c r="W324" s="229"/>
      <c r="X324" s="229"/>
      <c r="Y324" s="136"/>
      <c r="Z324" s="166"/>
      <c r="AA324" s="166"/>
      <c r="AB324" s="71"/>
      <c r="AC324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</row>
    <row r="325" spans="1:107" s="92" customFormat="1" ht="39.950000000000003" customHeight="1" x14ac:dyDescent="0.25">
      <c r="A325"/>
      <c r="B325"/>
      <c r="C325"/>
      <c r="D325"/>
      <c r="E325"/>
      <c r="F325"/>
      <c r="G325"/>
      <c r="H325"/>
      <c r="I325" s="68"/>
      <c r="J325" s="71"/>
      <c r="K325"/>
      <c r="L325"/>
      <c r="M325"/>
      <c r="N325"/>
      <c r="O325"/>
      <c r="P325"/>
      <c r="Q325" s="121"/>
      <c r="R325"/>
      <c r="S325"/>
      <c r="T325" s="229"/>
      <c r="U325" s="229"/>
      <c r="V325" s="229"/>
      <c r="W325" s="229"/>
      <c r="X325" s="229"/>
      <c r="Y325" s="136"/>
      <c r="Z325" s="166"/>
      <c r="AA325" s="166"/>
      <c r="AB325" s="71"/>
      <c r="AC325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  <c r="BA325" s="39"/>
      <c r="BB325" s="39"/>
      <c r="BC325" s="39"/>
      <c r="BD325" s="39"/>
      <c r="BE325" s="39"/>
      <c r="BF325" s="39"/>
      <c r="BG325" s="39"/>
      <c r="BH325" s="39"/>
      <c r="BI325" s="39"/>
      <c r="BJ325" s="39"/>
      <c r="BK325" s="39"/>
      <c r="BL325" s="39"/>
      <c r="BM325" s="39"/>
      <c r="BN325" s="39"/>
      <c r="BO325" s="39"/>
      <c r="BP325" s="39"/>
      <c r="BQ325" s="39"/>
      <c r="BR325" s="39"/>
      <c r="BS325" s="39"/>
      <c r="BT325" s="39"/>
      <c r="BU325" s="39"/>
      <c r="BV325" s="39"/>
      <c r="BW325" s="39"/>
      <c r="BX325" s="39"/>
      <c r="BY325" s="39"/>
      <c r="BZ325" s="39"/>
      <c r="CA325" s="39"/>
      <c r="CB325" s="39"/>
      <c r="CC325" s="39"/>
      <c r="CD325" s="39"/>
      <c r="CE325" s="39"/>
      <c r="CF325" s="39"/>
      <c r="CG325" s="39"/>
      <c r="CH325" s="39"/>
      <c r="CI325" s="39"/>
      <c r="CJ325" s="39"/>
      <c r="CK325" s="39"/>
      <c r="CL325" s="39"/>
      <c r="CM325" s="39"/>
      <c r="CN325" s="39"/>
      <c r="CO325" s="39"/>
      <c r="CP325" s="39"/>
      <c r="CQ325" s="39"/>
      <c r="CR325" s="39"/>
      <c r="CS325" s="39"/>
      <c r="CT325" s="39"/>
      <c r="CU325" s="39"/>
      <c r="CV325" s="39"/>
      <c r="CW325" s="39"/>
      <c r="CX325" s="39"/>
      <c r="CY325" s="39"/>
      <c r="CZ325" s="39"/>
      <c r="DA325" s="39"/>
      <c r="DB325" s="39"/>
      <c r="DC325" s="39"/>
    </row>
    <row r="326" spans="1:107" s="92" customFormat="1" ht="39.950000000000003" customHeight="1" x14ac:dyDescent="0.25">
      <c r="A326"/>
      <c r="B326"/>
      <c r="C326"/>
      <c r="D326"/>
      <c r="E326"/>
      <c r="F326"/>
      <c r="G326"/>
      <c r="H326"/>
      <c r="I326" s="68"/>
      <c r="J326" s="71"/>
      <c r="K326"/>
      <c r="L326"/>
      <c r="M326"/>
      <c r="N326"/>
      <c r="O326"/>
      <c r="P326"/>
      <c r="Q326" s="121"/>
      <c r="R326"/>
      <c r="S326"/>
      <c r="T326" s="229"/>
      <c r="U326" s="229"/>
      <c r="V326" s="229"/>
      <c r="W326" s="229"/>
      <c r="X326" s="229"/>
      <c r="Y326" s="136"/>
      <c r="Z326" s="166"/>
      <c r="AA326" s="166"/>
      <c r="AB326" s="71"/>
      <c r="AC326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  <c r="BA326" s="39"/>
      <c r="BB326" s="39"/>
      <c r="BC326" s="39"/>
      <c r="BD326" s="39"/>
      <c r="BE326" s="39"/>
      <c r="BF326" s="39"/>
      <c r="BG326" s="39"/>
      <c r="BH326" s="39"/>
      <c r="BI326" s="39"/>
      <c r="BJ326" s="39"/>
      <c r="BK326" s="39"/>
      <c r="BL326" s="39"/>
      <c r="BM326" s="39"/>
      <c r="BN326" s="39"/>
      <c r="BO326" s="39"/>
      <c r="BP326" s="39"/>
      <c r="BQ326" s="39"/>
      <c r="BR326" s="39"/>
      <c r="BS326" s="39"/>
      <c r="BT326" s="39"/>
      <c r="BU326" s="39"/>
      <c r="BV326" s="39"/>
      <c r="BW326" s="39"/>
      <c r="BX326" s="39"/>
      <c r="BY326" s="39"/>
      <c r="BZ326" s="39"/>
      <c r="CA326" s="39"/>
      <c r="CB326" s="39"/>
      <c r="CC326" s="39"/>
      <c r="CD326" s="39"/>
      <c r="CE326" s="39"/>
      <c r="CF326" s="39"/>
      <c r="CG326" s="39"/>
      <c r="CH326" s="39"/>
      <c r="CI326" s="39"/>
      <c r="CJ326" s="39"/>
      <c r="CK326" s="39"/>
      <c r="CL326" s="39"/>
      <c r="CM326" s="39"/>
      <c r="CN326" s="39"/>
      <c r="CO326" s="39"/>
      <c r="CP326" s="39"/>
      <c r="CQ326" s="39"/>
      <c r="CR326" s="39"/>
      <c r="CS326" s="39"/>
      <c r="CT326" s="39"/>
      <c r="CU326" s="39"/>
      <c r="CV326" s="39"/>
      <c r="CW326" s="39"/>
      <c r="CX326" s="39"/>
      <c r="CY326" s="39"/>
      <c r="CZ326" s="39"/>
      <c r="DA326" s="39"/>
      <c r="DB326" s="39"/>
      <c r="DC326" s="39"/>
    </row>
    <row r="327" spans="1:107" s="92" customFormat="1" ht="39.950000000000003" customHeight="1" x14ac:dyDescent="0.25">
      <c r="A327"/>
      <c r="B327"/>
      <c r="C327"/>
      <c r="D327"/>
      <c r="E327"/>
      <c r="F327"/>
      <c r="G327"/>
      <c r="H327"/>
      <c r="I327" s="68"/>
      <c r="J327" s="71"/>
      <c r="K327"/>
      <c r="L327"/>
      <c r="M327"/>
      <c r="N327"/>
      <c r="O327"/>
      <c r="P327"/>
      <c r="Q327" s="121"/>
      <c r="R327"/>
      <c r="S327"/>
      <c r="T327" s="229"/>
      <c r="U327" s="229"/>
      <c r="V327" s="229"/>
      <c r="W327" s="229"/>
      <c r="X327" s="229"/>
      <c r="Y327" s="136"/>
      <c r="Z327" s="166"/>
      <c r="AA327" s="166"/>
      <c r="AB327" s="71"/>
      <c r="AC327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  <c r="BA327" s="39"/>
      <c r="BB327" s="39"/>
      <c r="BC327" s="39"/>
      <c r="BD327" s="39"/>
      <c r="BE327" s="39"/>
      <c r="BF327" s="39"/>
      <c r="BG327" s="39"/>
      <c r="BH327" s="39"/>
      <c r="BI327" s="39"/>
      <c r="BJ327" s="39"/>
      <c r="BK327" s="39"/>
      <c r="BL327" s="39"/>
      <c r="BM327" s="39"/>
      <c r="BN327" s="39"/>
      <c r="BO327" s="39"/>
      <c r="BP327" s="39"/>
      <c r="BQ327" s="39"/>
      <c r="BR327" s="39"/>
      <c r="BS327" s="39"/>
      <c r="BT327" s="39"/>
      <c r="BU327" s="39"/>
      <c r="BV327" s="39"/>
      <c r="BW327" s="39"/>
      <c r="BX327" s="39"/>
      <c r="BY327" s="39"/>
      <c r="BZ327" s="39"/>
      <c r="CA327" s="39"/>
      <c r="CB327" s="39"/>
      <c r="CC327" s="39"/>
      <c r="CD327" s="39"/>
      <c r="CE327" s="39"/>
      <c r="CF327" s="39"/>
      <c r="CG327" s="39"/>
      <c r="CH327" s="39"/>
      <c r="CI327" s="39"/>
      <c r="CJ327" s="39"/>
      <c r="CK327" s="39"/>
      <c r="CL327" s="39"/>
      <c r="CM327" s="39"/>
      <c r="CN327" s="39"/>
      <c r="CO327" s="39"/>
      <c r="CP327" s="39"/>
      <c r="CQ327" s="39"/>
      <c r="CR327" s="39"/>
      <c r="CS327" s="39"/>
      <c r="CT327" s="39"/>
      <c r="CU327" s="39"/>
      <c r="CV327" s="39"/>
      <c r="CW327" s="39"/>
      <c r="CX327" s="39"/>
      <c r="CY327" s="39"/>
      <c r="CZ327" s="39"/>
      <c r="DA327" s="39"/>
      <c r="DB327" s="39"/>
      <c r="DC327" s="39"/>
    </row>
    <row r="328" spans="1:107" s="92" customFormat="1" ht="39.950000000000003" customHeight="1" x14ac:dyDescent="0.25">
      <c r="A328"/>
      <c r="B328"/>
      <c r="C328"/>
      <c r="D328"/>
      <c r="E328"/>
      <c r="F328"/>
      <c r="G328"/>
      <c r="H328"/>
      <c r="I328" s="68"/>
      <c r="J328" s="71"/>
      <c r="K328"/>
      <c r="L328"/>
      <c r="M328"/>
      <c r="N328"/>
      <c r="O328"/>
      <c r="P328"/>
      <c r="Q328" s="121"/>
      <c r="R328"/>
      <c r="S328"/>
      <c r="T328" s="229"/>
      <c r="U328" s="229"/>
      <c r="V328" s="229"/>
      <c r="W328" s="229"/>
      <c r="X328" s="229"/>
      <c r="Y328" s="136"/>
      <c r="Z328" s="166"/>
      <c r="AA328" s="166"/>
      <c r="AB328" s="71"/>
      <c r="AC328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  <c r="BA328" s="39"/>
      <c r="BB328" s="39"/>
      <c r="BC328" s="39"/>
      <c r="BD328" s="39"/>
      <c r="BE328" s="39"/>
      <c r="BF328" s="39"/>
      <c r="BG328" s="39"/>
      <c r="BH328" s="39"/>
      <c r="BI328" s="39"/>
      <c r="BJ328" s="39"/>
      <c r="BK328" s="39"/>
      <c r="BL328" s="39"/>
      <c r="BM328" s="39"/>
      <c r="BN328" s="39"/>
      <c r="BO328" s="39"/>
      <c r="BP328" s="39"/>
      <c r="BQ328" s="39"/>
      <c r="BR328" s="39"/>
      <c r="BS328" s="39"/>
      <c r="BT328" s="39"/>
      <c r="BU328" s="39"/>
      <c r="BV328" s="39"/>
      <c r="BW328" s="39"/>
      <c r="BX328" s="39"/>
      <c r="BY328" s="39"/>
      <c r="BZ328" s="39"/>
      <c r="CA328" s="39"/>
      <c r="CB328" s="39"/>
      <c r="CC328" s="39"/>
      <c r="CD328" s="39"/>
      <c r="CE328" s="39"/>
      <c r="CF328" s="39"/>
      <c r="CG328" s="39"/>
      <c r="CH328" s="39"/>
      <c r="CI328" s="39"/>
      <c r="CJ328" s="39"/>
      <c r="CK328" s="39"/>
      <c r="CL328" s="39"/>
      <c r="CM328" s="39"/>
      <c r="CN328" s="39"/>
      <c r="CO328" s="39"/>
      <c r="CP328" s="39"/>
      <c r="CQ328" s="39"/>
      <c r="CR328" s="39"/>
      <c r="CS328" s="39"/>
      <c r="CT328" s="39"/>
      <c r="CU328" s="39"/>
      <c r="CV328" s="39"/>
      <c r="CW328" s="39"/>
      <c r="CX328" s="39"/>
      <c r="CY328" s="39"/>
      <c r="CZ328" s="39"/>
      <c r="DA328" s="39"/>
      <c r="DB328" s="39"/>
      <c r="DC328" s="39"/>
    </row>
    <row r="329" spans="1:107" s="92" customFormat="1" ht="39.950000000000003" customHeight="1" x14ac:dyDescent="0.25">
      <c r="A329"/>
      <c r="B329"/>
      <c r="C329"/>
      <c r="D329"/>
      <c r="E329"/>
      <c r="F329"/>
      <c r="G329"/>
      <c r="H329"/>
      <c r="I329" s="68"/>
      <c r="J329" s="71"/>
      <c r="K329"/>
      <c r="L329"/>
      <c r="M329"/>
      <c r="N329"/>
      <c r="O329"/>
      <c r="P329"/>
      <c r="Q329" s="121"/>
      <c r="R329"/>
      <c r="S329"/>
      <c r="T329" s="229"/>
      <c r="U329" s="229"/>
      <c r="V329" s="229"/>
      <c r="W329" s="229"/>
      <c r="X329" s="229"/>
      <c r="Y329" s="136"/>
      <c r="Z329" s="166"/>
      <c r="AA329" s="166"/>
      <c r="AB329" s="71"/>
      <c r="AC32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  <c r="BA329" s="39"/>
      <c r="BB329" s="39"/>
      <c r="BC329" s="39"/>
      <c r="BD329" s="39"/>
      <c r="BE329" s="39"/>
      <c r="BF329" s="39"/>
      <c r="BG329" s="39"/>
      <c r="BH329" s="39"/>
      <c r="BI329" s="39"/>
      <c r="BJ329" s="39"/>
      <c r="BK329" s="39"/>
      <c r="BL329" s="39"/>
      <c r="BM329" s="39"/>
      <c r="BN329" s="39"/>
      <c r="BO329" s="39"/>
      <c r="BP329" s="39"/>
      <c r="BQ329" s="39"/>
      <c r="BR329" s="39"/>
      <c r="BS329" s="39"/>
      <c r="BT329" s="39"/>
      <c r="BU329" s="39"/>
      <c r="BV329" s="39"/>
      <c r="BW329" s="39"/>
      <c r="BX329" s="39"/>
      <c r="BY329" s="39"/>
      <c r="BZ329" s="39"/>
      <c r="CA329" s="39"/>
      <c r="CB329" s="39"/>
      <c r="CC329" s="39"/>
      <c r="CD329" s="39"/>
      <c r="CE329" s="39"/>
      <c r="CF329" s="39"/>
      <c r="CG329" s="39"/>
      <c r="CH329" s="39"/>
      <c r="CI329" s="39"/>
      <c r="CJ329" s="39"/>
      <c r="CK329" s="39"/>
      <c r="CL329" s="39"/>
      <c r="CM329" s="39"/>
      <c r="CN329" s="39"/>
      <c r="CO329" s="39"/>
      <c r="CP329" s="39"/>
      <c r="CQ329" s="39"/>
      <c r="CR329" s="39"/>
      <c r="CS329" s="39"/>
      <c r="CT329" s="39"/>
      <c r="CU329" s="39"/>
      <c r="CV329" s="39"/>
      <c r="CW329" s="39"/>
      <c r="CX329" s="39"/>
      <c r="CY329" s="39"/>
      <c r="CZ329" s="39"/>
      <c r="DA329" s="39"/>
      <c r="DB329" s="39"/>
      <c r="DC329" s="39"/>
    </row>
    <row r="330" spans="1:107" s="92" customFormat="1" ht="39.950000000000003" customHeight="1" x14ac:dyDescent="0.25">
      <c r="A330"/>
      <c r="B330"/>
      <c r="C330"/>
      <c r="D330"/>
      <c r="E330"/>
      <c r="F330"/>
      <c r="G330"/>
      <c r="H330"/>
      <c r="I330" s="68"/>
      <c r="J330" s="71"/>
      <c r="K330"/>
      <c r="L330"/>
      <c r="M330"/>
      <c r="N330"/>
      <c r="O330"/>
      <c r="P330"/>
      <c r="Q330" s="121"/>
      <c r="R330"/>
      <c r="S330"/>
      <c r="T330" s="229"/>
      <c r="U330" s="229"/>
      <c r="V330" s="229"/>
      <c r="W330" s="229"/>
      <c r="X330" s="229"/>
      <c r="Y330" s="136"/>
      <c r="Z330" s="166"/>
      <c r="AA330" s="166"/>
      <c r="AB330" s="71"/>
      <c r="AC330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  <c r="BA330" s="39"/>
      <c r="BB330" s="39"/>
      <c r="BC330" s="39"/>
      <c r="BD330" s="39"/>
      <c r="BE330" s="39"/>
      <c r="BF330" s="39"/>
      <c r="BG330" s="39"/>
      <c r="BH330" s="39"/>
      <c r="BI330" s="39"/>
      <c r="BJ330" s="39"/>
      <c r="BK330" s="39"/>
      <c r="BL330" s="39"/>
      <c r="BM330" s="39"/>
      <c r="BN330" s="39"/>
      <c r="BO330" s="39"/>
      <c r="BP330" s="39"/>
      <c r="BQ330" s="39"/>
      <c r="BR330" s="39"/>
      <c r="BS330" s="39"/>
      <c r="BT330" s="39"/>
      <c r="BU330" s="39"/>
      <c r="BV330" s="39"/>
      <c r="BW330" s="39"/>
      <c r="BX330" s="39"/>
      <c r="BY330" s="39"/>
      <c r="BZ330" s="39"/>
      <c r="CA330" s="39"/>
      <c r="CB330" s="39"/>
      <c r="CC330" s="39"/>
      <c r="CD330" s="39"/>
      <c r="CE330" s="39"/>
      <c r="CF330" s="39"/>
      <c r="CG330" s="39"/>
      <c r="CH330" s="39"/>
      <c r="CI330" s="39"/>
      <c r="CJ330" s="39"/>
      <c r="CK330" s="39"/>
      <c r="CL330" s="39"/>
      <c r="CM330" s="39"/>
      <c r="CN330" s="39"/>
      <c r="CO330" s="39"/>
      <c r="CP330" s="39"/>
      <c r="CQ330" s="39"/>
      <c r="CR330" s="39"/>
      <c r="CS330" s="39"/>
      <c r="CT330" s="39"/>
      <c r="CU330" s="39"/>
      <c r="CV330" s="39"/>
      <c r="CW330" s="39"/>
      <c r="CX330" s="39"/>
      <c r="CY330" s="39"/>
      <c r="CZ330" s="39"/>
      <c r="DA330" s="39"/>
      <c r="DB330" s="39"/>
      <c r="DC330" s="39"/>
    </row>
    <row r="331" spans="1:107" s="92" customFormat="1" ht="39.950000000000003" customHeight="1" x14ac:dyDescent="0.25">
      <c r="A331"/>
      <c r="B331"/>
      <c r="C331"/>
      <c r="D331"/>
      <c r="E331"/>
      <c r="F331"/>
      <c r="G331"/>
      <c r="H331"/>
      <c r="I331" s="68"/>
      <c r="J331" s="71"/>
      <c r="K331"/>
      <c r="L331"/>
      <c r="M331"/>
      <c r="N331"/>
      <c r="O331"/>
      <c r="P331"/>
      <c r="Q331" s="121"/>
      <c r="R331"/>
      <c r="S331"/>
      <c r="T331" s="229"/>
      <c r="U331" s="229"/>
      <c r="V331" s="229"/>
      <c r="W331" s="229"/>
      <c r="X331" s="229"/>
      <c r="Y331" s="136"/>
      <c r="Z331" s="166"/>
      <c r="AA331" s="166"/>
      <c r="AB331" s="71"/>
      <c r="AC331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  <c r="BA331" s="39"/>
      <c r="BB331" s="39"/>
      <c r="BC331" s="39"/>
      <c r="BD331" s="39"/>
      <c r="BE331" s="39"/>
      <c r="BF331" s="39"/>
      <c r="BG331" s="39"/>
      <c r="BH331" s="39"/>
      <c r="BI331" s="39"/>
      <c r="BJ331" s="39"/>
      <c r="BK331" s="39"/>
      <c r="BL331" s="39"/>
      <c r="BM331" s="39"/>
      <c r="BN331" s="39"/>
      <c r="BO331" s="39"/>
      <c r="BP331" s="39"/>
      <c r="BQ331" s="39"/>
      <c r="BR331" s="39"/>
      <c r="BS331" s="39"/>
      <c r="BT331" s="39"/>
      <c r="BU331" s="39"/>
      <c r="BV331" s="39"/>
      <c r="BW331" s="39"/>
      <c r="BX331" s="39"/>
      <c r="BY331" s="39"/>
      <c r="BZ331" s="39"/>
      <c r="CA331" s="39"/>
      <c r="CB331" s="39"/>
      <c r="CC331" s="39"/>
      <c r="CD331" s="39"/>
      <c r="CE331" s="39"/>
      <c r="CF331" s="39"/>
      <c r="CG331" s="39"/>
      <c r="CH331" s="39"/>
      <c r="CI331" s="39"/>
      <c r="CJ331" s="39"/>
      <c r="CK331" s="39"/>
      <c r="CL331" s="39"/>
      <c r="CM331" s="39"/>
      <c r="CN331" s="39"/>
      <c r="CO331" s="39"/>
      <c r="CP331" s="39"/>
      <c r="CQ331" s="39"/>
      <c r="CR331" s="39"/>
      <c r="CS331" s="39"/>
      <c r="CT331" s="39"/>
      <c r="CU331" s="39"/>
      <c r="CV331" s="39"/>
      <c r="CW331" s="39"/>
      <c r="CX331" s="39"/>
      <c r="CY331" s="39"/>
      <c r="CZ331" s="39"/>
      <c r="DA331" s="39"/>
      <c r="DB331" s="39"/>
      <c r="DC331" s="39"/>
    </row>
    <row r="332" spans="1:107" s="92" customFormat="1" ht="39.950000000000003" customHeight="1" x14ac:dyDescent="0.25">
      <c r="A332"/>
      <c r="B332"/>
      <c r="C332"/>
      <c r="D332"/>
      <c r="E332"/>
      <c r="F332"/>
      <c r="G332"/>
      <c r="H332"/>
      <c r="I332" s="68"/>
      <c r="J332" s="71"/>
      <c r="K332"/>
      <c r="L332"/>
      <c r="M332"/>
      <c r="N332"/>
      <c r="O332"/>
      <c r="P332"/>
      <c r="Q332" s="121"/>
      <c r="R332"/>
      <c r="S332"/>
      <c r="T332" s="229"/>
      <c r="U332" s="229"/>
      <c r="V332" s="229"/>
      <c r="W332" s="229"/>
      <c r="X332" s="229"/>
      <c r="Y332" s="136"/>
      <c r="Z332" s="166"/>
      <c r="AA332" s="166"/>
      <c r="AB332" s="71"/>
      <c r="AC332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  <c r="BA332" s="39"/>
      <c r="BB332" s="39"/>
      <c r="BC332" s="39"/>
      <c r="BD332" s="39"/>
      <c r="BE332" s="39"/>
      <c r="BF332" s="39"/>
      <c r="BG332" s="39"/>
      <c r="BH332" s="39"/>
      <c r="BI332" s="39"/>
      <c r="BJ332" s="39"/>
      <c r="BK332" s="39"/>
      <c r="BL332" s="39"/>
      <c r="BM332" s="39"/>
      <c r="BN332" s="39"/>
      <c r="BO332" s="39"/>
      <c r="BP332" s="39"/>
      <c r="BQ332" s="39"/>
      <c r="BR332" s="39"/>
      <c r="BS332" s="39"/>
      <c r="BT332" s="39"/>
      <c r="BU332" s="39"/>
      <c r="BV332" s="39"/>
      <c r="BW332" s="39"/>
      <c r="BX332" s="39"/>
      <c r="BY332" s="39"/>
      <c r="BZ332" s="39"/>
      <c r="CA332" s="39"/>
      <c r="CB332" s="39"/>
      <c r="CC332" s="39"/>
      <c r="CD332" s="39"/>
      <c r="CE332" s="39"/>
      <c r="CF332" s="39"/>
      <c r="CG332" s="39"/>
      <c r="CH332" s="39"/>
      <c r="CI332" s="39"/>
      <c r="CJ332" s="39"/>
      <c r="CK332" s="39"/>
      <c r="CL332" s="39"/>
      <c r="CM332" s="39"/>
      <c r="CN332" s="39"/>
      <c r="CO332" s="39"/>
      <c r="CP332" s="39"/>
      <c r="CQ332" s="39"/>
      <c r="CR332" s="39"/>
      <c r="CS332" s="39"/>
      <c r="CT332" s="39"/>
      <c r="CU332" s="39"/>
      <c r="CV332" s="39"/>
      <c r="CW332" s="39"/>
      <c r="CX332" s="39"/>
      <c r="CY332" s="39"/>
      <c r="CZ332" s="39"/>
      <c r="DA332" s="39"/>
      <c r="DB332" s="39"/>
      <c r="DC332" s="39"/>
    </row>
    <row r="333" spans="1:107" s="92" customFormat="1" ht="39.950000000000003" customHeight="1" x14ac:dyDescent="0.25">
      <c r="A333"/>
      <c r="B333"/>
      <c r="C333"/>
      <c r="D333"/>
      <c r="E333"/>
      <c r="F333"/>
      <c r="G333"/>
      <c r="H333"/>
      <c r="I333" s="68"/>
      <c r="J333" s="71"/>
      <c r="K333"/>
      <c r="L333"/>
      <c r="M333"/>
      <c r="N333"/>
      <c r="O333"/>
      <c r="P333"/>
      <c r="Q333" s="121"/>
      <c r="R333"/>
      <c r="S333"/>
      <c r="T333" s="229"/>
      <c r="U333" s="229"/>
      <c r="V333" s="229"/>
      <c r="W333" s="229"/>
      <c r="X333" s="229"/>
      <c r="Y333" s="136"/>
      <c r="Z333" s="166"/>
      <c r="AA333" s="166"/>
      <c r="AB333" s="71"/>
      <c r="AC333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  <c r="BA333" s="39"/>
      <c r="BB333" s="39"/>
      <c r="BC333" s="39"/>
      <c r="BD333" s="39"/>
      <c r="BE333" s="39"/>
      <c r="BF333" s="39"/>
      <c r="BG333" s="39"/>
      <c r="BH333" s="39"/>
      <c r="BI333" s="39"/>
      <c r="BJ333" s="39"/>
      <c r="BK333" s="39"/>
      <c r="BL333" s="39"/>
      <c r="BM333" s="39"/>
      <c r="BN333" s="39"/>
      <c r="BO333" s="39"/>
      <c r="BP333" s="39"/>
      <c r="BQ333" s="39"/>
      <c r="BR333" s="39"/>
      <c r="BS333" s="39"/>
      <c r="BT333" s="39"/>
      <c r="BU333" s="39"/>
      <c r="BV333" s="39"/>
      <c r="BW333" s="39"/>
      <c r="BX333" s="39"/>
      <c r="BY333" s="39"/>
      <c r="BZ333" s="39"/>
      <c r="CA333" s="39"/>
      <c r="CB333" s="39"/>
      <c r="CC333" s="39"/>
      <c r="CD333" s="39"/>
      <c r="CE333" s="39"/>
      <c r="CF333" s="39"/>
      <c r="CG333" s="39"/>
      <c r="CH333" s="39"/>
      <c r="CI333" s="39"/>
      <c r="CJ333" s="39"/>
      <c r="CK333" s="39"/>
      <c r="CL333" s="39"/>
      <c r="CM333" s="39"/>
      <c r="CN333" s="39"/>
      <c r="CO333" s="39"/>
      <c r="CP333" s="39"/>
      <c r="CQ333" s="39"/>
      <c r="CR333" s="39"/>
      <c r="CS333" s="39"/>
      <c r="CT333" s="39"/>
      <c r="CU333" s="39"/>
      <c r="CV333" s="39"/>
      <c r="CW333" s="39"/>
      <c r="CX333" s="39"/>
      <c r="CY333" s="39"/>
      <c r="CZ333" s="39"/>
      <c r="DA333" s="39"/>
      <c r="DB333" s="39"/>
      <c r="DC333" s="39"/>
    </row>
    <row r="334" spans="1:107" s="92" customFormat="1" ht="39.950000000000003" customHeight="1" x14ac:dyDescent="0.25">
      <c r="A334"/>
      <c r="B334"/>
      <c r="C334"/>
      <c r="D334"/>
      <c r="E334"/>
      <c r="F334"/>
      <c r="G334"/>
      <c r="H334"/>
      <c r="I334" s="68"/>
      <c r="J334" s="71"/>
      <c r="K334"/>
      <c r="L334"/>
      <c r="M334"/>
      <c r="N334"/>
      <c r="O334"/>
      <c r="P334"/>
      <c r="Q334" s="121"/>
      <c r="R334"/>
      <c r="S334"/>
      <c r="T334" s="229"/>
      <c r="U334" s="229"/>
      <c r="V334" s="229"/>
      <c r="W334" s="229"/>
      <c r="X334" s="229"/>
      <c r="Y334" s="136"/>
      <c r="Z334" s="166"/>
      <c r="AA334" s="166"/>
      <c r="AB334" s="71"/>
      <c r="AC334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  <c r="BA334" s="39"/>
      <c r="BB334" s="39"/>
      <c r="BC334" s="39"/>
      <c r="BD334" s="39"/>
      <c r="BE334" s="39"/>
      <c r="BF334" s="39"/>
      <c r="BG334" s="39"/>
      <c r="BH334" s="39"/>
      <c r="BI334" s="39"/>
      <c r="BJ334" s="39"/>
      <c r="BK334" s="39"/>
      <c r="BL334" s="39"/>
      <c r="BM334" s="39"/>
      <c r="BN334" s="39"/>
      <c r="BO334" s="39"/>
      <c r="BP334" s="39"/>
      <c r="BQ334" s="39"/>
      <c r="BR334" s="39"/>
      <c r="BS334" s="39"/>
      <c r="BT334" s="39"/>
      <c r="BU334" s="39"/>
      <c r="BV334" s="39"/>
      <c r="BW334" s="39"/>
      <c r="BX334" s="39"/>
      <c r="BY334" s="39"/>
      <c r="BZ334" s="39"/>
      <c r="CA334" s="39"/>
      <c r="CB334" s="39"/>
      <c r="CC334" s="39"/>
      <c r="CD334" s="39"/>
      <c r="CE334" s="39"/>
      <c r="CF334" s="39"/>
      <c r="CG334" s="39"/>
      <c r="CH334" s="39"/>
      <c r="CI334" s="39"/>
      <c r="CJ334" s="39"/>
      <c r="CK334" s="39"/>
      <c r="CL334" s="39"/>
      <c r="CM334" s="39"/>
      <c r="CN334" s="39"/>
      <c r="CO334" s="39"/>
      <c r="CP334" s="39"/>
      <c r="CQ334" s="39"/>
      <c r="CR334" s="39"/>
      <c r="CS334" s="39"/>
      <c r="CT334" s="39"/>
      <c r="CU334" s="39"/>
      <c r="CV334" s="39"/>
      <c r="CW334" s="39"/>
      <c r="CX334" s="39"/>
      <c r="CY334" s="39"/>
      <c r="CZ334" s="39"/>
      <c r="DA334" s="39"/>
      <c r="DB334" s="39"/>
      <c r="DC334" s="39"/>
    </row>
    <row r="335" spans="1:107" s="92" customFormat="1" ht="39.950000000000003" customHeight="1" x14ac:dyDescent="0.25">
      <c r="A335"/>
      <c r="B335"/>
      <c r="C335"/>
      <c r="D335"/>
      <c r="E335"/>
      <c r="F335"/>
      <c r="G335"/>
      <c r="H335"/>
      <c r="I335" s="68"/>
      <c r="J335" s="71"/>
      <c r="K335"/>
      <c r="L335"/>
      <c r="M335"/>
      <c r="N335"/>
      <c r="O335"/>
      <c r="P335"/>
      <c r="Q335" s="121"/>
      <c r="R335"/>
      <c r="S335"/>
      <c r="T335" s="229"/>
      <c r="U335" s="229"/>
      <c r="V335" s="229"/>
      <c r="W335" s="229"/>
      <c r="X335" s="229"/>
      <c r="Y335" s="136"/>
      <c r="Z335" s="166"/>
      <c r="AA335" s="166"/>
      <c r="AB335" s="71"/>
      <c r="AC335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  <c r="BA335" s="39"/>
      <c r="BB335" s="39"/>
      <c r="BC335" s="39"/>
      <c r="BD335" s="39"/>
      <c r="BE335" s="39"/>
      <c r="BF335" s="39"/>
      <c r="BG335" s="39"/>
      <c r="BH335" s="39"/>
      <c r="BI335" s="39"/>
      <c r="BJ335" s="39"/>
      <c r="BK335" s="39"/>
      <c r="BL335" s="39"/>
      <c r="BM335" s="39"/>
      <c r="BN335" s="39"/>
      <c r="BO335" s="39"/>
      <c r="BP335" s="39"/>
      <c r="BQ335" s="39"/>
      <c r="BR335" s="39"/>
      <c r="BS335" s="39"/>
      <c r="BT335" s="39"/>
      <c r="BU335" s="39"/>
      <c r="BV335" s="39"/>
      <c r="BW335" s="39"/>
      <c r="BX335" s="39"/>
      <c r="BY335" s="39"/>
      <c r="BZ335" s="39"/>
      <c r="CA335" s="39"/>
      <c r="CB335" s="39"/>
      <c r="CC335" s="39"/>
      <c r="CD335" s="39"/>
      <c r="CE335" s="39"/>
      <c r="CF335" s="39"/>
      <c r="CG335" s="39"/>
      <c r="CH335" s="39"/>
      <c r="CI335" s="39"/>
      <c r="CJ335" s="39"/>
      <c r="CK335" s="39"/>
      <c r="CL335" s="39"/>
      <c r="CM335" s="39"/>
      <c r="CN335" s="39"/>
      <c r="CO335" s="39"/>
      <c r="CP335" s="39"/>
      <c r="CQ335" s="39"/>
      <c r="CR335" s="39"/>
      <c r="CS335" s="39"/>
      <c r="CT335" s="39"/>
      <c r="CU335" s="39"/>
      <c r="CV335" s="39"/>
      <c r="CW335" s="39"/>
      <c r="CX335" s="39"/>
      <c r="CY335" s="39"/>
      <c r="CZ335" s="39"/>
      <c r="DA335" s="39"/>
      <c r="DB335" s="39"/>
      <c r="DC335" s="39"/>
    </row>
    <row r="336" spans="1:107" s="92" customFormat="1" ht="39.950000000000003" customHeight="1" x14ac:dyDescent="0.25">
      <c r="A336"/>
      <c r="B336"/>
      <c r="C336"/>
      <c r="D336"/>
      <c r="E336"/>
      <c r="F336"/>
      <c r="G336"/>
      <c r="H336"/>
      <c r="I336" s="68"/>
      <c r="J336" s="71"/>
      <c r="K336"/>
      <c r="L336"/>
      <c r="M336"/>
      <c r="N336"/>
      <c r="O336"/>
      <c r="P336"/>
      <c r="Q336" s="121"/>
      <c r="R336"/>
      <c r="S336"/>
      <c r="T336" s="229"/>
      <c r="U336" s="229"/>
      <c r="V336" s="229"/>
      <c r="W336" s="229"/>
      <c r="X336" s="229"/>
      <c r="Y336" s="136"/>
      <c r="Z336" s="166"/>
      <c r="AA336" s="166"/>
      <c r="AB336" s="71"/>
      <c r="AC336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  <c r="BA336" s="39"/>
      <c r="BB336" s="39"/>
      <c r="BC336" s="39"/>
      <c r="BD336" s="39"/>
      <c r="BE336" s="39"/>
      <c r="BF336" s="39"/>
      <c r="BG336" s="39"/>
      <c r="BH336" s="39"/>
      <c r="BI336" s="39"/>
      <c r="BJ336" s="39"/>
      <c r="BK336" s="39"/>
      <c r="BL336" s="39"/>
      <c r="BM336" s="39"/>
      <c r="BN336" s="39"/>
      <c r="BO336" s="39"/>
      <c r="BP336" s="39"/>
      <c r="BQ336" s="39"/>
      <c r="BR336" s="39"/>
      <c r="BS336" s="39"/>
      <c r="BT336" s="39"/>
      <c r="BU336" s="39"/>
      <c r="BV336" s="39"/>
      <c r="BW336" s="39"/>
      <c r="BX336" s="39"/>
      <c r="BY336" s="39"/>
      <c r="BZ336" s="39"/>
      <c r="CA336" s="39"/>
      <c r="CB336" s="39"/>
      <c r="CC336" s="39"/>
      <c r="CD336" s="39"/>
      <c r="CE336" s="39"/>
      <c r="CF336" s="39"/>
      <c r="CG336" s="39"/>
      <c r="CH336" s="39"/>
      <c r="CI336" s="39"/>
      <c r="CJ336" s="39"/>
      <c r="CK336" s="39"/>
      <c r="CL336" s="39"/>
      <c r="CM336" s="39"/>
      <c r="CN336" s="39"/>
      <c r="CO336" s="39"/>
      <c r="CP336" s="39"/>
      <c r="CQ336" s="39"/>
      <c r="CR336" s="39"/>
      <c r="CS336" s="39"/>
      <c r="CT336" s="39"/>
      <c r="CU336" s="39"/>
      <c r="CV336" s="39"/>
      <c r="CW336" s="39"/>
      <c r="CX336" s="39"/>
      <c r="CY336" s="39"/>
      <c r="CZ336" s="39"/>
      <c r="DA336" s="39"/>
      <c r="DB336" s="39"/>
      <c r="DC336" s="39"/>
    </row>
    <row r="337" spans="1:107" s="92" customFormat="1" ht="39.950000000000003" customHeight="1" x14ac:dyDescent="0.25">
      <c r="A337"/>
      <c r="B337"/>
      <c r="C337"/>
      <c r="D337"/>
      <c r="E337"/>
      <c r="F337"/>
      <c r="G337"/>
      <c r="H337"/>
      <c r="I337" s="68"/>
      <c r="J337" s="71"/>
      <c r="K337"/>
      <c r="L337"/>
      <c r="M337"/>
      <c r="N337"/>
      <c r="O337"/>
      <c r="P337"/>
      <c r="Q337" s="121"/>
      <c r="R337"/>
      <c r="S337"/>
      <c r="T337" s="229"/>
      <c r="U337" s="229"/>
      <c r="V337" s="229"/>
      <c r="W337" s="229"/>
      <c r="X337" s="229"/>
      <c r="Y337" s="136"/>
      <c r="Z337" s="166"/>
      <c r="AA337" s="166"/>
      <c r="AB337" s="71"/>
      <c r="AC337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  <c r="BA337" s="39"/>
      <c r="BB337" s="39"/>
      <c r="BC337" s="39"/>
      <c r="BD337" s="39"/>
      <c r="BE337" s="39"/>
      <c r="BF337" s="39"/>
      <c r="BG337" s="39"/>
      <c r="BH337" s="39"/>
      <c r="BI337" s="39"/>
      <c r="BJ337" s="39"/>
      <c r="BK337" s="39"/>
      <c r="BL337" s="39"/>
      <c r="BM337" s="39"/>
      <c r="BN337" s="39"/>
      <c r="BO337" s="39"/>
      <c r="BP337" s="39"/>
      <c r="BQ337" s="39"/>
      <c r="BR337" s="39"/>
      <c r="BS337" s="39"/>
      <c r="BT337" s="39"/>
      <c r="BU337" s="39"/>
      <c r="BV337" s="39"/>
      <c r="BW337" s="39"/>
      <c r="BX337" s="39"/>
      <c r="BY337" s="39"/>
      <c r="BZ337" s="39"/>
      <c r="CA337" s="39"/>
      <c r="CB337" s="39"/>
      <c r="CC337" s="39"/>
      <c r="CD337" s="39"/>
      <c r="CE337" s="39"/>
      <c r="CF337" s="39"/>
      <c r="CG337" s="39"/>
      <c r="CH337" s="39"/>
      <c r="CI337" s="39"/>
      <c r="CJ337" s="39"/>
      <c r="CK337" s="39"/>
      <c r="CL337" s="39"/>
      <c r="CM337" s="39"/>
      <c r="CN337" s="39"/>
      <c r="CO337" s="39"/>
      <c r="CP337" s="39"/>
      <c r="CQ337" s="39"/>
      <c r="CR337" s="39"/>
      <c r="CS337" s="39"/>
      <c r="CT337" s="39"/>
      <c r="CU337" s="39"/>
      <c r="CV337" s="39"/>
      <c r="CW337" s="39"/>
      <c r="CX337" s="39"/>
      <c r="CY337" s="39"/>
      <c r="CZ337" s="39"/>
      <c r="DA337" s="39"/>
      <c r="DB337" s="39"/>
      <c r="DC337" s="39"/>
    </row>
    <row r="338" spans="1:107" s="92" customFormat="1" ht="39.950000000000003" customHeight="1" x14ac:dyDescent="0.25">
      <c r="A338"/>
      <c r="B338"/>
      <c r="C338"/>
      <c r="D338"/>
      <c r="E338"/>
      <c r="F338"/>
      <c r="G338"/>
      <c r="H338"/>
      <c r="I338" s="68"/>
      <c r="J338" s="71"/>
      <c r="K338"/>
      <c r="L338"/>
      <c r="M338"/>
      <c r="N338"/>
      <c r="O338"/>
      <c r="P338"/>
      <c r="Q338" s="121"/>
      <c r="R338"/>
      <c r="S338"/>
      <c r="T338" s="229"/>
      <c r="U338" s="229"/>
      <c r="V338" s="229"/>
      <c r="W338" s="229"/>
      <c r="X338" s="229"/>
      <c r="Y338" s="136"/>
      <c r="Z338" s="166"/>
      <c r="AA338" s="166"/>
      <c r="AB338" s="71"/>
      <c r="AC338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  <c r="BA338" s="39"/>
      <c r="BB338" s="39"/>
      <c r="BC338" s="39"/>
      <c r="BD338" s="39"/>
      <c r="BE338" s="39"/>
      <c r="BF338" s="39"/>
      <c r="BG338" s="39"/>
      <c r="BH338" s="39"/>
      <c r="BI338" s="39"/>
      <c r="BJ338" s="39"/>
      <c r="BK338" s="39"/>
      <c r="BL338" s="39"/>
      <c r="BM338" s="39"/>
      <c r="BN338" s="39"/>
      <c r="BO338" s="39"/>
      <c r="BP338" s="39"/>
      <c r="BQ338" s="39"/>
      <c r="BR338" s="39"/>
      <c r="BS338" s="39"/>
      <c r="BT338" s="39"/>
      <c r="BU338" s="39"/>
      <c r="BV338" s="39"/>
      <c r="BW338" s="39"/>
      <c r="BX338" s="39"/>
      <c r="BY338" s="39"/>
      <c r="BZ338" s="39"/>
      <c r="CA338" s="39"/>
      <c r="CB338" s="39"/>
      <c r="CC338" s="39"/>
      <c r="CD338" s="39"/>
      <c r="CE338" s="39"/>
      <c r="CF338" s="39"/>
      <c r="CG338" s="39"/>
      <c r="CH338" s="39"/>
      <c r="CI338" s="39"/>
      <c r="CJ338" s="39"/>
      <c r="CK338" s="39"/>
      <c r="CL338" s="39"/>
      <c r="CM338" s="39"/>
      <c r="CN338" s="39"/>
      <c r="CO338" s="39"/>
      <c r="CP338" s="39"/>
      <c r="CQ338" s="39"/>
      <c r="CR338" s="39"/>
      <c r="CS338" s="39"/>
      <c r="CT338" s="39"/>
      <c r="CU338" s="39"/>
      <c r="CV338" s="39"/>
      <c r="CW338" s="39"/>
      <c r="CX338" s="39"/>
      <c r="CY338" s="39"/>
      <c r="CZ338" s="39"/>
      <c r="DA338" s="39"/>
      <c r="DB338" s="39"/>
      <c r="DC338" s="39"/>
    </row>
    <row r="339" spans="1:107" s="92" customFormat="1" ht="39.950000000000003" customHeight="1" x14ac:dyDescent="0.25">
      <c r="A339"/>
      <c r="B339"/>
      <c r="C339"/>
      <c r="D339"/>
      <c r="E339"/>
      <c r="F339"/>
      <c r="G339"/>
      <c r="H339"/>
      <c r="I339" s="68"/>
      <c r="J339" s="71"/>
      <c r="K339"/>
      <c r="L339"/>
      <c r="M339"/>
      <c r="N339"/>
      <c r="O339"/>
      <c r="P339"/>
      <c r="Q339" s="121"/>
      <c r="R339"/>
      <c r="S339"/>
      <c r="T339" s="229"/>
      <c r="U339" s="229"/>
      <c r="V339" s="229"/>
      <c r="W339" s="229"/>
      <c r="X339" s="229"/>
      <c r="Y339" s="136"/>
      <c r="Z339" s="166"/>
      <c r="AA339" s="166"/>
      <c r="AB339" s="71"/>
      <c r="AC3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  <c r="BA339" s="39"/>
      <c r="BB339" s="39"/>
      <c r="BC339" s="39"/>
      <c r="BD339" s="39"/>
      <c r="BE339" s="39"/>
      <c r="BF339" s="39"/>
      <c r="BG339" s="39"/>
      <c r="BH339" s="39"/>
      <c r="BI339" s="39"/>
      <c r="BJ339" s="39"/>
      <c r="BK339" s="39"/>
      <c r="BL339" s="39"/>
      <c r="BM339" s="39"/>
      <c r="BN339" s="39"/>
      <c r="BO339" s="39"/>
      <c r="BP339" s="39"/>
      <c r="BQ339" s="39"/>
      <c r="BR339" s="39"/>
      <c r="BS339" s="39"/>
      <c r="BT339" s="39"/>
      <c r="BU339" s="39"/>
      <c r="BV339" s="39"/>
      <c r="BW339" s="39"/>
      <c r="BX339" s="39"/>
      <c r="BY339" s="39"/>
      <c r="BZ339" s="39"/>
      <c r="CA339" s="39"/>
      <c r="CB339" s="39"/>
      <c r="CC339" s="39"/>
      <c r="CD339" s="39"/>
      <c r="CE339" s="39"/>
      <c r="CF339" s="39"/>
      <c r="CG339" s="39"/>
      <c r="CH339" s="39"/>
      <c r="CI339" s="39"/>
      <c r="CJ339" s="39"/>
      <c r="CK339" s="39"/>
      <c r="CL339" s="39"/>
      <c r="CM339" s="39"/>
      <c r="CN339" s="39"/>
      <c r="CO339" s="39"/>
      <c r="CP339" s="39"/>
      <c r="CQ339" s="39"/>
      <c r="CR339" s="39"/>
      <c r="CS339" s="39"/>
      <c r="CT339" s="39"/>
      <c r="CU339" s="39"/>
      <c r="CV339" s="39"/>
      <c r="CW339" s="39"/>
      <c r="CX339" s="39"/>
      <c r="CY339" s="39"/>
      <c r="CZ339" s="39"/>
      <c r="DA339" s="39"/>
      <c r="DB339" s="39"/>
      <c r="DC339" s="39"/>
    </row>
    <row r="340" spans="1:107" s="92" customFormat="1" ht="39.950000000000003" customHeight="1" x14ac:dyDescent="0.25">
      <c r="A340"/>
      <c r="B340"/>
      <c r="C340"/>
      <c r="D340"/>
      <c r="E340"/>
      <c r="F340"/>
      <c r="G340"/>
      <c r="H340"/>
      <c r="I340" s="68"/>
      <c r="J340" s="71"/>
      <c r="K340"/>
      <c r="L340"/>
      <c r="M340"/>
      <c r="N340"/>
      <c r="O340"/>
      <c r="P340"/>
      <c r="Q340" s="121"/>
      <c r="R340"/>
      <c r="S340"/>
      <c r="T340" s="229"/>
      <c r="U340" s="229"/>
      <c r="V340" s="229"/>
      <c r="W340" s="229"/>
      <c r="X340" s="229"/>
      <c r="Y340" s="136"/>
      <c r="Z340" s="166"/>
      <c r="AA340" s="166"/>
      <c r="AB340" s="71"/>
      <c r="AC340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  <c r="BA340" s="39"/>
      <c r="BB340" s="39"/>
      <c r="BC340" s="39"/>
      <c r="BD340" s="39"/>
      <c r="BE340" s="39"/>
      <c r="BF340" s="39"/>
      <c r="BG340" s="39"/>
      <c r="BH340" s="39"/>
      <c r="BI340" s="39"/>
      <c r="BJ340" s="39"/>
      <c r="BK340" s="39"/>
      <c r="BL340" s="39"/>
      <c r="BM340" s="39"/>
      <c r="BN340" s="39"/>
      <c r="BO340" s="39"/>
      <c r="BP340" s="39"/>
      <c r="BQ340" s="39"/>
      <c r="BR340" s="39"/>
      <c r="BS340" s="39"/>
      <c r="BT340" s="39"/>
      <c r="BU340" s="39"/>
      <c r="BV340" s="39"/>
      <c r="BW340" s="39"/>
      <c r="BX340" s="39"/>
      <c r="BY340" s="39"/>
      <c r="BZ340" s="39"/>
      <c r="CA340" s="39"/>
      <c r="CB340" s="39"/>
      <c r="CC340" s="39"/>
      <c r="CD340" s="39"/>
      <c r="CE340" s="39"/>
      <c r="CF340" s="39"/>
      <c r="CG340" s="39"/>
      <c r="CH340" s="39"/>
      <c r="CI340" s="39"/>
      <c r="CJ340" s="39"/>
      <c r="CK340" s="39"/>
      <c r="CL340" s="39"/>
      <c r="CM340" s="39"/>
      <c r="CN340" s="39"/>
      <c r="CO340" s="39"/>
      <c r="CP340" s="39"/>
      <c r="CQ340" s="39"/>
      <c r="CR340" s="39"/>
      <c r="CS340" s="39"/>
      <c r="CT340" s="39"/>
      <c r="CU340" s="39"/>
      <c r="CV340" s="39"/>
      <c r="CW340" s="39"/>
      <c r="CX340" s="39"/>
      <c r="CY340" s="39"/>
      <c r="CZ340" s="39"/>
      <c r="DA340" s="39"/>
      <c r="DB340" s="39"/>
      <c r="DC340" s="39"/>
    </row>
    <row r="341" spans="1:107" s="92" customFormat="1" ht="39.950000000000003" customHeight="1" x14ac:dyDescent="0.25">
      <c r="A341"/>
      <c r="B341"/>
      <c r="C341"/>
      <c r="D341"/>
      <c r="E341"/>
      <c r="F341"/>
      <c r="G341"/>
      <c r="H341"/>
      <c r="I341" s="68"/>
      <c r="J341" s="71"/>
      <c r="K341"/>
      <c r="L341"/>
      <c r="M341"/>
      <c r="N341"/>
      <c r="O341"/>
      <c r="P341"/>
      <c r="Q341" s="121"/>
      <c r="R341"/>
      <c r="S341"/>
      <c r="T341" s="229"/>
      <c r="U341" s="229"/>
      <c r="V341" s="229"/>
      <c r="W341" s="229"/>
      <c r="X341" s="229"/>
      <c r="Y341" s="136"/>
      <c r="Z341" s="166"/>
      <c r="AA341" s="166"/>
      <c r="AB341" s="71"/>
      <c r="AC341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  <c r="BA341" s="39"/>
      <c r="BB341" s="39"/>
      <c r="BC341" s="39"/>
      <c r="BD341" s="39"/>
      <c r="BE341" s="39"/>
      <c r="BF341" s="39"/>
      <c r="BG341" s="39"/>
      <c r="BH341" s="39"/>
      <c r="BI341" s="39"/>
      <c r="BJ341" s="39"/>
      <c r="BK341" s="39"/>
      <c r="BL341" s="39"/>
      <c r="BM341" s="39"/>
      <c r="BN341" s="39"/>
      <c r="BO341" s="39"/>
      <c r="BP341" s="39"/>
      <c r="BQ341" s="39"/>
      <c r="BR341" s="39"/>
      <c r="BS341" s="39"/>
      <c r="BT341" s="39"/>
      <c r="BU341" s="39"/>
      <c r="BV341" s="39"/>
      <c r="BW341" s="39"/>
      <c r="BX341" s="39"/>
      <c r="BY341" s="39"/>
      <c r="BZ341" s="39"/>
      <c r="CA341" s="39"/>
      <c r="CB341" s="39"/>
      <c r="CC341" s="39"/>
      <c r="CD341" s="39"/>
      <c r="CE341" s="39"/>
      <c r="CF341" s="39"/>
      <c r="CG341" s="39"/>
      <c r="CH341" s="39"/>
      <c r="CI341" s="39"/>
      <c r="CJ341" s="39"/>
      <c r="CK341" s="39"/>
      <c r="CL341" s="39"/>
      <c r="CM341" s="39"/>
      <c r="CN341" s="39"/>
      <c r="CO341" s="39"/>
      <c r="CP341" s="39"/>
      <c r="CQ341" s="39"/>
      <c r="CR341" s="39"/>
      <c r="CS341" s="39"/>
      <c r="CT341" s="39"/>
      <c r="CU341" s="39"/>
      <c r="CV341" s="39"/>
      <c r="CW341" s="39"/>
      <c r="CX341" s="39"/>
      <c r="CY341" s="39"/>
      <c r="CZ341" s="39"/>
      <c r="DA341" s="39"/>
      <c r="DB341" s="39"/>
      <c r="DC341" s="39"/>
    </row>
    <row r="342" spans="1:107" s="92" customFormat="1" ht="39.950000000000003" customHeight="1" x14ac:dyDescent="0.25">
      <c r="A342"/>
      <c r="B342"/>
      <c r="C342"/>
      <c r="D342"/>
      <c r="E342"/>
      <c r="F342"/>
      <c r="G342"/>
      <c r="H342"/>
      <c r="I342" s="68"/>
      <c r="J342" s="71"/>
      <c r="K342"/>
      <c r="L342"/>
      <c r="M342"/>
      <c r="N342"/>
      <c r="O342"/>
      <c r="P342"/>
      <c r="Q342" s="121"/>
      <c r="R342"/>
      <c r="S342"/>
      <c r="T342" s="229"/>
      <c r="U342" s="229"/>
      <c r="V342" s="229"/>
      <c r="W342" s="229"/>
      <c r="X342" s="229"/>
      <c r="Y342" s="136"/>
      <c r="Z342" s="166"/>
      <c r="AA342" s="166"/>
      <c r="AB342" s="71"/>
      <c r="AC342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  <c r="BA342" s="39"/>
      <c r="BB342" s="39"/>
      <c r="BC342" s="39"/>
      <c r="BD342" s="39"/>
      <c r="BE342" s="39"/>
      <c r="BF342" s="39"/>
      <c r="BG342" s="39"/>
      <c r="BH342" s="39"/>
      <c r="BI342" s="39"/>
      <c r="BJ342" s="39"/>
      <c r="BK342" s="39"/>
      <c r="BL342" s="39"/>
      <c r="BM342" s="39"/>
      <c r="BN342" s="39"/>
      <c r="BO342" s="39"/>
      <c r="BP342" s="39"/>
      <c r="BQ342" s="39"/>
      <c r="BR342" s="39"/>
      <c r="BS342" s="39"/>
      <c r="BT342" s="39"/>
      <c r="BU342" s="39"/>
      <c r="BV342" s="39"/>
      <c r="BW342" s="39"/>
      <c r="BX342" s="39"/>
      <c r="BY342" s="39"/>
      <c r="BZ342" s="39"/>
      <c r="CA342" s="39"/>
      <c r="CB342" s="39"/>
      <c r="CC342" s="39"/>
      <c r="CD342" s="39"/>
      <c r="CE342" s="39"/>
      <c r="CF342" s="39"/>
      <c r="CG342" s="39"/>
      <c r="CH342" s="39"/>
      <c r="CI342" s="39"/>
      <c r="CJ342" s="39"/>
      <c r="CK342" s="39"/>
      <c r="CL342" s="39"/>
      <c r="CM342" s="39"/>
      <c r="CN342" s="39"/>
      <c r="CO342" s="39"/>
      <c r="CP342" s="39"/>
      <c r="CQ342" s="39"/>
      <c r="CR342" s="39"/>
      <c r="CS342" s="39"/>
      <c r="CT342" s="39"/>
      <c r="CU342" s="39"/>
      <c r="CV342" s="39"/>
      <c r="CW342" s="39"/>
      <c r="CX342" s="39"/>
      <c r="CY342" s="39"/>
      <c r="CZ342" s="39"/>
      <c r="DA342" s="39"/>
      <c r="DB342" s="39"/>
      <c r="DC342" s="39"/>
    </row>
    <row r="343" spans="1:107" s="92" customFormat="1" ht="39.950000000000003" customHeight="1" x14ac:dyDescent="0.25">
      <c r="A343"/>
      <c r="B343"/>
      <c r="C343"/>
      <c r="D343"/>
      <c r="E343"/>
      <c r="F343"/>
      <c r="G343"/>
      <c r="H343"/>
      <c r="I343" s="68"/>
      <c r="J343" s="71"/>
      <c r="K343"/>
      <c r="L343"/>
      <c r="M343"/>
      <c r="N343"/>
      <c r="O343"/>
      <c r="P343"/>
      <c r="Q343" s="121"/>
      <c r="R343"/>
      <c r="S343"/>
      <c r="T343" s="229"/>
      <c r="U343" s="229"/>
      <c r="V343" s="229"/>
      <c r="W343" s="229"/>
      <c r="X343" s="229"/>
      <c r="Y343" s="136"/>
      <c r="Z343" s="166"/>
      <c r="AA343" s="166"/>
      <c r="AB343" s="71"/>
      <c r="AC343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  <c r="BA343" s="39"/>
      <c r="BB343" s="39"/>
      <c r="BC343" s="39"/>
      <c r="BD343" s="39"/>
      <c r="BE343" s="39"/>
      <c r="BF343" s="39"/>
      <c r="BG343" s="39"/>
      <c r="BH343" s="39"/>
      <c r="BI343" s="39"/>
      <c r="BJ343" s="39"/>
      <c r="BK343" s="39"/>
      <c r="BL343" s="39"/>
      <c r="BM343" s="39"/>
      <c r="BN343" s="39"/>
      <c r="BO343" s="39"/>
      <c r="BP343" s="39"/>
      <c r="BQ343" s="39"/>
      <c r="BR343" s="39"/>
      <c r="BS343" s="39"/>
      <c r="BT343" s="39"/>
      <c r="BU343" s="39"/>
      <c r="BV343" s="39"/>
      <c r="BW343" s="39"/>
      <c r="BX343" s="39"/>
      <c r="BY343" s="39"/>
      <c r="BZ343" s="39"/>
      <c r="CA343" s="39"/>
      <c r="CB343" s="39"/>
      <c r="CC343" s="39"/>
      <c r="CD343" s="39"/>
      <c r="CE343" s="39"/>
      <c r="CF343" s="39"/>
      <c r="CG343" s="39"/>
      <c r="CH343" s="39"/>
      <c r="CI343" s="39"/>
      <c r="CJ343" s="39"/>
      <c r="CK343" s="39"/>
      <c r="CL343" s="39"/>
      <c r="CM343" s="39"/>
      <c r="CN343" s="39"/>
      <c r="CO343" s="39"/>
      <c r="CP343" s="39"/>
      <c r="CQ343" s="39"/>
      <c r="CR343" s="39"/>
      <c r="CS343" s="39"/>
      <c r="CT343" s="39"/>
      <c r="CU343" s="39"/>
      <c r="CV343" s="39"/>
      <c r="CW343" s="39"/>
      <c r="CX343" s="39"/>
      <c r="CY343" s="39"/>
      <c r="CZ343" s="39"/>
      <c r="DA343" s="39"/>
      <c r="DB343" s="39"/>
      <c r="DC343" s="39"/>
    </row>
    <row r="344" spans="1:107" s="92" customFormat="1" ht="39.950000000000003" customHeight="1" x14ac:dyDescent="0.25">
      <c r="A344"/>
      <c r="B344"/>
      <c r="C344"/>
      <c r="D344"/>
      <c r="E344"/>
      <c r="F344"/>
      <c r="G344"/>
      <c r="H344"/>
      <c r="I344" s="68"/>
      <c r="J344" s="71"/>
      <c r="K344"/>
      <c r="L344"/>
      <c r="M344"/>
      <c r="N344"/>
      <c r="O344"/>
      <c r="P344"/>
      <c r="Q344" s="121"/>
      <c r="R344"/>
      <c r="S344"/>
      <c r="T344" s="229"/>
      <c r="U344" s="229"/>
      <c r="V344" s="229"/>
      <c r="W344" s="229"/>
      <c r="X344" s="229"/>
      <c r="Y344" s="136"/>
      <c r="Z344" s="166"/>
      <c r="AA344" s="166"/>
      <c r="AB344" s="71"/>
      <c r="AC344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  <c r="BA344" s="39"/>
      <c r="BB344" s="39"/>
      <c r="BC344" s="39"/>
      <c r="BD344" s="39"/>
      <c r="BE344" s="39"/>
      <c r="BF344" s="39"/>
      <c r="BG344" s="39"/>
      <c r="BH344" s="39"/>
      <c r="BI344" s="39"/>
      <c r="BJ344" s="39"/>
      <c r="BK344" s="39"/>
      <c r="BL344" s="39"/>
      <c r="BM344" s="39"/>
      <c r="BN344" s="39"/>
      <c r="BO344" s="39"/>
      <c r="BP344" s="39"/>
      <c r="BQ344" s="39"/>
      <c r="BR344" s="39"/>
      <c r="BS344" s="39"/>
      <c r="BT344" s="39"/>
      <c r="BU344" s="39"/>
      <c r="BV344" s="39"/>
      <c r="BW344" s="39"/>
      <c r="BX344" s="39"/>
      <c r="BY344" s="39"/>
      <c r="BZ344" s="39"/>
      <c r="CA344" s="39"/>
      <c r="CB344" s="39"/>
      <c r="CC344" s="39"/>
      <c r="CD344" s="39"/>
      <c r="CE344" s="39"/>
      <c r="CF344" s="39"/>
      <c r="CG344" s="39"/>
      <c r="CH344" s="39"/>
      <c r="CI344" s="39"/>
      <c r="CJ344" s="39"/>
      <c r="CK344" s="39"/>
      <c r="CL344" s="39"/>
      <c r="CM344" s="39"/>
      <c r="CN344" s="39"/>
      <c r="CO344" s="39"/>
      <c r="CP344" s="39"/>
      <c r="CQ344" s="39"/>
      <c r="CR344" s="39"/>
      <c r="CS344" s="39"/>
      <c r="CT344" s="39"/>
      <c r="CU344" s="39"/>
      <c r="CV344" s="39"/>
      <c r="CW344" s="39"/>
      <c r="CX344" s="39"/>
      <c r="CY344" s="39"/>
      <c r="CZ344" s="39"/>
      <c r="DA344" s="39"/>
      <c r="DB344" s="39"/>
      <c r="DC344" s="39"/>
    </row>
    <row r="345" spans="1:107" s="92" customFormat="1" ht="39.950000000000003" customHeight="1" x14ac:dyDescent="0.25">
      <c r="A345"/>
      <c r="B345"/>
      <c r="C345"/>
      <c r="D345"/>
      <c r="E345"/>
      <c r="F345"/>
      <c r="G345"/>
      <c r="H345"/>
      <c r="I345" s="68"/>
      <c r="J345" s="71"/>
      <c r="K345"/>
      <c r="L345"/>
      <c r="M345"/>
      <c r="N345"/>
      <c r="O345"/>
      <c r="P345"/>
      <c r="Q345" s="121"/>
      <c r="R345"/>
      <c r="S345"/>
      <c r="T345" s="229"/>
      <c r="U345" s="229"/>
      <c r="V345" s="229"/>
      <c r="W345" s="229"/>
      <c r="X345" s="229"/>
      <c r="Y345" s="136"/>
      <c r="Z345" s="166"/>
      <c r="AA345" s="166"/>
      <c r="AB345" s="71"/>
      <c r="AC345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  <c r="BA345" s="39"/>
      <c r="BB345" s="39"/>
      <c r="BC345" s="39"/>
      <c r="BD345" s="39"/>
      <c r="BE345" s="39"/>
      <c r="BF345" s="39"/>
      <c r="BG345" s="39"/>
      <c r="BH345" s="39"/>
      <c r="BI345" s="39"/>
      <c r="BJ345" s="39"/>
      <c r="BK345" s="39"/>
      <c r="BL345" s="39"/>
      <c r="BM345" s="39"/>
      <c r="BN345" s="39"/>
      <c r="BO345" s="39"/>
      <c r="BP345" s="39"/>
      <c r="BQ345" s="39"/>
      <c r="BR345" s="39"/>
      <c r="BS345" s="39"/>
      <c r="BT345" s="39"/>
      <c r="BU345" s="39"/>
      <c r="BV345" s="39"/>
      <c r="BW345" s="39"/>
      <c r="BX345" s="39"/>
      <c r="BY345" s="39"/>
      <c r="BZ345" s="39"/>
      <c r="CA345" s="39"/>
      <c r="CB345" s="39"/>
      <c r="CC345" s="39"/>
      <c r="CD345" s="39"/>
      <c r="CE345" s="39"/>
      <c r="CF345" s="39"/>
      <c r="CG345" s="39"/>
      <c r="CH345" s="39"/>
      <c r="CI345" s="39"/>
      <c r="CJ345" s="39"/>
      <c r="CK345" s="39"/>
      <c r="CL345" s="39"/>
      <c r="CM345" s="39"/>
      <c r="CN345" s="39"/>
      <c r="CO345" s="39"/>
      <c r="CP345" s="39"/>
      <c r="CQ345" s="39"/>
      <c r="CR345" s="39"/>
      <c r="CS345" s="39"/>
      <c r="CT345" s="39"/>
      <c r="CU345" s="39"/>
      <c r="CV345" s="39"/>
      <c r="CW345" s="39"/>
      <c r="CX345" s="39"/>
      <c r="CY345" s="39"/>
      <c r="CZ345" s="39"/>
      <c r="DA345" s="39"/>
      <c r="DB345" s="39"/>
      <c r="DC345" s="39"/>
    </row>
    <row r="346" spans="1:107" s="92" customFormat="1" ht="39.950000000000003" customHeight="1" x14ac:dyDescent="0.25">
      <c r="A346"/>
      <c r="B346"/>
      <c r="C346"/>
      <c r="D346"/>
      <c r="E346"/>
      <c r="F346"/>
      <c r="G346"/>
      <c r="H346"/>
      <c r="I346" s="68"/>
      <c r="J346" s="71"/>
      <c r="K346"/>
      <c r="L346"/>
      <c r="M346"/>
      <c r="N346"/>
      <c r="O346"/>
      <c r="P346"/>
      <c r="Q346" s="121"/>
      <c r="R346"/>
      <c r="S346"/>
      <c r="T346" s="229"/>
      <c r="U346" s="229"/>
      <c r="V346" s="229"/>
      <c r="W346" s="229"/>
      <c r="X346" s="229"/>
      <c r="Y346" s="136"/>
      <c r="Z346" s="166"/>
      <c r="AA346" s="166"/>
      <c r="AB346" s="71"/>
      <c r="AC346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  <c r="BA346" s="39"/>
      <c r="BB346" s="39"/>
      <c r="BC346" s="39"/>
      <c r="BD346" s="39"/>
      <c r="BE346" s="39"/>
      <c r="BF346" s="39"/>
      <c r="BG346" s="39"/>
      <c r="BH346" s="39"/>
      <c r="BI346" s="39"/>
      <c r="BJ346" s="39"/>
      <c r="BK346" s="39"/>
      <c r="BL346" s="39"/>
      <c r="BM346" s="39"/>
      <c r="BN346" s="39"/>
      <c r="BO346" s="39"/>
      <c r="BP346" s="39"/>
      <c r="BQ346" s="39"/>
      <c r="BR346" s="39"/>
      <c r="BS346" s="39"/>
      <c r="BT346" s="39"/>
      <c r="BU346" s="39"/>
      <c r="BV346" s="39"/>
      <c r="BW346" s="39"/>
      <c r="BX346" s="39"/>
      <c r="BY346" s="39"/>
      <c r="BZ346" s="39"/>
      <c r="CA346" s="39"/>
      <c r="CB346" s="39"/>
      <c r="CC346" s="39"/>
      <c r="CD346" s="39"/>
      <c r="CE346" s="39"/>
      <c r="CF346" s="39"/>
      <c r="CG346" s="39"/>
      <c r="CH346" s="39"/>
      <c r="CI346" s="39"/>
      <c r="CJ346" s="39"/>
      <c r="CK346" s="39"/>
      <c r="CL346" s="39"/>
      <c r="CM346" s="39"/>
      <c r="CN346" s="39"/>
      <c r="CO346" s="39"/>
      <c r="CP346" s="39"/>
      <c r="CQ346" s="39"/>
      <c r="CR346" s="39"/>
      <c r="CS346" s="39"/>
      <c r="CT346" s="39"/>
      <c r="CU346" s="39"/>
      <c r="CV346" s="39"/>
      <c r="CW346" s="39"/>
      <c r="CX346" s="39"/>
      <c r="CY346" s="39"/>
      <c r="CZ346" s="39"/>
      <c r="DA346" s="39"/>
      <c r="DB346" s="39"/>
      <c r="DC346" s="39"/>
    </row>
    <row r="347" spans="1:107" s="92" customFormat="1" ht="39.950000000000003" customHeight="1" x14ac:dyDescent="0.25">
      <c r="A347"/>
      <c r="B347"/>
      <c r="C347"/>
      <c r="D347"/>
      <c r="E347"/>
      <c r="F347"/>
      <c r="G347"/>
      <c r="H347"/>
      <c r="I347" s="68"/>
      <c r="J347" s="71"/>
      <c r="K347"/>
      <c r="L347"/>
      <c r="M347"/>
      <c r="N347"/>
      <c r="O347"/>
      <c r="P347"/>
      <c r="Q347" s="121"/>
      <c r="R347"/>
      <c r="S347"/>
      <c r="T347" s="229"/>
      <c r="U347" s="229"/>
      <c r="V347" s="229"/>
      <c r="W347" s="229"/>
      <c r="X347" s="229"/>
      <c r="Y347" s="136"/>
      <c r="Z347" s="166"/>
      <c r="AA347" s="166"/>
      <c r="AB347" s="71"/>
      <c r="AC347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  <c r="BA347" s="39"/>
      <c r="BB347" s="39"/>
      <c r="BC347" s="39"/>
      <c r="BD347" s="39"/>
      <c r="BE347" s="39"/>
      <c r="BF347" s="39"/>
      <c r="BG347" s="39"/>
      <c r="BH347" s="39"/>
      <c r="BI347" s="39"/>
      <c r="BJ347" s="39"/>
      <c r="BK347" s="39"/>
      <c r="BL347" s="39"/>
      <c r="BM347" s="39"/>
      <c r="BN347" s="39"/>
      <c r="BO347" s="39"/>
      <c r="BP347" s="39"/>
      <c r="BQ347" s="39"/>
      <c r="BR347" s="39"/>
      <c r="BS347" s="39"/>
      <c r="BT347" s="39"/>
      <c r="BU347" s="39"/>
      <c r="BV347" s="39"/>
      <c r="BW347" s="39"/>
      <c r="BX347" s="39"/>
      <c r="BY347" s="39"/>
      <c r="BZ347" s="39"/>
      <c r="CA347" s="39"/>
      <c r="CB347" s="39"/>
      <c r="CC347" s="39"/>
      <c r="CD347" s="39"/>
      <c r="CE347" s="39"/>
      <c r="CF347" s="39"/>
      <c r="CG347" s="39"/>
      <c r="CH347" s="39"/>
      <c r="CI347" s="39"/>
      <c r="CJ347" s="39"/>
      <c r="CK347" s="39"/>
      <c r="CL347" s="39"/>
      <c r="CM347" s="39"/>
      <c r="CN347" s="39"/>
      <c r="CO347" s="39"/>
      <c r="CP347" s="39"/>
      <c r="CQ347" s="39"/>
      <c r="CR347" s="39"/>
      <c r="CS347" s="39"/>
      <c r="CT347" s="39"/>
      <c r="CU347" s="39"/>
      <c r="CV347" s="39"/>
      <c r="CW347" s="39"/>
      <c r="CX347" s="39"/>
      <c r="CY347" s="39"/>
      <c r="CZ347" s="39"/>
      <c r="DA347" s="39"/>
      <c r="DB347" s="39"/>
      <c r="DC347" s="39"/>
    </row>
    <row r="348" spans="1:107" s="92" customFormat="1" ht="39.950000000000003" customHeight="1" x14ac:dyDescent="0.25">
      <c r="A348"/>
      <c r="B348"/>
      <c r="C348"/>
      <c r="D348"/>
      <c r="E348"/>
      <c r="F348"/>
      <c r="G348"/>
      <c r="H348"/>
      <c r="I348" s="68"/>
      <c r="J348" s="71"/>
      <c r="K348"/>
      <c r="L348"/>
      <c r="M348"/>
      <c r="N348"/>
      <c r="O348"/>
      <c r="P348"/>
      <c r="Q348" s="121"/>
      <c r="R348"/>
      <c r="S348"/>
      <c r="T348" s="229"/>
      <c r="U348" s="229"/>
      <c r="V348" s="229"/>
      <c r="W348" s="229"/>
      <c r="X348" s="229"/>
      <c r="Y348" s="136"/>
      <c r="Z348" s="166"/>
      <c r="AA348" s="166"/>
      <c r="AB348" s="71"/>
      <c r="AC348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  <c r="BA348" s="39"/>
      <c r="BB348" s="39"/>
      <c r="BC348" s="39"/>
      <c r="BD348" s="39"/>
      <c r="BE348" s="39"/>
      <c r="BF348" s="39"/>
      <c r="BG348" s="39"/>
      <c r="BH348" s="39"/>
      <c r="BI348" s="39"/>
      <c r="BJ348" s="39"/>
      <c r="BK348" s="39"/>
      <c r="BL348" s="39"/>
      <c r="BM348" s="39"/>
      <c r="BN348" s="39"/>
      <c r="BO348" s="39"/>
      <c r="BP348" s="39"/>
      <c r="BQ348" s="39"/>
      <c r="BR348" s="39"/>
      <c r="BS348" s="39"/>
      <c r="BT348" s="39"/>
      <c r="BU348" s="39"/>
      <c r="BV348" s="39"/>
      <c r="BW348" s="39"/>
      <c r="BX348" s="39"/>
      <c r="BY348" s="39"/>
      <c r="BZ348" s="39"/>
      <c r="CA348" s="39"/>
      <c r="CB348" s="39"/>
      <c r="CC348" s="39"/>
      <c r="CD348" s="39"/>
      <c r="CE348" s="39"/>
      <c r="CF348" s="39"/>
      <c r="CG348" s="39"/>
      <c r="CH348" s="39"/>
      <c r="CI348" s="39"/>
      <c r="CJ348" s="39"/>
      <c r="CK348" s="39"/>
      <c r="CL348" s="39"/>
      <c r="CM348" s="39"/>
      <c r="CN348" s="39"/>
      <c r="CO348" s="39"/>
      <c r="CP348" s="39"/>
      <c r="CQ348" s="39"/>
      <c r="CR348" s="39"/>
      <c r="CS348" s="39"/>
      <c r="CT348" s="39"/>
      <c r="CU348" s="39"/>
      <c r="CV348" s="39"/>
      <c r="CW348" s="39"/>
      <c r="CX348" s="39"/>
      <c r="CY348" s="39"/>
      <c r="CZ348" s="39"/>
      <c r="DA348" s="39"/>
      <c r="DB348" s="39"/>
      <c r="DC348" s="39"/>
    </row>
    <row r="349" spans="1:107" s="92" customFormat="1" ht="39.950000000000003" customHeight="1" x14ac:dyDescent="0.25">
      <c r="A349"/>
      <c r="B349"/>
      <c r="C349"/>
      <c r="D349"/>
      <c r="E349"/>
      <c r="F349"/>
      <c r="G349"/>
      <c r="H349"/>
      <c r="I349" s="68"/>
      <c r="J349" s="71"/>
      <c r="K349"/>
      <c r="L349"/>
      <c r="M349"/>
      <c r="N349"/>
      <c r="O349"/>
      <c r="P349"/>
      <c r="Q349" s="121"/>
      <c r="R349"/>
      <c r="S349"/>
      <c r="T349" s="229"/>
      <c r="U349" s="229"/>
      <c r="V349" s="229"/>
      <c r="W349" s="229"/>
      <c r="X349" s="229"/>
      <c r="Y349" s="136"/>
      <c r="Z349" s="166"/>
      <c r="AA349" s="166"/>
      <c r="AB349" s="71"/>
      <c r="AC34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  <c r="BA349" s="39"/>
      <c r="BB349" s="39"/>
      <c r="BC349" s="39"/>
      <c r="BD349" s="39"/>
      <c r="BE349" s="39"/>
      <c r="BF349" s="39"/>
      <c r="BG349" s="39"/>
      <c r="BH349" s="39"/>
      <c r="BI349" s="39"/>
      <c r="BJ349" s="39"/>
      <c r="BK349" s="39"/>
      <c r="BL349" s="39"/>
      <c r="BM349" s="39"/>
      <c r="BN349" s="39"/>
      <c r="BO349" s="39"/>
      <c r="BP349" s="39"/>
      <c r="BQ349" s="39"/>
      <c r="BR349" s="39"/>
      <c r="BS349" s="39"/>
      <c r="BT349" s="39"/>
      <c r="BU349" s="39"/>
      <c r="BV349" s="39"/>
      <c r="BW349" s="39"/>
      <c r="BX349" s="39"/>
      <c r="BY349" s="39"/>
      <c r="BZ349" s="39"/>
      <c r="CA349" s="39"/>
      <c r="CB349" s="39"/>
      <c r="CC349" s="39"/>
      <c r="CD349" s="39"/>
      <c r="CE349" s="39"/>
      <c r="CF349" s="39"/>
      <c r="CG349" s="39"/>
      <c r="CH349" s="39"/>
      <c r="CI349" s="39"/>
      <c r="CJ349" s="39"/>
      <c r="CK349" s="39"/>
      <c r="CL349" s="39"/>
      <c r="CM349" s="39"/>
      <c r="CN349" s="39"/>
      <c r="CO349" s="39"/>
      <c r="CP349" s="39"/>
      <c r="CQ349" s="39"/>
      <c r="CR349" s="39"/>
      <c r="CS349" s="39"/>
      <c r="CT349" s="39"/>
      <c r="CU349" s="39"/>
      <c r="CV349" s="39"/>
      <c r="CW349" s="39"/>
      <c r="CX349" s="39"/>
      <c r="CY349" s="39"/>
      <c r="CZ349" s="39"/>
      <c r="DA349" s="39"/>
      <c r="DB349" s="39"/>
      <c r="DC349" s="39"/>
    </row>
    <row r="350" spans="1:107" s="92" customFormat="1" ht="39.950000000000003" customHeight="1" x14ac:dyDescent="0.25">
      <c r="A350"/>
      <c r="B350"/>
      <c r="C350"/>
      <c r="D350"/>
      <c r="E350"/>
      <c r="F350"/>
      <c r="G350"/>
      <c r="H350"/>
      <c r="I350" s="68"/>
      <c r="J350" s="71"/>
      <c r="K350"/>
      <c r="L350"/>
      <c r="M350"/>
      <c r="N350"/>
      <c r="O350"/>
      <c r="P350"/>
      <c r="Q350" s="121"/>
      <c r="R350"/>
      <c r="S350"/>
      <c r="T350" s="229"/>
      <c r="U350" s="229"/>
      <c r="V350" s="229"/>
      <c r="W350" s="229"/>
      <c r="X350" s="229"/>
      <c r="Y350" s="136"/>
      <c r="Z350" s="166"/>
      <c r="AA350" s="166"/>
      <c r="AB350" s="71"/>
      <c r="AC350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  <c r="BA350" s="39"/>
      <c r="BB350" s="39"/>
      <c r="BC350" s="39"/>
      <c r="BD350" s="39"/>
      <c r="BE350" s="39"/>
      <c r="BF350" s="39"/>
      <c r="BG350" s="39"/>
      <c r="BH350" s="39"/>
      <c r="BI350" s="39"/>
      <c r="BJ350" s="39"/>
      <c r="BK350" s="39"/>
      <c r="BL350" s="39"/>
      <c r="BM350" s="39"/>
      <c r="BN350" s="39"/>
      <c r="BO350" s="39"/>
      <c r="BP350" s="39"/>
      <c r="BQ350" s="39"/>
      <c r="BR350" s="39"/>
      <c r="BS350" s="39"/>
      <c r="BT350" s="39"/>
      <c r="BU350" s="39"/>
      <c r="BV350" s="39"/>
      <c r="BW350" s="39"/>
      <c r="BX350" s="39"/>
      <c r="BY350" s="39"/>
      <c r="BZ350" s="39"/>
      <c r="CA350" s="39"/>
      <c r="CB350" s="39"/>
      <c r="CC350" s="39"/>
      <c r="CD350" s="39"/>
      <c r="CE350" s="39"/>
      <c r="CF350" s="39"/>
      <c r="CG350" s="39"/>
      <c r="CH350" s="39"/>
      <c r="CI350" s="39"/>
      <c r="CJ350" s="39"/>
      <c r="CK350" s="39"/>
      <c r="CL350" s="39"/>
      <c r="CM350" s="39"/>
      <c r="CN350" s="39"/>
      <c r="CO350" s="39"/>
      <c r="CP350" s="39"/>
      <c r="CQ350" s="39"/>
      <c r="CR350" s="39"/>
      <c r="CS350" s="39"/>
      <c r="CT350" s="39"/>
      <c r="CU350" s="39"/>
      <c r="CV350" s="39"/>
      <c r="CW350" s="39"/>
      <c r="CX350" s="39"/>
      <c r="CY350" s="39"/>
      <c r="CZ350" s="39"/>
      <c r="DA350" s="39"/>
      <c r="DB350" s="39"/>
      <c r="DC350" s="39"/>
    </row>
    <row r="351" spans="1:107" s="92" customFormat="1" ht="39.950000000000003" customHeight="1" x14ac:dyDescent="0.25">
      <c r="A351"/>
      <c r="B351"/>
      <c r="C351"/>
      <c r="D351"/>
      <c r="E351"/>
      <c r="F351"/>
      <c r="G351"/>
      <c r="H351"/>
      <c r="I351" s="68"/>
      <c r="J351" s="71"/>
      <c r="K351"/>
      <c r="L351"/>
      <c r="M351"/>
      <c r="N351"/>
      <c r="O351"/>
      <c r="P351"/>
      <c r="Q351" s="121"/>
      <c r="R351"/>
      <c r="S351"/>
      <c r="T351" s="229"/>
      <c r="U351" s="229"/>
      <c r="V351" s="229"/>
      <c r="W351" s="229"/>
      <c r="X351" s="229"/>
      <c r="Y351" s="136"/>
      <c r="Z351" s="166"/>
      <c r="AA351" s="166"/>
      <c r="AB351" s="71"/>
      <c r="AC351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  <c r="BA351" s="39"/>
      <c r="BB351" s="39"/>
      <c r="BC351" s="39"/>
      <c r="BD351" s="39"/>
      <c r="BE351" s="39"/>
      <c r="BF351" s="39"/>
      <c r="BG351" s="39"/>
      <c r="BH351" s="39"/>
      <c r="BI351" s="39"/>
      <c r="BJ351" s="39"/>
      <c r="BK351" s="39"/>
      <c r="BL351" s="39"/>
      <c r="BM351" s="39"/>
      <c r="BN351" s="39"/>
      <c r="BO351" s="39"/>
      <c r="BP351" s="39"/>
      <c r="BQ351" s="39"/>
      <c r="BR351" s="39"/>
      <c r="BS351" s="39"/>
      <c r="BT351" s="39"/>
      <c r="BU351" s="39"/>
      <c r="BV351" s="39"/>
      <c r="BW351" s="39"/>
      <c r="BX351" s="39"/>
      <c r="BY351" s="39"/>
      <c r="BZ351" s="39"/>
      <c r="CA351" s="39"/>
      <c r="CB351" s="39"/>
      <c r="CC351" s="39"/>
      <c r="CD351" s="39"/>
      <c r="CE351" s="39"/>
      <c r="CF351" s="39"/>
      <c r="CG351" s="39"/>
      <c r="CH351" s="39"/>
      <c r="CI351" s="39"/>
      <c r="CJ351" s="39"/>
      <c r="CK351" s="39"/>
      <c r="CL351" s="39"/>
      <c r="CM351" s="39"/>
      <c r="CN351" s="39"/>
      <c r="CO351" s="39"/>
      <c r="CP351" s="39"/>
      <c r="CQ351" s="39"/>
      <c r="CR351" s="39"/>
      <c r="CS351" s="39"/>
      <c r="CT351" s="39"/>
      <c r="CU351" s="39"/>
      <c r="CV351" s="39"/>
      <c r="CW351" s="39"/>
      <c r="CX351" s="39"/>
      <c r="CY351" s="39"/>
      <c r="CZ351" s="39"/>
      <c r="DA351" s="39"/>
      <c r="DB351" s="39"/>
      <c r="DC351" s="39"/>
    </row>
    <row r="352" spans="1:107" s="92" customFormat="1" ht="39.950000000000003" customHeight="1" x14ac:dyDescent="0.25">
      <c r="A352"/>
      <c r="B352"/>
      <c r="C352"/>
      <c r="D352"/>
      <c r="E352"/>
      <c r="F352"/>
      <c r="G352"/>
      <c r="H352"/>
      <c r="I352" s="68"/>
      <c r="J352" s="71"/>
      <c r="K352"/>
      <c r="L352"/>
      <c r="M352"/>
      <c r="N352"/>
      <c r="O352"/>
      <c r="P352"/>
      <c r="Q352" s="121"/>
      <c r="R352"/>
      <c r="S352"/>
      <c r="T352" s="229"/>
      <c r="U352" s="229"/>
      <c r="V352" s="229"/>
      <c r="W352" s="229"/>
      <c r="X352" s="229"/>
      <c r="Y352" s="136"/>
      <c r="Z352" s="166"/>
      <c r="AA352" s="166"/>
      <c r="AB352" s="71"/>
      <c r="AC352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  <c r="BA352" s="39"/>
      <c r="BB352" s="39"/>
      <c r="BC352" s="39"/>
      <c r="BD352" s="39"/>
      <c r="BE352" s="39"/>
      <c r="BF352" s="39"/>
      <c r="BG352" s="39"/>
      <c r="BH352" s="39"/>
      <c r="BI352" s="39"/>
      <c r="BJ352" s="39"/>
      <c r="BK352" s="39"/>
      <c r="BL352" s="39"/>
      <c r="BM352" s="39"/>
      <c r="BN352" s="39"/>
      <c r="BO352" s="39"/>
      <c r="BP352" s="39"/>
      <c r="BQ352" s="39"/>
      <c r="BR352" s="39"/>
      <c r="BS352" s="39"/>
      <c r="BT352" s="39"/>
      <c r="BU352" s="39"/>
      <c r="BV352" s="39"/>
      <c r="BW352" s="39"/>
      <c r="BX352" s="39"/>
      <c r="BY352" s="39"/>
      <c r="BZ352" s="39"/>
      <c r="CA352" s="39"/>
      <c r="CB352" s="39"/>
      <c r="CC352" s="39"/>
      <c r="CD352" s="39"/>
      <c r="CE352" s="39"/>
      <c r="CF352" s="39"/>
      <c r="CG352" s="39"/>
      <c r="CH352" s="39"/>
      <c r="CI352" s="39"/>
      <c r="CJ352" s="39"/>
      <c r="CK352" s="39"/>
      <c r="CL352" s="39"/>
      <c r="CM352" s="39"/>
      <c r="CN352" s="39"/>
      <c r="CO352" s="39"/>
      <c r="CP352" s="39"/>
      <c r="CQ352" s="39"/>
      <c r="CR352" s="39"/>
      <c r="CS352" s="39"/>
      <c r="CT352" s="39"/>
      <c r="CU352" s="39"/>
      <c r="CV352" s="39"/>
      <c r="CW352" s="39"/>
      <c r="CX352" s="39"/>
      <c r="CY352" s="39"/>
      <c r="CZ352" s="39"/>
      <c r="DA352" s="39"/>
      <c r="DB352" s="39"/>
      <c r="DC352" s="39"/>
    </row>
    <row r="353" spans="1:107" s="92" customFormat="1" ht="39.950000000000003" customHeight="1" x14ac:dyDescent="0.25">
      <c r="A353"/>
      <c r="B353"/>
      <c r="C353"/>
      <c r="D353"/>
      <c r="E353"/>
      <c r="F353"/>
      <c r="G353"/>
      <c r="H353"/>
      <c r="I353" s="68"/>
      <c r="J353" s="71"/>
      <c r="K353"/>
      <c r="L353"/>
      <c r="M353"/>
      <c r="N353"/>
      <c r="O353"/>
      <c r="P353"/>
      <c r="Q353" s="121"/>
      <c r="R353"/>
      <c r="S353"/>
      <c r="T353" s="229"/>
      <c r="U353" s="229"/>
      <c r="V353" s="229"/>
      <c r="W353" s="229"/>
      <c r="X353" s="229"/>
      <c r="Y353" s="136"/>
      <c r="Z353" s="166"/>
      <c r="AA353" s="166"/>
      <c r="AB353" s="71"/>
      <c r="AC353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  <c r="BA353" s="39"/>
      <c r="BB353" s="39"/>
      <c r="BC353" s="39"/>
      <c r="BD353" s="39"/>
      <c r="BE353" s="39"/>
      <c r="BF353" s="39"/>
      <c r="BG353" s="39"/>
      <c r="BH353" s="39"/>
      <c r="BI353" s="39"/>
      <c r="BJ353" s="39"/>
      <c r="BK353" s="39"/>
      <c r="BL353" s="39"/>
      <c r="BM353" s="39"/>
      <c r="BN353" s="39"/>
      <c r="BO353" s="39"/>
      <c r="BP353" s="39"/>
      <c r="BQ353" s="39"/>
      <c r="BR353" s="39"/>
      <c r="BS353" s="39"/>
      <c r="BT353" s="39"/>
      <c r="BU353" s="39"/>
      <c r="BV353" s="39"/>
      <c r="BW353" s="39"/>
      <c r="BX353" s="39"/>
      <c r="BY353" s="39"/>
      <c r="BZ353" s="39"/>
      <c r="CA353" s="39"/>
      <c r="CB353" s="39"/>
      <c r="CC353" s="39"/>
      <c r="CD353" s="39"/>
      <c r="CE353" s="39"/>
      <c r="CF353" s="39"/>
      <c r="CG353" s="39"/>
      <c r="CH353" s="39"/>
      <c r="CI353" s="39"/>
      <c r="CJ353" s="39"/>
      <c r="CK353" s="39"/>
      <c r="CL353" s="39"/>
      <c r="CM353" s="39"/>
      <c r="CN353" s="39"/>
      <c r="CO353" s="39"/>
      <c r="CP353" s="39"/>
      <c r="CQ353" s="39"/>
      <c r="CR353" s="39"/>
      <c r="CS353" s="39"/>
      <c r="CT353" s="39"/>
      <c r="CU353" s="39"/>
      <c r="CV353" s="39"/>
      <c r="CW353" s="39"/>
      <c r="CX353" s="39"/>
      <c r="CY353" s="39"/>
      <c r="CZ353" s="39"/>
      <c r="DA353" s="39"/>
      <c r="DB353" s="39"/>
      <c r="DC353" s="39"/>
    </row>
    <row r="354" spans="1:107" s="92" customFormat="1" ht="39.950000000000003" customHeight="1" x14ac:dyDescent="0.25">
      <c r="A354"/>
      <c r="B354"/>
      <c r="C354"/>
      <c r="D354"/>
      <c r="E354"/>
      <c r="F354"/>
      <c r="G354"/>
      <c r="H354"/>
      <c r="I354" s="68"/>
      <c r="J354" s="71"/>
      <c r="K354"/>
      <c r="L354"/>
      <c r="M354"/>
      <c r="N354"/>
      <c r="O354"/>
      <c r="P354"/>
      <c r="Q354" s="121"/>
      <c r="R354"/>
      <c r="S354"/>
      <c r="T354" s="229"/>
      <c r="U354" s="229"/>
      <c r="V354" s="229"/>
      <c r="W354" s="229"/>
      <c r="X354" s="229"/>
      <c r="Y354" s="136"/>
      <c r="Z354" s="166"/>
      <c r="AA354" s="166"/>
      <c r="AB354" s="71"/>
      <c r="AC354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  <c r="BA354" s="39"/>
      <c r="BB354" s="39"/>
      <c r="BC354" s="39"/>
      <c r="BD354" s="39"/>
      <c r="BE354" s="39"/>
      <c r="BF354" s="39"/>
      <c r="BG354" s="39"/>
      <c r="BH354" s="39"/>
      <c r="BI354" s="39"/>
      <c r="BJ354" s="39"/>
      <c r="BK354" s="39"/>
      <c r="BL354" s="39"/>
      <c r="BM354" s="39"/>
      <c r="BN354" s="39"/>
      <c r="BO354" s="39"/>
      <c r="BP354" s="39"/>
      <c r="BQ354" s="39"/>
      <c r="BR354" s="39"/>
      <c r="BS354" s="39"/>
      <c r="BT354" s="39"/>
      <c r="BU354" s="39"/>
      <c r="BV354" s="39"/>
      <c r="BW354" s="39"/>
      <c r="BX354" s="39"/>
      <c r="BY354" s="39"/>
      <c r="BZ354" s="39"/>
      <c r="CA354" s="39"/>
      <c r="CB354" s="39"/>
      <c r="CC354" s="39"/>
      <c r="CD354" s="39"/>
      <c r="CE354" s="39"/>
      <c r="CF354" s="39"/>
      <c r="CG354" s="39"/>
      <c r="CH354" s="39"/>
      <c r="CI354" s="39"/>
      <c r="CJ354" s="39"/>
      <c r="CK354" s="39"/>
      <c r="CL354" s="39"/>
      <c r="CM354" s="39"/>
      <c r="CN354" s="39"/>
      <c r="CO354" s="39"/>
      <c r="CP354" s="39"/>
      <c r="CQ354" s="39"/>
      <c r="CR354" s="39"/>
      <c r="CS354" s="39"/>
      <c r="CT354" s="39"/>
      <c r="CU354" s="39"/>
      <c r="CV354" s="39"/>
      <c r="CW354" s="39"/>
      <c r="CX354" s="39"/>
      <c r="CY354" s="39"/>
      <c r="CZ354" s="39"/>
      <c r="DA354" s="39"/>
      <c r="DB354" s="39"/>
      <c r="DC354" s="39"/>
    </row>
    <row r="355" spans="1:107" s="92" customFormat="1" ht="39.950000000000003" customHeight="1" x14ac:dyDescent="0.25">
      <c r="A355"/>
      <c r="B355"/>
      <c r="C355"/>
      <c r="D355"/>
      <c r="E355"/>
      <c r="F355"/>
      <c r="G355"/>
      <c r="H355"/>
      <c r="I355" s="68"/>
      <c r="J355" s="71"/>
      <c r="K355"/>
      <c r="L355"/>
      <c r="M355"/>
      <c r="N355"/>
      <c r="O355"/>
      <c r="P355"/>
      <c r="Q355" s="121"/>
      <c r="R355"/>
      <c r="S355"/>
      <c r="T355" s="229"/>
      <c r="U355" s="229"/>
      <c r="V355" s="229"/>
      <c r="W355" s="229"/>
      <c r="X355" s="229"/>
      <c r="Y355" s="136"/>
      <c r="Z355" s="166"/>
      <c r="AA355" s="166"/>
      <c r="AB355" s="71"/>
      <c r="AC355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  <c r="BA355" s="39"/>
      <c r="BB355" s="39"/>
      <c r="BC355" s="39"/>
      <c r="BD355" s="39"/>
      <c r="BE355" s="39"/>
      <c r="BF355" s="39"/>
      <c r="BG355" s="39"/>
      <c r="BH355" s="39"/>
      <c r="BI355" s="39"/>
      <c r="BJ355" s="39"/>
      <c r="BK355" s="39"/>
      <c r="BL355" s="39"/>
      <c r="BM355" s="39"/>
      <c r="BN355" s="39"/>
      <c r="BO355" s="39"/>
      <c r="BP355" s="39"/>
      <c r="BQ355" s="39"/>
      <c r="BR355" s="39"/>
      <c r="BS355" s="39"/>
      <c r="BT355" s="39"/>
      <c r="BU355" s="39"/>
      <c r="BV355" s="39"/>
      <c r="BW355" s="39"/>
      <c r="BX355" s="39"/>
      <c r="BY355" s="39"/>
      <c r="BZ355" s="39"/>
      <c r="CA355" s="39"/>
      <c r="CB355" s="39"/>
      <c r="CC355" s="39"/>
      <c r="CD355" s="39"/>
      <c r="CE355" s="39"/>
      <c r="CF355" s="39"/>
      <c r="CG355" s="39"/>
      <c r="CH355" s="39"/>
      <c r="CI355" s="39"/>
      <c r="CJ355" s="39"/>
      <c r="CK355" s="39"/>
      <c r="CL355" s="39"/>
      <c r="CM355" s="39"/>
      <c r="CN355" s="39"/>
      <c r="CO355" s="39"/>
      <c r="CP355" s="39"/>
      <c r="CQ355" s="39"/>
      <c r="CR355" s="39"/>
      <c r="CS355" s="39"/>
      <c r="CT355" s="39"/>
      <c r="CU355" s="39"/>
      <c r="CV355" s="39"/>
      <c r="CW355" s="39"/>
      <c r="CX355" s="39"/>
      <c r="CY355" s="39"/>
      <c r="CZ355" s="39"/>
      <c r="DA355" s="39"/>
      <c r="DB355" s="39"/>
      <c r="DC355" s="39"/>
    </row>
    <row r="356" spans="1:107" s="92" customFormat="1" ht="39.950000000000003" customHeight="1" x14ac:dyDescent="0.25">
      <c r="A356"/>
      <c r="B356"/>
      <c r="C356"/>
      <c r="D356"/>
      <c r="E356"/>
      <c r="F356"/>
      <c r="G356"/>
      <c r="H356"/>
      <c r="I356" s="68"/>
      <c r="J356" s="71"/>
      <c r="K356"/>
      <c r="L356"/>
      <c r="M356"/>
      <c r="N356"/>
      <c r="O356"/>
      <c r="P356"/>
      <c r="Q356" s="121"/>
      <c r="R356"/>
      <c r="S356"/>
      <c r="T356" s="229"/>
      <c r="U356" s="229"/>
      <c r="V356" s="229"/>
      <c r="W356" s="229"/>
      <c r="X356" s="229"/>
      <c r="Y356" s="136"/>
      <c r="Z356" s="166"/>
      <c r="AA356" s="166"/>
      <c r="AB356" s="71"/>
      <c r="AC356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/>
      <c r="BO356" s="39"/>
      <c r="BP356" s="39"/>
      <c r="BQ356" s="39"/>
      <c r="BR356" s="39"/>
      <c r="BS356" s="39"/>
      <c r="BT356" s="39"/>
      <c r="BU356" s="39"/>
      <c r="BV356" s="39"/>
      <c r="BW356" s="39"/>
      <c r="BX356" s="39"/>
      <c r="BY356" s="39"/>
      <c r="BZ356" s="39"/>
      <c r="CA356" s="39"/>
      <c r="CB356" s="39"/>
      <c r="CC356" s="39"/>
      <c r="CD356" s="39"/>
      <c r="CE356" s="39"/>
      <c r="CF356" s="39"/>
      <c r="CG356" s="39"/>
      <c r="CH356" s="39"/>
      <c r="CI356" s="39"/>
      <c r="CJ356" s="39"/>
      <c r="CK356" s="39"/>
      <c r="CL356" s="39"/>
      <c r="CM356" s="39"/>
      <c r="CN356" s="39"/>
      <c r="CO356" s="39"/>
      <c r="CP356" s="39"/>
      <c r="CQ356" s="39"/>
      <c r="CR356" s="39"/>
      <c r="CS356" s="39"/>
      <c r="CT356" s="39"/>
      <c r="CU356" s="39"/>
      <c r="CV356" s="39"/>
      <c r="CW356" s="39"/>
      <c r="CX356" s="39"/>
      <c r="CY356" s="39"/>
      <c r="CZ356" s="39"/>
      <c r="DA356" s="39"/>
      <c r="DB356" s="39"/>
      <c r="DC356" s="39"/>
    </row>
    <row r="357" spans="1:107" s="92" customFormat="1" ht="39.950000000000003" customHeight="1" x14ac:dyDescent="0.25">
      <c r="A357"/>
      <c r="B357"/>
      <c r="C357"/>
      <c r="D357"/>
      <c r="E357"/>
      <c r="F357"/>
      <c r="G357"/>
      <c r="H357"/>
      <c r="I357" s="68"/>
      <c r="J357" s="71"/>
      <c r="K357"/>
      <c r="L357"/>
      <c r="M357"/>
      <c r="N357"/>
      <c r="O357"/>
      <c r="P357"/>
      <c r="Q357" s="121"/>
      <c r="R357"/>
      <c r="S357"/>
      <c r="T357" s="229"/>
      <c r="U357" s="229"/>
      <c r="V357" s="229"/>
      <c r="W357" s="229"/>
      <c r="X357" s="229"/>
      <c r="Y357" s="136"/>
      <c r="Z357" s="166"/>
      <c r="AA357" s="166"/>
      <c r="AB357" s="71"/>
      <c r="AC357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  <c r="BA357" s="39"/>
      <c r="BB357" s="39"/>
      <c r="BC357" s="39"/>
      <c r="BD357" s="39"/>
      <c r="BE357" s="39"/>
      <c r="BF357" s="39"/>
      <c r="BG357" s="39"/>
      <c r="BH357" s="39"/>
      <c r="BI357" s="39"/>
      <c r="BJ357" s="39"/>
      <c r="BK357" s="39"/>
      <c r="BL357" s="39"/>
      <c r="BM357" s="39"/>
      <c r="BN357" s="39"/>
      <c r="BO357" s="39"/>
      <c r="BP357" s="39"/>
      <c r="BQ357" s="39"/>
      <c r="BR357" s="39"/>
      <c r="BS357" s="39"/>
      <c r="BT357" s="39"/>
      <c r="BU357" s="39"/>
      <c r="BV357" s="39"/>
      <c r="BW357" s="39"/>
      <c r="BX357" s="39"/>
      <c r="BY357" s="39"/>
      <c r="BZ357" s="39"/>
      <c r="CA357" s="39"/>
      <c r="CB357" s="39"/>
      <c r="CC357" s="39"/>
      <c r="CD357" s="39"/>
      <c r="CE357" s="39"/>
      <c r="CF357" s="39"/>
      <c r="CG357" s="39"/>
      <c r="CH357" s="39"/>
      <c r="CI357" s="39"/>
      <c r="CJ357" s="39"/>
      <c r="CK357" s="39"/>
      <c r="CL357" s="39"/>
      <c r="CM357" s="39"/>
      <c r="CN357" s="39"/>
      <c r="CO357" s="39"/>
      <c r="CP357" s="39"/>
      <c r="CQ357" s="39"/>
      <c r="CR357" s="39"/>
      <c r="CS357" s="39"/>
      <c r="CT357" s="39"/>
      <c r="CU357" s="39"/>
      <c r="CV357" s="39"/>
      <c r="CW357" s="39"/>
      <c r="CX357" s="39"/>
      <c r="CY357" s="39"/>
      <c r="CZ357" s="39"/>
      <c r="DA357" s="39"/>
      <c r="DB357" s="39"/>
      <c r="DC357" s="39"/>
    </row>
    <row r="358" spans="1:107" s="92" customFormat="1" ht="39.950000000000003" customHeight="1" x14ac:dyDescent="0.25">
      <c r="A358"/>
      <c r="B358"/>
      <c r="C358"/>
      <c r="D358"/>
      <c r="E358"/>
      <c r="F358"/>
      <c r="G358"/>
      <c r="H358"/>
      <c r="I358" s="68"/>
      <c r="J358" s="71"/>
      <c r="K358"/>
      <c r="L358"/>
      <c r="M358"/>
      <c r="N358"/>
      <c r="O358"/>
      <c r="P358"/>
      <c r="Q358" s="121"/>
      <c r="R358"/>
      <c r="S358"/>
      <c r="T358" s="229"/>
      <c r="U358" s="229"/>
      <c r="V358" s="229"/>
      <c r="W358" s="229"/>
      <c r="X358" s="229"/>
      <c r="Y358" s="136"/>
      <c r="Z358" s="166"/>
      <c r="AA358" s="166"/>
      <c r="AB358" s="71"/>
      <c r="AC358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  <c r="BA358" s="39"/>
      <c r="BB358" s="39"/>
      <c r="BC358" s="39"/>
      <c r="BD358" s="39"/>
      <c r="BE358" s="39"/>
      <c r="BF358" s="39"/>
      <c r="BG358" s="39"/>
      <c r="BH358" s="39"/>
      <c r="BI358" s="39"/>
      <c r="BJ358" s="39"/>
      <c r="BK358" s="39"/>
      <c r="BL358" s="39"/>
      <c r="BM358" s="39"/>
      <c r="BN358" s="39"/>
      <c r="BO358" s="39"/>
      <c r="BP358" s="39"/>
      <c r="BQ358" s="39"/>
      <c r="BR358" s="39"/>
      <c r="BS358" s="39"/>
      <c r="BT358" s="39"/>
      <c r="BU358" s="39"/>
      <c r="BV358" s="39"/>
      <c r="BW358" s="39"/>
      <c r="BX358" s="39"/>
      <c r="BY358" s="39"/>
      <c r="BZ358" s="39"/>
      <c r="CA358" s="39"/>
      <c r="CB358" s="39"/>
      <c r="CC358" s="39"/>
      <c r="CD358" s="39"/>
      <c r="CE358" s="39"/>
      <c r="CF358" s="39"/>
      <c r="CG358" s="39"/>
      <c r="CH358" s="39"/>
      <c r="CI358" s="39"/>
      <c r="CJ358" s="39"/>
      <c r="CK358" s="39"/>
      <c r="CL358" s="39"/>
      <c r="CM358" s="39"/>
      <c r="CN358" s="39"/>
      <c r="CO358" s="39"/>
      <c r="CP358" s="39"/>
      <c r="CQ358" s="39"/>
      <c r="CR358" s="39"/>
      <c r="CS358" s="39"/>
      <c r="CT358" s="39"/>
      <c r="CU358" s="39"/>
      <c r="CV358" s="39"/>
      <c r="CW358" s="39"/>
      <c r="CX358" s="39"/>
      <c r="CY358" s="39"/>
      <c r="CZ358" s="39"/>
      <c r="DA358" s="39"/>
      <c r="DB358" s="39"/>
      <c r="DC358" s="39"/>
    </row>
    <row r="359" spans="1:107" s="92" customFormat="1" ht="39.950000000000003" customHeight="1" x14ac:dyDescent="0.25">
      <c r="A359"/>
      <c r="B359"/>
      <c r="C359"/>
      <c r="D359"/>
      <c r="E359"/>
      <c r="F359"/>
      <c r="G359"/>
      <c r="H359"/>
      <c r="I359" s="68"/>
      <c r="J359" s="71"/>
      <c r="K359"/>
      <c r="L359"/>
      <c r="M359"/>
      <c r="N359"/>
      <c r="O359"/>
      <c r="P359"/>
      <c r="Q359" s="121"/>
      <c r="R359"/>
      <c r="S359"/>
      <c r="T359" s="229"/>
      <c r="U359" s="229"/>
      <c r="V359" s="229"/>
      <c r="W359" s="229"/>
      <c r="X359" s="229"/>
      <c r="Y359" s="136"/>
      <c r="Z359" s="166"/>
      <c r="AA359" s="166"/>
      <c r="AB359" s="71"/>
      <c r="AC35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  <c r="BA359" s="39"/>
      <c r="BB359" s="39"/>
      <c r="BC359" s="39"/>
      <c r="BD359" s="39"/>
      <c r="BE359" s="39"/>
      <c r="BF359" s="39"/>
      <c r="BG359" s="39"/>
      <c r="BH359" s="39"/>
      <c r="BI359" s="39"/>
      <c r="BJ359" s="39"/>
      <c r="BK359" s="39"/>
      <c r="BL359" s="39"/>
      <c r="BM359" s="39"/>
      <c r="BN359" s="39"/>
      <c r="BO359" s="39"/>
      <c r="BP359" s="39"/>
      <c r="BQ359" s="39"/>
      <c r="BR359" s="39"/>
      <c r="BS359" s="39"/>
      <c r="BT359" s="39"/>
      <c r="BU359" s="39"/>
      <c r="BV359" s="39"/>
      <c r="BW359" s="39"/>
      <c r="BX359" s="39"/>
      <c r="BY359" s="39"/>
      <c r="BZ359" s="39"/>
      <c r="CA359" s="39"/>
      <c r="CB359" s="39"/>
      <c r="CC359" s="39"/>
      <c r="CD359" s="39"/>
      <c r="CE359" s="39"/>
      <c r="CF359" s="39"/>
      <c r="CG359" s="39"/>
      <c r="CH359" s="39"/>
      <c r="CI359" s="39"/>
      <c r="CJ359" s="39"/>
      <c r="CK359" s="39"/>
      <c r="CL359" s="39"/>
      <c r="CM359" s="39"/>
      <c r="CN359" s="39"/>
      <c r="CO359" s="39"/>
      <c r="CP359" s="39"/>
      <c r="CQ359" s="39"/>
      <c r="CR359" s="39"/>
      <c r="CS359" s="39"/>
      <c r="CT359" s="39"/>
      <c r="CU359" s="39"/>
      <c r="CV359" s="39"/>
      <c r="CW359" s="39"/>
      <c r="CX359" s="39"/>
      <c r="CY359" s="39"/>
      <c r="CZ359" s="39"/>
      <c r="DA359" s="39"/>
      <c r="DB359" s="39"/>
      <c r="DC359" s="39"/>
    </row>
    <row r="360" spans="1:107" s="92" customFormat="1" ht="39.950000000000003" customHeight="1" x14ac:dyDescent="0.25">
      <c r="A360"/>
      <c r="B360"/>
      <c r="C360"/>
      <c r="D360"/>
      <c r="E360"/>
      <c r="F360"/>
      <c r="G360"/>
      <c r="H360"/>
      <c r="I360" s="68"/>
      <c r="J360" s="71"/>
      <c r="K360"/>
      <c r="L360"/>
      <c r="M360"/>
      <c r="N360"/>
      <c r="O360"/>
      <c r="P360"/>
      <c r="Q360" s="121"/>
      <c r="R360"/>
      <c r="S360"/>
      <c r="T360" s="229"/>
      <c r="U360" s="229"/>
      <c r="V360" s="229"/>
      <c r="W360" s="229"/>
      <c r="X360" s="229"/>
      <c r="Y360" s="136"/>
      <c r="Z360" s="166"/>
      <c r="AA360" s="166"/>
      <c r="AB360" s="71"/>
      <c r="AC360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  <c r="BA360" s="39"/>
      <c r="BB360" s="39"/>
      <c r="BC360" s="39"/>
      <c r="BD360" s="39"/>
      <c r="BE360" s="39"/>
      <c r="BF360" s="39"/>
      <c r="BG360" s="39"/>
      <c r="BH360" s="39"/>
      <c r="BI360" s="39"/>
      <c r="BJ360" s="39"/>
      <c r="BK360" s="39"/>
      <c r="BL360" s="39"/>
      <c r="BM360" s="39"/>
      <c r="BN360" s="39"/>
      <c r="BO360" s="39"/>
      <c r="BP360" s="39"/>
      <c r="BQ360" s="39"/>
      <c r="BR360" s="39"/>
      <c r="BS360" s="39"/>
      <c r="BT360" s="39"/>
      <c r="BU360" s="39"/>
      <c r="BV360" s="39"/>
      <c r="BW360" s="39"/>
      <c r="BX360" s="39"/>
      <c r="BY360" s="39"/>
      <c r="BZ360" s="39"/>
      <c r="CA360" s="39"/>
      <c r="CB360" s="39"/>
      <c r="CC360" s="39"/>
      <c r="CD360" s="39"/>
      <c r="CE360" s="39"/>
      <c r="CF360" s="39"/>
      <c r="CG360" s="39"/>
      <c r="CH360" s="39"/>
      <c r="CI360" s="39"/>
      <c r="CJ360" s="39"/>
      <c r="CK360" s="39"/>
      <c r="CL360" s="39"/>
      <c r="CM360" s="39"/>
      <c r="CN360" s="39"/>
      <c r="CO360" s="39"/>
      <c r="CP360" s="39"/>
      <c r="CQ360" s="39"/>
      <c r="CR360" s="39"/>
      <c r="CS360" s="39"/>
      <c r="CT360" s="39"/>
      <c r="CU360" s="39"/>
      <c r="CV360" s="39"/>
      <c r="CW360" s="39"/>
      <c r="CX360" s="39"/>
      <c r="CY360" s="39"/>
      <c r="CZ360" s="39"/>
      <c r="DA360" s="39"/>
      <c r="DB360" s="39"/>
      <c r="DC360" s="39"/>
    </row>
    <row r="361" spans="1:107" s="92" customFormat="1" ht="39.950000000000003" customHeight="1" x14ac:dyDescent="0.25">
      <c r="A361"/>
      <c r="B361"/>
      <c r="C361"/>
      <c r="D361"/>
      <c r="E361"/>
      <c r="F361"/>
      <c r="G361"/>
      <c r="H361"/>
      <c r="I361" s="68"/>
      <c r="J361" s="71"/>
      <c r="K361"/>
      <c r="L361"/>
      <c r="M361"/>
      <c r="N361"/>
      <c r="O361"/>
      <c r="P361"/>
      <c r="Q361" s="121"/>
      <c r="R361"/>
      <c r="S361"/>
      <c r="T361" s="229"/>
      <c r="U361" s="229"/>
      <c r="V361" s="229"/>
      <c r="W361" s="229"/>
      <c r="X361" s="229"/>
      <c r="Y361" s="136"/>
      <c r="Z361" s="166"/>
      <c r="AA361" s="166"/>
      <c r="AB361" s="71"/>
      <c r="AC361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  <c r="BA361" s="39"/>
      <c r="BB361" s="39"/>
      <c r="BC361" s="39"/>
      <c r="BD361" s="39"/>
      <c r="BE361" s="39"/>
      <c r="BF361" s="39"/>
      <c r="BG361" s="39"/>
      <c r="BH361" s="39"/>
      <c r="BI361" s="39"/>
      <c r="BJ361" s="39"/>
      <c r="BK361" s="39"/>
      <c r="BL361" s="39"/>
      <c r="BM361" s="39"/>
      <c r="BN361" s="39"/>
      <c r="BO361" s="39"/>
      <c r="BP361" s="39"/>
      <c r="BQ361" s="39"/>
      <c r="BR361" s="39"/>
      <c r="BS361" s="39"/>
      <c r="BT361" s="39"/>
      <c r="BU361" s="39"/>
      <c r="BV361" s="39"/>
      <c r="BW361" s="39"/>
      <c r="BX361" s="39"/>
      <c r="BY361" s="39"/>
      <c r="BZ361" s="39"/>
      <c r="CA361" s="39"/>
      <c r="CB361" s="39"/>
      <c r="CC361" s="39"/>
      <c r="CD361" s="39"/>
      <c r="CE361" s="39"/>
      <c r="CF361" s="39"/>
      <c r="CG361" s="39"/>
      <c r="CH361" s="39"/>
      <c r="CI361" s="39"/>
      <c r="CJ361" s="39"/>
      <c r="CK361" s="39"/>
      <c r="CL361" s="39"/>
      <c r="CM361" s="39"/>
      <c r="CN361" s="39"/>
      <c r="CO361" s="39"/>
      <c r="CP361" s="39"/>
      <c r="CQ361" s="39"/>
      <c r="CR361" s="39"/>
      <c r="CS361" s="39"/>
      <c r="CT361" s="39"/>
      <c r="CU361" s="39"/>
      <c r="CV361" s="39"/>
      <c r="CW361" s="39"/>
      <c r="CX361" s="39"/>
      <c r="CY361" s="39"/>
      <c r="CZ361" s="39"/>
      <c r="DA361" s="39"/>
      <c r="DB361" s="39"/>
      <c r="DC361" s="39"/>
    </row>
    <row r="362" spans="1:107" s="92" customFormat="1" ht="39.950000000000003" customHeight="1" x14ac:dyDescent="0.25">
      <c r="A362"/>
      <c r="B362"/>
      <c r="C362"/>
      <c r="D362"/>
      <c r="E362"/>
      <c r="F362"/>
      <c r="G362"/>
      <c r="H362"/>
      <c r="I362" s="68"/>
      <c r="J362" s="71"/>
      <c r="K362"/>
      <c r="L362"/>
      <c r="M362"/>
      <c r="N362"/>
      <c r="O362"/>
      <c r="P362"/>
      <c r="Q362" s="121"/>
      <c r="R362"/>
      <c r="S362"/>
      <c r="T362" s="229"/>
      <c r="U362" s="229"/>
      <c r="V362" s="229"/>
      <c r="W362" s="229"/>
      <c r="X362" s="229"/>
      <c r="Y362" s="136"/>
      <c r="Z362" s="166"/>
      <c r="AA362" s="166"/>
      <c r="AB362" s="71"/>
      <c r="AC362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  <c r="BA362" s="39"/>
      <c r="BB362" s="39"/>
      <c r="BC362" s="39"/>
      <c r="BD362" s="39"/>
      <c r="BE362" s="39"/>
      <c r="BF362" s="39"/>
      <c r="BG362" s="39"/>
      <c r="BH362" s="39"/>
      <c r="BI362" s="39"/>
      <c r="BJ362" s="39"/>
      <c r="BK362" s="39"/>
      <c r="BL362" s="39"/>
      <c r="BM362" s="39"/>
      <c r="BN362" s="39"/>
      <c r="BO362" s="39"/>
      <c r="BP362" s="39"/>
      <c r="BQ362" s="39"/>
      <c r="BR362" s="39"/>
      <c r="BS362" s="39"/>
      <c r="BT362" s="39"/>
      <c r="BU362" s="39"/>
      <c r="BV362" s="39"/>
      <c r="BW362" s="39"/>
      <c r="BX362" s="39"/>
      <c r="BY362" s="39"/>
      <c r="BZ362" s="39"/>
      <c r="CA362" s="39"/>
      <c r="CB362" s="39"/>
      <c r="CC362" s="39"/>
      <c r="CD362" s="39"/>
      <c r="CE362" s="39"/>
      <c r="CF362" s="39"/>
      <c r="CG362" s="39"/>
      <c r="CH362" s="39"/>
      <c r="CI362" s="39"/>
      <c r="CJ362" s="39"/>
      <c r="CK362" s="39"/>
      <c r="CL362" s="39"/>
      <c r="CM362" s="39"/>
      <c r="CN362" s="39"/>
      <c r="CO362" s="39"/>
      <c r="CP362" s="39"/>
      <c r="CQ362" s="39"/>
      <c r="CR362" s="39"/>
      <c r="CS362" s="39"/>
      <c r="CT362" s="39"/>
      <c r="CU362" s="39"/>
      <c r="CV362" s="39"/>
      <c r="CW362" s="39"/>
      <c r="CX362" s="39"/>
      <c r="CY362" s="39"/>
      <c r="CZ362" s="39"/>
      <c r="DA362" s="39"/>
      <c r="DB362" s="39"/>
      <c r="DC362" s="39"/>
    </row>
    <row r="363" spans="1:107" s="92" customFormat="1" ht="39.950000000000003" customHeight="1" x14ac:dyDescent="0.25">
      <c r="A363"/>
      <c r="B363"/>
      <c r="C363"/>
      <c r="D363"/>
      <c r="E363"/>
      <c r="F363"/>
      <c r="G363"/>
      <c r="H363"/>
      <c r="I363" s="68"/>
      <c r="J363" s="71"/>
      <c r="K363"/>
      <c r="L363"/>
      <c r="M363"/>
      <c r="N363"/>
      <c r="O363"/>
      <c r="P363"/>
      <c r="Q363" s="121"/>
      <c r="R363"/>
      <c r="S363"/>
      <c r="T363" s="229"/>
      <c r="U363" s="229"/>
      <c r="V363" s="229"/>
      <c r="W363" s="229"/>
      <c r="X363" s="229"/>
      <c r="Y363" s="136"/>
      <c r="Z363" s="166"/>
      <c r="AA363" s="166"/>
      <c r="AB363" s="71"/>
      <c r="AC363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  <c r="BA363" s="39"/>
      <c r="BB363" s="39"/>
      <c r="BC363" s="39"/>
      <c r="BD363" s="39"/>
      <c r="BE363" s="39"/>
      <c r="BF363" s="39"/>
      <c r="BG363" s="39"/>
      <c r="BH363" s="39"/>
      <c r="BI363" s="39"/>
      <c r="BJ363" s="39"/>
      <c r="BK363" s="39"/>
      <c r="BL363" s="39"/>
      <c r="BM363" s="39"/>
      <c r="BN363" s="39"/>
      <c r="BO363" s="39"/>
      <c r="BP363" s="39"/>
      <c r="BQ363" s="39"/>
      <c r="BR363" s="39"/>
      <c r="BS363" s="39"/>
      <c r="BT363" s="39"/>
      <c r="BU363" s="39"/>
      <c r="BV363" s="39"/>
      <c r="BW363" s="39"/>
      <c r="BX363" s="39"/>
      <c r="BY363" s="39"/>
      <c r="BZ363" s="39"/>
      <c r="CA363" s="39"/>
      <c r="CB363" s="39"/>
      <c r="CC363" s="39"/>
      <c r="CD363" s="39"/>
      <c r="CE363" s="39"/>
      <c r="CF363" s="39"/>
      <c r="CG363" s="39"/>
      <c r="CH363" s="39"/>
      <c r="CI363" s="39"/>
      <c r="CJ363" s="39"/>
      <c r="CK363" s="39"/>
      <c r="CL363" s="39"/>
      <c r="CM363" s="39"/>
      <c r="CN363" s="39"/>
      <c r="CO363" s="39"/>
      <c r="CP363" s="39"/>
      <c r="CQ363" s="39"/>
      <c r="CR363" s="39"/>
      <c r="CS363" s="39"/>
      <c r="CT363" s="39"/>
      <c r="CU363" s="39"/>
      <c r="CV363" s="39"/>
      <c r="CW363" s="39"/>
      <c r="CX363" s="39"/>
      <c r="CY363" s="39"/>
      <c r="CZ363" s="39"/>
      <c r="DA363" s="39"/>
      <c r="DB363" s="39"/>
      <c r="DC363" s="39"/>
    </row>
    <row r="364" spans="1:107" s="92" customFormat="1" ht="39.950000000000003" customHeight="1" x14ac:dyDescent="0.25">
      <c r="A364"/>
      <c r="B364"/>
      <c r="C364"/>
      <c r="D364"/>
      <c r="E364"/>
      <c r="F364"/>
      <c r="G364"/>
      <c r="H364"/>
      <c r="I364" s="68"/>
      <c r="J364" s="71"/>
      <c r="K364"/>
      <c r="L364"/>
      <c r="M364"/>
      <c r="N364"/>
      <c r="O364"/>
      <c r="P364"/>
      <c r="Q364" s="121"/>
      <c r="R364"/>
      <c r="S364"/>
      <c r="T364" s="229"/>
      <c r="U364" s="229"/>
      <c r="V364" s="229"/>
      <c r="W364" s="229"/>
      <c r="X364" s="229"/>
      <c r="Y364" s="136"/>
      <c r="Z364" s="166"/>
      <c r="AA364" s="166"/>
      <c r="AB364" s="71"/>
      <c r="AC364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  <c r="BA364" s="39"/>
      <c r="BB364" s="39"/>
      <c r="BC364" s="39"/>
      <c r="BD364" s="39"/>
      <c r="BE364" s="39"/>
      <c r="BF364" s="39"/>
      <c r="BG364" s="39"/>
      <c r="BH364" s="39"/>
      <c r="BI364" s="39"/>
      <c r="BJ364" s="39"/>
      <c r="BK364" s="39"/>
      <c r="BL364" s="39"/>
      <c r="BM364" s="39"/>
      <c r="BN364" s="39"/>
      <c r="BO364" s="39"/>
      <c r="BP364" s="39"/>
      <c r="BQ364" s="39"/>
      <c r="BR364" s="39"/>
      <c r="BS364" s="39"/>
      <c r="BT364" s="39"/>
      <c r="BU364" s="39"/>
      <c r="BV364" s="39"/>
      <c r="BW364" s="39"/>
      <c r="BX364" s="39"/>
      <c r="BY364" s="39"/>
      <c r="BZ364" s="39"/>
      <c r="CA364" s="39"/>
      <c r="CB364" s="39"/>
      <c r="CC364" s="39"/>
      <c r="CD364" s="39"/>
      <c r="CE364" s="39"/>
      <c r="CF364" s="39"/>
      <c r="CG364" s="39"/>
      <c r="CH364" s="39"/>
      <c r="CI364" s="39"/>
      <c r="CJ364" s="39"/>
      <c r="CK364" s="39"/>
      <c r="CL364" s="39"/>
      <c r="CM364" s="39"/>
      <c r="CN364" s="39"/>
      <c r="CO364" s="39"/>
      <c r="CP364" s="39"/>
      <c r="CQ364" s="39"/>
      <c r="CR364" s="39"/>
      <c r="CS364" s="39"/>
      <c r="CT364" s="39"/>
      <c r="CU364" s="39"/>
      <c r="CV364" s="39"/>
      <c r="CW364" s="39"/>
      <c r="CX364" s="39"/>
      <c r="CY364" s="39"/>
      <c r="CZ364" s="39"/>
      <c r="DA364" s="39"/>
      <c r="DB364" s="39"/>
      <c r="DC364" s="39"/>
    </row>
    <row r="365" spans="1:107" s="92" customFormat="1" ht="39.950000000000003" customHeight="1" x14ac:dyDescent="0.25">
      <c r="A365"/>
      <c r="B365"/>
      <c r="C365"/>
      <c r="D365"/>
      <c r="E365"/>
      <c r="F365"/>
      <c r="G365"/>
      <c r="H365"/>
      <c r="I365" s="68"/>
      <c r="J365" s="71"/>
      <c r="K365"/>
      <c r="L365"/>
      <c r="M365"/>
      <c r="N365"/>
      <c r="O365"/>
      <c r="P365"/>
      <c r="Q365" s="121"/>
      <c r="R365"/>
      <c r="S365"/>
      <c r="T365" s="229"/>
      <c r="U365" s="229"/>
      <c r="V365" s="229"/>
      <c r="W365" s="229"/>
      <c r="X365" s="229"/>
      <c r="Y365" s="136"/>
      <c r="Z365" s="166"/>
      <c r="AA365" s="166"/>
      <c r="AB365" s="71"/>
      <c r="AC365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  <c r="BA365" s="39"/>
      <c r="BB365" s="39"/>
      <c r="BC365" s="39"/>
      <c r="BD365" s="39"/>
      <c r="BE365" s="39"/>
      <c r="BF365" s="39"/>
      <c r="BG365" s="39"/>
      <c r="BH365" s="39"/>
      <c r="BI365" s="39"/>
      <c r="BJ365" s="39"/>
      <c r="BK365" s="39"/>
      <c r="BL365" s="39"/>
      <c r="BM365" s="39"/>
      <c r="BN365" s="39"/>
      <c r="BO365" s="39"/>
      <c r="BP365" s="39"/>
      <c r="BQ365" s="39"/>
      <c r="BR365" s="39"/>
      <c r="BS365" s="39"/>
      <c r="BT365" s="39"/>
      <c r="BU365" s="39"/>
      <c r="BV365" s="39"/>
      <c r="BW365" s="39"/>
      <c r="BX365" s="39"/>
      <c r="BY365" s="39"/>
      <c r="BZ365" s="39"/>
      <c r="CA365" s="39"/>
      <c r="CB365" s="39"/>
      <c r="CC365" s="39"/>
      <c r="CD365" s="39"/>
      <c r="CE365" s="39"/>
      <c r="CF365" s="39"/>
      <c r="CG365" s="39"/>
      <c r="CH365" s="39"/>
      <c r="CI365" s="39"/>
      <c r="CJ365" s="39"/>
      <c r="CK365" s="39"/>
      <c r="CL365" s="39"/>
      <c r="CM365" s="39"/>
      <c r="CN365" s="39"/>
      <c r="CO365" s="39"/>
      <c r="CP365" s="39"/>
      <c r="CQ365" s="39"/>
      <c r="CR365" s="39"/>
      <c r="CS365" s="39"/>
      <c r="CT365" s="39"/>
      <c r="CU365" s="39"/>
      <c r="CV365" s="39"/>
      <c r="CW365" s="39"/>
      <c r="CX365" s="39"/>
      <c r="CY365" s="39"/>
      <c r="CZ365" s="39"/>
      <c r="DA365" s="39"/>
      <c r="DB365" s="39"/>
      <c r="DC365" s="39"/>
    </row>
    <row r="366" spans="1:107" s="92" customFormat="1" ht="39.950000000000003" customHeight="1" x14ac:dyDescent="0.25">
      <c r="A366"/>
      <c r="B366"/>
      <c r="C366"/>
      <c r="D366"/>
      <c r="E366"/>
      <c r="F366"/>
      <c r="G366"/>
      <c r="H366"/>
      <c r="I366" s="68"/>
      <c r="J366" s="71"/>
      <c r="K366"/>
      <c r="L366"/>
      <c r="M366"/>
      <c r="N366"/>
      <c r="O366"/>
      <c r="P366"/>
      <c r="Q366" s="121"/>
      <c r="R366"/>
      <c r="S366"/>
      <c r="T366" s="229"/>
      <c r="U366" s="229"/>
      <c r="V366" s="229"/>
      <c r="W366" s="229"/>
      <c r="X366" s="229"/>
      <c r="Y366" s="136"/>
      <c r="Z366" s="166"/>
      <c r="AA366" s="166"/>
      <c r="AB366" s="71"/>
      <c r="AC366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  <c r="BA366" s="39"/>
      <c r="BB366" s="39"/>
      <c r="BC366" s="39"/>
      <c r="BD366" s="39"/>
      <c r="BE366" s="39"/>
      <c r="BF366" s="39"/>
      <c r="BG366" s="39"/>
      <c r="BH366" s="39"/>
      <c r="BI366" s="39"/>
      <c r="BJ366" s="39"/>
      <c r="BK366" s="39"/>
      <c r="BL366" s="39"/>
      <c r="BM366" s="39"/>
      <c r="BN366" s="39"/>
      <c r="BO366" s="39"/>
      <c r="BP366" s="39"/>
      <c r="BQ366" s="39"/>
      <c r="BR366" s="39"/>
      <c r="BS366" s="39"/>
      <c r="BT366" s="39"/>
      <c r="BU366" s="39"/>
      <c r="BV366" s="39"/>
      <c r="BW366" s="39"/>
      <c r="BX366" s="39"/>
      <c r="BY366" s="39"/>
      <c r="BZ366" s="39"/>
      <c r="CA366" s="39"/>
      <c r="CB366" s="39"/>
      <c r="CC366" s="39"/>
      <c r="CD366" s="39"/>
      <c r="CE366" s="39"/>
      <c r="CF366" s="39"/>
      <c r="CG366" s="39"/>
      <c r="CH366" s="39"/>
      <c r="CI366" s="39"/>
      <c r="CJ366" s="39"/>
      <c r="CK366" s="39"/>
      <c r="CL366" s="39"/>
      <c r="CM366" s="39"/>
      <c r="CN366" s="39"/>
      <c r="CO366" s="39"/>
      <c r="CP366" s="39"/>
      <c r="CQ366" s="39"/>
      <c r="CR366" s="39"/>
      <c r="CS366" s="39"/>
      <c r="CT366" s="39"/>
      <c r="CU366" s="39"/>
      <c r="CV366" s="39"/>
      <c r="CW366" s="39"/>
      <c r="CX366" s="39"/>
      <c r="CY366" s="39"/>
      <c r="CZ366" s="39"/>
      <c r="DA366" s="39"/>
      <c r="DB366" s="39"/>
      <c r="DC366" s="39"/>
    </row>
    <row r="367" spans="1:107" s="92" customFormat="1" ht="39.950000000000003" customHeight="1" x14ac:dyDescent="0.25">
      <c r="A367"/>
      <c r="B367"/>
      <c r="C367"/>
      <c r="D367"/>
      <c r="E367"/>
      <c r="F367"/>
      <c r="G367"/>
      <c r="H367"/>
      <c r="I367" s="68"/>
      <c r="J367" s="71"/>
      <c r="K367"/>
      <c r="L367"/>
      <c r="M367"/>
      <c r="N367"/>
      <c r="O367"/>
      <c r="P367"/>
      <c r="Q367" s="121"/>
      <c r="R367"/>
      <c r="S367"/>
      <c r="T367" s="229"/>
      <c r="U367" s="229"/>
      <c r="V367" s="229"/>
      <c r="W367" s="229"/>
      <c r="X367" s="229"/>
      <c r="Y367" s="136"/>
      <c r="Z367" s="166"/>
      <c r="AA367" s="166"/>
      <c r="AB367" s="71"/>
      <c r="AC367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  <c r="BA367" s="39"/>
      <c r="BB367" s="39"/>
      <c r="BC367" s="39"/>
      <c r="BD367" s="39"/>
      <c r="BE367" s="39"/>
      <c r="BF367" s="39"/>
      <c r="BG367" s="39"/>
      <c r="BH367" s="39"/>
      <c r="BI367" s="39"/>
      <c r="BJ367" s="39"/>
      <c r="BK367" s="39"/>
      <c r="BL367" s="39"/>
      <c r="BM367" s="39"/>
      <c r="BN367" s="39"/>
      <c r="BO367" s="39"/>
      <c r="BP367" s="39"/>
      <c r="BQ367" s="39"/>
      <c r="BR367" s="39"/>
      <c r="BS367" s="39"/>
      <c r="BT367" s="39"/>
      <c r="BU367" s="39"/>
      <c r="BV367" s="39"/>
      <c r="BW367" s="39"/>
      <c r="BX367" s="39"/>
      <c r="BY367" s="39"/>
      <c r="BZ367" s="39"/>
      <c r="CA367" s="39"/>
      <c r="CB367" s="39"/>
      <c r="CC367" s="39"/>
      <c r="CD367" s="39"/>
      <c r="CE367" s="39"/>
      <c r="CF367" s="39"/>
      <c r="CG367" s="39"/>
      <c r="CH367" s="39"/>
      <c r="CI367" s="39"/>
      <c r="CJ367" s="39"/>
      <c r="CK367" s="39"/>
      <c r="CL367" s="39"/>
      <c r="CM367" s="39"/>
      <c r="CN367" s="39"/>
      <c r="CO367" s="39"/>
      <c r="CP367" s="39"/>
      <c r="CQ367" s="39"/>
      <c r="CR367" s="39"/>
      <c r="CS367" s="39"/>
      <c r="CT367" s="39"/>
      <c r="CU367" s="39"/>
      <c r="CV367" s="39"/>
      <c r="CW367" s="39"/>
      <c r="CX367" s="39"/>
      <c r="CY367" s="39"/>
      <c r="CZ367" s="39"/>
      <c r="DA367" s="39"/>
      <c r="DB367" s="39"/>
      <c r="DC367" s="39"/>
    </row>
    <row r="368" spans="1:107" s="92" customFormat="1" ht="39.950000000000003" customHeight="1" x14ac:dyDescent="0.25">
      <c r="A368"/>
      <c r="B368"/>
      <c r="C368"/>
      <c r="D368"/>
      <c r="E368"/>
      <c r="F368"/>
      <c r="G368"/>
      <c r="H368"/>
      <c r="I368" s="68"/>
      <c r="J368" s="71"/>
      <c r="K368"/>
      <c r="L368"/>
      <c r="M368"/>
      <c r="N368"/>
      <c r="O368"/>
      <c r="P368"/>
      <c r="Q368" s="121"/>
      <c r="R368"/>
      <c r="S368"/>
      <c r="T368" s="229"/>
      <c r="U368" s="229"/>
      <c r="V368" s="229"/>
      <c r="W368" s="229"/>
      <c r="X368" s="229"/>
      <c r="Y368" s="136"/>
      <c r="Z368" s="166"/>
      <c r="AA368" s="166"/>
      <c r="AB368" s="71"/>
      <c r="AC368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  <c r="BA368" s="39"/>
      <c r="BB368" s="39"/>
      <c r="BC368" s="39"/>
      <c r="BD368" s="39"/>
      <c r="BE368" s="39"/>
      <c r="BF368" s="39"/>
      <c r="BG368" s="39"/>
      <c r="BH368" s="39"/>
      <c r="BI368" s="39"/>
      <c r="BJ368" s="39"/>
      <c r="BK368" s="39"/>
      <c r="BL368" s="39"/>
      <c r="BM368" s="39"/>
      <c r="BN368" s="39"/>
      <c r="BO368" s="39"/>
      <c r="BP368" s="39"/>
      <c r="BQ368" s="39"/>
      <c r="BR368" s="39"/>
      <c r="BS368" s="39"/>
      <c r="BT368" s="39"/>
      <c r="BU368" s="39"/>
      <c r="BV368" s="39"/>
      <c r="BW368" s="39"/>
      <c r="BX368" s="39"/>
      <c r="BY368" s="39"/>
      <c r="BZ368" s="39"/>
      <c r="CA368" s="39"/>
      <c r="CB368" s="39"/>
      <c r="CC368" s="39"/>
      <c r="CD368" s="39"/>
      <c r="CE368" s="39"/>
      <c r="CF368" s="39"/>
      <c r="CG368" s="39"/>
      <c r="CH368" s="39"/>
      <c r="CI368" s="39"/>
      <c r="CJ368" s="39"/>
      <c r="CK368" s="39"/>
      <c r="CL368" s="39"/>
      <c r="CM368" s="39"/>
      <c r="CN368" s="39"/>
      <c r="CO368" s="39"/>
      <c r="CP368" s="39"/>
      <c r="CQ368" s="39"/>
      <c r="CR368" s="39"/>
      <c r="CS368" s="39"/>
      <c r="CT368" s="39"/>
      <c r="CU368" s="39"/>
      <c r="CV368" s="39"/>
      <c r="CW368" s="39"/>
      <c r="CX368" s="39"/>
      <c r="CY368" s="39"/>
      <c r="CZ368" s="39"/>
      <c r="DA368" s="39"/>
      <c r="DB368" s="39"/>
      <c r="DC368" s="39"/>
    </row>
    <row r="369" spans="1:107" s="92" customFormat="1" ht="39.950000000000003" customHeight="1" x14ac:dyDescent="0.25">
      <c r="A369"/>
      <c r="B369"/>
      <c r="C369"/>
      <c r="D369"/>
      <c r="E369"/>
      <c r="F369"/>
      <c r="G369"/>
      <c r="H369"/>
      <c r="I369" s="68"/>
      <c r="J369" s="71"/>
      <c r="K369"/>
      <c r="L369"/>
      <c r="M369"/>
      <c r="N369"/>
      <c r="O369"/>
      <c r="P369"/>
      <c r="Q369" s="121"/>
      <c r="R369"/>
      <c r="S369"/>
      <c r="T369" s="229"/>
      <c r="U369" s="229"/>
      <c r="V369" s="229"/>
      <c r="W369" s="229"/>
      <c r="X369" s="229"/>
      <c r="Y369" s="136"/>
      <c r="Z369" s="166"/>
      <c r="AA369" s="166"/>
      <c r="AB369" s="71"/>
      <c r="AC36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  <c r="BA369" s="39"/>
      <c r="BB369" s="39"/>
      <c r="BC369" s="39"/>
      <c r="BD369" s="39"/>
      <c r="BE369" s="39"/>
      <c r="BF369" s="39"/>
      <c r="BG369" s="39"/>
      <c r="BH369" s="39"/>
      <c r="BI369" s="39"/>
      <c r="BJ369" s="39"/>
      <c r="BK369" s="39"/>
      <c r="BL369" s="39"/>
      <c r="BM369" s="39"/>
      <c r="BN369" s="39"/>
      <c r="BO369" s="39"/>
      <c r="BP369" s="39"/>
      <c r="BQ369" s="39"/>
      <c r="BR369" s="39"/>
      <c r="BS369" s="39"/>
      <c r="BT369" s="39"/>
      <c r="BU369" s="39"/>
      <c r="BV369" s="39"/>
      <c r="BW369" s="39"/>
      <c r="BX369" s="39"/>
      <c r="BY369" s="39"/>
      <c r="BZ369" s="39"/>
      <c r="CA369" s="39"/>
      <c r="CB369" s="39"/>
      <c r="CC369" s="39"/>
      <c r="CD369" s="39"/>
      <c r="CE369" s="39"/>
      <c r="CF369" s="39"/>
      <c r="CG369" s="39"/>
      <c r="CH369" s="39"/>
      <c r="CI369" s="39"/>
      <c r="CJ369" s="39"/>
      <c r="CK369" s="39"/>
      <c r="CL369" s="39"/>
      <c r="CM369" s="39"/>
      <c r="CN369" s="39"/>
      <c r="CO369" s="39"/>
      <c r="CP369" s="39"/>
      <c r="CQ369" s="39"/>
      <c r="CR369" s="39"/>
      <c r="CS369" s="39"/>
      <c r="CT369" s="39"/>
      <c r="CU369" s="39"/>
      <c r="CV369" s="39"/>
      <c r="CW369" s="39"/>
      <c r="CX369" s="39"/>
      <c r="CY369" s="39"/>
      <c r="CZ369" s="39"/>
      <c r="DA369" s="39"/>
      <c r="DB369" s="39"/>
      <c r="DC369" s="39"/>
    </row>
    <row r="370" spans="1:107" s="92" customFormat="1" ht="39.950000000000003" customHeight="1" x14ac:dyDescent="0.25">
      <c r="A370"/>
      <c r="B370"/>
      <c r="C370"/>
      <c r="D370"/>
      <c r="E370"/>
      <c r="F370"/>
      <c r="G370"/>
      <c r="H370"/>
      <c r="I370" s="68"/>
      <c r="J370" s="71"/>
      <c r="K370"/>
      <c r="L370"/>
      <c r="M370"/>
      <c r="N370"/>
      <c r="O370"/>
      <c r="P370"/>
      <c r="Q370" s="121"/>
      <c r="R370"/>
      <c r="S370"/>
      <c r="T370" s="229"/>
      <c r="U370" s="229"/>
      <c r="V370" s="229"/>
      <c r="W370" s="229"/>
      <c r="X370" s="229"/>
      <c r="Y370" s="136"/>
      <c r="Z370" s="166"/>
      <c r="AA370" s="166"/>
      <c r="AB370" s="71"/>
      <c r="AC370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  <c r="BA370" s="39"/>
      <c r="BB370" s="39"/>
      <c r="BC370" s="39"/>
      <c r="BD370" s="39"/>
      <c r="BE370" s="39"/>
      <c r="BF370" s="39"/>
      <c r="BG370" s="39"/>
      <c r="BH370" s="39"/>
      <c r="BI370" s="39"/>
      <c r="BJ370" s="39"/>
      <c r="BK370" s="39"/>
      <c r="BL370" s="39"/>
      <c r="BM370" s="39"/>
      <c r="BN370" s="39"/>
      <c r="BO370" s="39"/>
      <c r="BP370" s="39"/>
      <c r="BQ370" s="39"/>
      <c r="BR370" s="39"/>
      <c r="BS370" s="39"/>
      <c r="BT370" s="39"/>
      <c r="BU370" s="39"/>
      <c r="BV370" s="39"/>
      <c r="BW370" s="39"/>
      <c r="BX370" s="39"/>
      <c r="BY370" s="39"/>
      <c r="BZ370" s="39"/>
      <c r="CA370" s="39"/>
      <c r="CB370" s="39"/>
      <c r="CC370" s="39"/>
      <c r="CD370" s="39"/>
      <c r="CE370" s="39"/>
      <c r="CF370" s="39"/>
      <c r="CG370" s="39"/>
      <c r="CH370" s="39"/>
      <c r="CI370" s="39"/>
      <c r="CJ370" s="39"/>
      <c r="CK370" s="39"/>
      <c r="CL370" s="39"/>
      <c r="CM370" s="39"/>
      <c r="CN370" s="39"/>
      <c r="CO370" s="39"/>
      <c r="CP370" s="39"/>
      <c r="CQ370" s="39"/>
      <c r="CR370" s="39"/>
      <c r="CS370" s="39"/>
      <c r="CT370" s="39"/>
      <c r="CU370" s="39"/>
      <c r="CV370" s="39"/>
      <c r="CW370" s="39"/>
      <c r="CX370" s="39"/>
      <c r="CY370" s="39"/>
      <c r="CZ370" s="39"/>
      <c r="DA370" s="39"/>
      <c r="DB370" s="39"/>
      <c r="DC370" s="39"/>
    </row>
    <row r="371" spans="1:107" s="92" customFormat="1" ht="39.950000000000003" customHeight="1" x14ac:dyDescent="0.25">
      <c r="A371"/>
      <c r="B371"/>
      <c r="C371"/>
      <c r="D371"/>
      <c r="E371"/>
      <c r="F371"/>
      <c r="G371"/>
      <c r="H371"/>
      <c r="I371" s="68"/>
      <c r="J371" s="71"/>
      <c r="K371"/>
      <c r="L371"/>
      <c r="M371"/>
      <c r="N371"/>
      <c r="O371"/>
      <c r="P371"/>
      <c r="Q371" s="121"/>
      <c r="R371"/>
      <c r="S371"/>
      <c r="T371" s="229"/>
      <c r="U371" s="229"/>
      <c r="V371" s="229"/>
      <c r="W371" s="229"/>
      <c r="X371" s="229"/>
      <c r="Y371" s="136"/>
      <c r="Z371" s="166"/>
      <c r="AA371" s="166"/>
      <c r="AB371" s="71"/>
      <c r="AC371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  <c r="BA371" s="39"/>
      <c r="BB371" s="39"/>
      <c r="BC371" s="39"/>
      <c r="BD371" s="39"/>
      <c r="BE371" s="39"/>
      <c r="BF371" s="39"/>
      <c r="BG371" s="39"/>
      <c r="BH371" s="39"/>
      <c r="BI371" s="39"/>
      <c r="BJ371" s="39"/>
      <c r="BK371" s="39"/>
      <c r="BL371" s="39"/>
      <c r="BM371" s="39"/>
      <c r="BN371" s="39"/>
      <c r="BO371" s="39"/>
      <c r="BP371" s="39"/>
      <c r="BQ371" s="39"/>
      <c r="BR371" s="39"/>
      <c r="BS371" s="39"/>
      <c r="BT371" s="39"/>
      <c r="BU371" s="39"/>
      <c r="BV371" s="39"/>
      <c r="BW371" s="39"/>
      <c r="BX371" s="39"/>
      <c r="BY371" s="39"/>
      <c r="BZ371" s="39"/>
      <c r="CA371" s="39"/>
      <c r="CB371" s="39"/>
      <c r="CC371" s="39"/>
      <c r="CD371" s="39"/>
      <c r="CE371" s="39"/>
      <c r="CF371" s="39"/>
      <c r="CG371" s="39"/>
      <c r="CH371" s="39"/>
      <c r="CI371" s="39"/>
      <c r="CJ371" s="39"/>
      <c r="CK371" s="39"/>
      <c r="CL371" s="39"/>
      <c r="CM371" s="39"/>
      <c r="CN371" s="39"/>
      <c r="CO371" s="39"/>
      <c r="CP371" s="39"/>
      <c r="CQ371" s="39"/>
      <c r="CR371" s="39"/>
      <c r="CS371" s="39"/>
      <c r="CT371" s="39"/>
      <c r="CU371" s="39"/>
      <c r="CV371" s="39"/>
      <c r="CW371" s="39"/>
      <c r="CX371" s="39"/>
      <c r="CY371" s="39"/>
      <c r="CZ371" s="39"/>
      <c r="DA371" s="39"/>
      <c r="DB371" s="39"/>
      <c r="DC371" s="39"/>
    </row>
    <row r="372" spans="1:107" s="92" customFormat="1" ht="39.950000000000003" customHeight="1" x14ac:dyDescent="0.25">
      <c r="A372"/>
      <c r="B372"/>
      <c r="C372"/>
      <c r="D372"/>
      <c r="E372"/>
      <c r="F372"/>
      <c r="G372"/>
      <c r="H372"/>
      <c r="I372" s="68"/>
      <c r="J372" s="71"/>
      <c r="K372"/>
      <c r="L372"/>
      <c r="M372"/>
      <c r="N372"/>
      <c r="O372"/>
      <c r="P372"/>
      <c r="Q372" s="121"/>
      <c r="R372"/>
      <c r="S372"/>
      <c r="T372" s="229"/>
      <c r="U372" s="229"/>
      <c r="V372" s="229"/>
      <c r="W372" s="229"/>
      <c r="X372" s="229"/>
      <c r="Y372" s="136"/>
      <c r="Z372" s="166"/>
      <c r="AA372" s="166"/>
      <c r="AB372" s="71"/>
      <c r="AC372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  <c r="BA372" s="39"/>
      <c r="BB372" s="39"/>
      <c r="BC372" s="39"/>
      <c r="BD372" s="39"/>
      <c r="BE372" s="39"/>
      <c r="BF372" s="39"/>
      <c r="BG372" s="39"/>
      <c r="BH372" s="39"/>
      <c r="BI372" s="39"/>
      <c r="BJ372" s="39"/>
      <c r="BK372" s="39"/>
      <c r="BL372" s="39"/>
      <c r="BM372" s="39"/>
      <c r="BN372" s="39"/>
      <c r="BO372" s="39"/>
      <c r="BP372" s="39"/>
      <c r="BQ372" s="39"/>
      <c r="BR372" s="39"/>
      <c r="BS372" s="39"/>
      <c r="BT372" s="39"/>
      <c r="BU372" s="39"/>
      <c r="BV372" s="39"/>
      <c r="BW372" s="39"/>
      <c r="BX372" s="39"/>
      <c r="BY372" s="39"/>
      <c r="BZ372" s="39"/>
      <c r="CA372" s="39"/>
      <c r="CB372" s="39"/>
      <c r="CC372" s="39"/>
      <c r="CD372" s="39"/>
      <c r="CE372" s="39"/>
      <c r="CF372" s="39"/>
      <c r="CG372" s="39"/>
      <c r="CH372" s="39"/>
      <c r="CI372" s="39"/>
      <c r="CJ372" s="39"/>
      <c r="CK372" s="39"/>
      <c r="CL372" s="39"/>
      <c r="CM372" s="39"/>
      <c r="CN372" s="39"/>
      <c r="CO372" s="39"/>
      <c r="CP372" s="39"/>
      <c r="CQ372" s="39"/>
      <c r="CR372" s="39"/>
      <c r="CS372" s="39"/>
      <c r="CT372" s="39"/>
      <c r="CU372" s="39"/>
      <c r="CV372" s="39"/>
      <c r="CW372" s="39"/>
      <c r="CX372" s="39"/>
      <c r="CY372" s="39"/>
      <c r="CZ372" s="39"/>
      <c r="DA372" s="39"/>
      <c r="DB372" s="39"/>
      <c r="DC372" s="39"/>
    </row>
    <row r="373" spans="1:107" s="92" customFormat="1" ht="39.950000000000003" customHeight="1" x14ac:dyDescent="0.25">
      <c r="A373"/>
      <c r="B373"/>
      <c r="C373"/>
      <c r="D373"/>
      <c r="E373"/>
      <c r="F373"/>
      <c r="G373"/>
      <c r="H373"/>
      <c r="I373" s="68"/>
      <c r="J373" s="71"/>
      <c r="K373"/>
      <c r="L373"/>
      <c r="M373"/>
      <c r="N373"/>
      <c r="O373"/>
      <c r="P373"/>
      <c r="Q373" s="121"/>
      <c r="R373"/>
      <c r="S373"/>
      <c r="T373" s="229"/>
      <c r="U373" s="229"/>
      <c r="V373" s="229"/>
      <c r="W373" s="229"/>
      <c r="X373" s="229"/>
      <c r="Y373" s="136"/>
      <c r="Z373" s="166"/>
      <c r="AA373" s="166"/>
      <c r="AB373" s="71"/>
      <c r="AC373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  <c r="BA373" s="39"/>
      <c r="BB373" s="39"/>
      <c r="BC373" s="39"/>
      <c r="BD373" s="39"/>
      <c r="BE373" s="39"/>
      <c r="BF373" s="39"/>
      <c r="BG373" s="39"/>
      <c r="BH373" s="39"/>
      <c r="BI373" s="39"/>
      <c r="BJ373" s="39"/>
      <c r="BK373" s="39"/>
      <c r="BL373" s="39"/>
      <c r="BM373" s="39"/>
      <c r="BN373" s="39"/>
      <c r="BO373" s="39"/>
      <c r="BP373" s="39"/>
      <c r="BQ373" s="39"/>
      <c r="BR373" s="39"/>
      <c r="BS373" s="39"/>
      <c r="BT373" s="39"/>
      <c r="BU373" s="39"/>
      <c r="BV373" s="39"/>
      <c r="BW373" s="39"/>
      <c r="BX373" s="39"/>
      <c r="BY373" s="39"/>
      <c r="BZ373" s="39"/>
      <c r="CA373" s="39"/>
      <c r="CB373" s="39"/>
      <c r="CC373" s="39"/>
      <c r="CD373" s="39"/>
      <c r="CE373" s="39"/>
      <c r="CF373" s="39"/>
      <c r="CG373" s="39"/>
      <c r="CH373" s="39"/>
      <c r="CI373" s="39"/>
      <c r="CJ373" s="39"/>
      <c r="CK373" s="39"/>
      <c r="CL373" s="39"/>
      <c r="CM373" s="39"/>
      <c r="CN373" s="39"/>
      <c r="CO373" s="39"/>
      <c r="CP373" s="39"/>
      <c r="CQ373" s="39"/>
      <c r="CR373" s="39"/>
      <c r="CS373" s="39"/>
      <c r="CT373" s="39"/>
      <c r="CU373" s="39"/>
      <c r="CV373" s="39"/>
      <c r="CW373" s="39"/>
      <c r="CX373" s="39"/>
      <c r="CY373" s="39"/>
      <c r="CZ373" s="39"/>
      <c r="DA373" s="39"/>
      <c r="DB373" s="39"/>
      <c r="DC373" s="39"/>
    </row>
    <row r="374" spans="1:107" s="92" customFormat="1" ht="39.950000000000003" customHeight="1" x14ac:dyDescent="0.25">
      <c r="A374"/>
      <c r="B374"/>
      <c r="C374"/>
      <c r="D374"/>
      <c r="E374"/>
      <c r="F374"/>
      <c r="G374"/>
      <c r="H374"/>
      <c r="I374" s="68"/>
      <c r="J374" s="71"/>
      <c r="K374"/>
      <c r="L374"/>
      <c r="M374"/>
      <c r="N374"/>
      <c r="O374"/>
      <c r="P374"/>
      <c r="Q374" s="121"/>
      <c r="R374"/>
      <c r="S374"/>
      <c r="T374" s="229"/>
      <c r="U374" s="229"/>
      <c r="V374" s="229"/>
      <c r="W374" s="229"/>
      <c r="X374" s="229"/>
      <c r="Y374" s="136"/>
      <c r="Z374" s="166"/>
      <c r="AA374" s="166"/>
      <c r="AB374" s="71"/>
      <c r="AC374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  <c r="BA374" s="39"/>
      <c r="BB374" s="39"/>
      <c r="BC374" s="39"/>
      <c r="BD374" s="39"/>
      <c r="BE374" s="39"/>
      <c r="BF374" s="39"/>
      <c r="BG374" s="39"/>
      <c r="BH374" s="39"/>
      <c r="BI374" s="39"/>
      <c r="BJ374" s="39"/>
      <c r="BK374" s="39"/>
      <c r="BL374" s="39"/>
      <c r="BM374" s="39"/>
      <c r="BN374" s="39"/>
      <c r="BO374" s="39"/>
      <c r="BP374" s="39"/>
      <c r="BQ374" s="39"/>
      <c r="BR374" s="39"/>
      <c r="BS374" s="39"/>
      <c r="BT374" s="39"/>
      <c r="BU374" s="39"/>
      <c r="BV374" s="39"/>
      <c r="BW374" s="39"/>
      <c r="BX374" s="39"/>
      <c r="BY374" s="39"/>
      <c r="BZ374" s="39"/>
      <c r="CA374" s="39"/>
      <c r="CB374" s="39"/>
      <c r="CC374" s="39"/>
      <c r="CD374" s="39"/>
      <c r="CE374" s="39"/>
      <c r="CF374" s="39"/>
      <c r="CG374" s="39"/>
      <c r="CH374" s="39"/>
      <c r="CI374" s="39"/>
      <c r="CJ374" s="39"/>
      <c r="CK374" s="39"/>
      <c r="CL374" s="39"/>
      <c r="CM374" s="39"/>
      <c r="CN374" s="39"/>
      <c r="CO374" s="39"/>
      <c r="CP374" s="39"/>
      <c r="CQ374" s="39"/>
      <c r="CR374" s="39"/>
      <c r="CS374" s="39"/>
      <c r="CT374" s="39"/>
      <c r="CU374" s="39"/>
      <c r="CV374" s="39"/>
      <c r="CW374" s="39"/>
      <c r="CX374" s="39"/>
      <c r="CY374" s="39"/>
      <c r="CZ374" s="39"/>
      <c r="DA374" s="39"/>
      <c r="DB374" s="39"/>
      <c r="DC374" s="39"/>
    </row>
    <row r="375" spans="1:107" s="92" customFormat="1" ht="39.950000000000003" customHeight="1" x14ac:dyDescent="0.25">
      <c r="A375"/>
      <c r="B375"/>
      <c r="C375"/>
      <c r="D375"/>
      <c r="E375"/>
      <c r="F375"/>
      <c r="G375"/>
      <c r="H375"/>
      <c r="I375" s="68"/>
      <c r="J375" s="71"/>
      <c r="K375"/>
      <c r="L375"/>
      <c r="M375"/>
      <c r="N375"/>
      <c r="O375"/>
      <c r="P375"/>
      <c r="Q375" s="121"/>
      <c r="R375"/>
      <c r="S375"/>
      <c r="T375" s="229"/>
      <c r="U375" s="229"/>
      <c r="V375" s="229"/>
      <c r="W375" s="229"/>
      <c r="X375" s="229"/>
      <c r="Y375" s="136"/>
      <c r="Z375" s="166"/>
      <c r="AA375" s="166"/>
      <c r="AB375" s="71"/>
      <c r="AC375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  <c r="BA375" s="39"/>
      <c r="BB375" s="39"/>
      <c r="BC375" s="39"/>
      <c r="BD375" s="39"/>
      <c r="BE375" s="39"/>
      <c r="BF375" s="39"/>
      <c r="BG375" s="39"/>
      <c r="BH375" s="39"/>
      <c r="BI375" s="39"/>
      <c r="BJ375" s="39"/>
      <c r="BK375" s="39"/>
      <c r="BL375" s="39"/>
      <c r="BM375" s="39"/>
      <c r="BN375" s="39"/>
      <c r="BO375" s="39"/>
      <c r="BP375" s="39"/>
      <c r="BQ375" s="39"/>
      <c r="BR375" s="39"/>
      <c r="BS375" s="39"/>
      <c r="BT375" s="39"/>
      <c r="BU375" s="39"/>
      <c r="BV375" s="39"/>
      <c r="BW375" s="39"/>
      <c r="BX375" s="39"/>
      <c r="BY375" s="39"/>
      <c r="BZ375" s="39"/>
      <c r="CA375" s="39"/>
      <c r="CB375" s="39"/>
      <c r="CC375" s="39"/>
      <c r="CD375" s="39"/>
      <c r="CE375" s="39"/>
      <c r="CF375" s="39"/>
      <c r="CG375" s="39"/>
      <c r="CH375" s="39"/>
      <c r="CI375" s="39"/>
      <c r="CJ375" s="39"/>
      <c r="CK375" s="39"/>
      <c r="CL375" s="39"/>
      <c r="CM375" s="39"/>
      <c r="CN375" s="39"/>
      <c r="CO375" s="39"/>
      <c r="CP375" s="39"/>
      <c r="CQ375" s="39"/>
      <c r="CR375" s="39"/>
      <c r="CS375" s="39"/>
      <c r="CT375" s="39"/>
      <c r="CU375" s="39"/>
      <c r="CV375" s="39"/>
      <c r="CW375" s="39"/>
      <c r="CX375" s="39"/>
      <c r="CY375" s="39"/>
      <c r="CZ375" s="39"/>
      <c r="DA375" s="39"/>
      <c r="DB375" s="39"/>
      <c r="DC375" s="39"/>
    </row>
    <row r="376" spans="1:107" s="92" customFormat="1" ht="39.950000000000003" customHeight="1" x14ac:dyDescent="0.25">
      <c r="A376"/>
      <c r="B376"/>
      <c r="C376"/>
      <c r="D376"/>
      <c r="E376"/>
      <c r="F376"/>
      <c r="G376"/>
      <c r="H376"/>
      <c r="I376" s="68"/>
      <c r="J376" s="71"/>
      <c r="K376"/>
      <c r="L376"/>
      <c r="M376"/>
      <c r="N376"/>
      <c r="O376"/>
      <c r="P376"/>
      <c r="Q376" s="121"/>
      <c r="R376"/>
      <c r="S376"/>
      <c r="T376" s="229"/>
      <c r="U376" s="229"/>
      <c r="V376" s="229"/>
      <c r="W376" s="229"/>
      <c r="X376" s="229"/>
      <c r="Y376" s="136"/>
      <c r="Z376" s="166"/>
      <c r="AA376" s="166"/>
      <c r="AB376" s="71"/>
      <c r="AC376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  <c r="BA376" s="39"/>
      <c r="BB376" s="39"/>
      <c r="BC376" s="39"/>
      <c r="BD376" s="39"/>
      <c r="BE376" s="39"/>
      <c r="BF376" s="39"/>
      <c r="BG376" s="39"/>
      <c r="BH376" s="39"/>
      <c r="BI376" s="39"/>
      <c r="BJ376" s="39"/>
      <c r="BK376" s="39"/>
      <c r="BL376" s="39"/>
      <c r="BM376" s="39"/>
      <c r="BN376" s="39"/>
      <c r="BO376" s="39"/>
      <c r="BP376" s="39"/>
      <c r="BQ376" s="39"/>
      <c r="BR376" s="39"/>
      <c r="BS376" s="39"/>
      <c r="BT376" s="39"/>
      <c r="BU376" s="39"/>
      <c r="BV376" s="39"/>
      <c r="BW376" s="39"/>
      <c r="BX376" s="39"/>
      <c r="BY376" s="39"/>
      <c r="BZ376" s="39"/>
      <c r="CA376" s="39"/>
      <c r="CB376" s="39"/>
      <c r="CC376" s="39"/>
      <c r="CD376" s="39"/>
      <c r="CE376" s="39"/>
      <c r="CF376" s="39"/>
      <c r="CG376" s="39"/>
      <c r="CH376" s="39"/>
      <c r="CI376" s="39"/>
      <c r="CJ376" s="39"/>
      <c r="CK376" s="39"/>
      <c r="CL376" s="39"/>
      <c r="CM376" s="39"/>
      <c r="CN376" s="39"/>
      <c r="CO376" s="39"/>
      <c r="CP376" s="39"/>
      <c r="CQ376" s="39"/>
      <c r="CR376" s="39"/>
      <c r="CS376" s="39"/>
      <c r="CT376" s="39"/>
      <c r="CU376" s="39"/>
      <c r="CV376" s="39"/>
      <c r="CW376" s="39"/>
      <c r="CX376" s="39"/>
      <c r="CY376" s="39"/>
      <c r="CZ376" s="39"/>
      <c r="DA376" s="39"/>
      <c r="DB376" s="39"/>
      <c r="DC376" s="39"/>
    </row>
    <row r="377" spans="1:107" s="92" customFormat="1" ht="39.950000000000003" customHeight="1" x14ac:dyDescent="0.25">
      <c r="A377"/>
      <c r="B377"/>
      <c r="C377"/>
      <c r="D377"/>
      <c r="E377"/>
      <c r="F377"/>
      <c r="G377"/>
      <c r="H377"/>
      <c r="I377" s="68"/>
      <c r="J377" s="71"/>
      <c r="K377"/>
      <c r="L377"/>
      <c r="M377"/>
      <c r="N377"/>
      <c r="O377"/>
      <c r="P377"/>
      <c r="Q377" s="121"/>
      <c r="R377"/>
      <c r="S377"/>
      <c r="T377" s="229"/>
      <c r="U377" s="229"/>
      <c r="V377" s="229"/>
      <c r="W377" s="229"/>
      <c r="X377" s="229"/>
      <c r="Y377" s="136"/>
      <c r="Z377" s="166"/>
      <c r="AA377" s="166"/>
      <c r="AB377" s="71"/>
      <c r="AC377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  <c r="BA377" s="39"/>
      <c r="BB377" s="39"/>
      <c r="BC377" s="39"/>
      <c r="BD377" s="39"/>
      <c r="BE377" s="39"/>
      <c r="BF377" s="39"/>
      <c r="BG377" s="39"/>
      <c r="BH377" s="39"/>
      <c r="BI377" s="39"/>
      <c r="BJ377" s="39"/>
      <c r="BK377" s="39"/>
      <c r="BL377" s="39"/>
      <c r="BM377" s="39"/>
      <c r="BN377" s="39"/>
      <c r="BO377" s="39"/>
      <c r="BP377" s="39"/>
      <c r="BQ377" s="39"/>
      <c r="BR377" s="39"/>
      <c r="BS377" s="39"/>
      <c r="BT377" s="39"/>
      <c r="BU377" s="39"/>
      <c r="BV377" s="39"/>
      <c r="BW377" s="39"/>
      <c r="BX377" s="39"/>
      <c r="BY377" s="39"/>
      <c r="BZ377" s="39"/>
      <c r="CA377" s="39"/>
      <c r="CB377" s="39"/>
      <c r="CC377" s="39"/>
      <c r="CD377" s="39"/>
      <c r="CE377" s="39"/>
      <c r="CF377" s="39"/>
      <c r="CG377" s="39"/>
      <c r="CH377" s="39"/>
      <c r="CI377" s="39"/>
      <c r="CJ377" s="39"/>
      <c r="CK377" s="39"/>
      <c r="CL377" s="39"/>
      <c r="CM377" s="39"/>
      <c r="CN377" s="39"/>
      <c r="CO377" s="39"/>
      <c r="CP377" s="39"/>
      <c r="CQ377" s="39"/>
      <c r="CR377" s="39"/>
      <c r="CS377" s="39"/>
      <c r="CT377" s="39"/>
      <c r="CU377" s="39"/>
      <c r="CV377" s="39"/>
      <c r="CW377" s="39"/>
      <c r="CX377" s="39"/>
      <c r="CY377" s="39"/>
      <c r="CZ377" s="39"/>
      <c r="DA377" s="39"/>
      <c r="DB377" s="39"/>
      <c r="DC377" s="39"/>
    </row>
    <row r="378" spans="1:107" s="92" customFormat="1" ht="39.950000000000003" customHeight="1" x14ac:dyDescent="0.25">
      <c r="A378"/>
      <c r="B378"/>
      <c r="C378"/>
      <c r="D378"/>
      <c r="E378"/>
      <c r="F378"/>
      <c r="G378"/>
      <c r="H378"/>
      <c r="I378" s="68"/>
      <c r="J378" s="71"/>
      <c r="K378"/>
      <c r="L378"/>
      <c r="M378"/>
      <c r="N378"/>
      <c r="O378"/>
      <c r="P378"/>
      <c r="Q378" s="121"/>
      <c r="R378"/>
      <c r="S378"/>
      <c r="T378" s="229"/>
      <c r="U378" s="229"/>
      <c r="V378" s="229"/>
      <c r="W378" s="229"/>
      <c r="X378" s="229"/>
      <c r="Y378" s="136"/>
      <c r="Z378" s="166"/>
      <c r="AA378" s="166"/>
      <c r="AB378" s="71"/>
      <c r="AC378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  <c r="BA378" s="39"/>
      <c r="BB378" s="39"/>
      <c r="BC378" s="39"/>
      <c r="BD378" s="39"/>
      <c r="BE378" s="39"/>
      <c r="BF378" s="39"/>
      <c r="BG378" s="39"/>
      <c r="BH378" s="39"/>
      <c r="BI378" s="39"/>
      <c r="BJ378" s="39"/>
      <c r="BK378" s="39"/>
      <c r="BL378" s="39"/>
      <c r="BM378" s="39"/>
      <c r="BN378" s="39"/>
      <c r="BO378" s="39"/>
      <c r="BP378" s="39"/>
      <c r="BQ378" s="39"/>
      <c r="BR378" s="39"/>
      <c r="BS378" s="39"/>
      <c r="BT378" s="39"/>
      <c r="BU378" s="39"/>
      <c r="BV378" s="39"/>
      <c r="BW378" s="39"/>
      <c r="BX378" s="39"/>
      <c r="BY378" s="39"/>
      <c r="BZ378" s="39"/>
      <c r="CA378" s="39"/>
      <c r="CB378" s="39"/>
      <c r="CC378" s="39"/>
      <c r="CD378" s="39"/>
      <c r="CE378" s="39"/>
      <c r="CF378" s="39"/>
      <c r="CG378" s="39"/>
      <c r="CH378" s="39"/>
      <c r="CI378" s="39"/>
      <c r="CJ378" s="39"/>
      <c r="CK378" s="39"/>
      <c r="CL378" s="39"/>
      <c r="CM378" s="39"/>
      <c r="CN378" s="39"/>
      <c r="CO378" s="39"/>
      <c r="CP378" s="39"/>
      <c r="CQ378" s="39"/>
      <c r="CR378" s="39"/>
      <c r="CS378" s="39"/>
      <c r="CT378" s="39"/>
      <c r="CU378" s="39"/>
      <c r="CV378" s="39"/>
      <c r="CW378" s="39"/>
      <c r="CX378" s="39"/>
      <c r="CY378" s="39"/>
      <c r="CZ378" s="39"/>
      <c r="DA378" s="39"/>
      <c r="DB378" s="39"/>
      <c r="DC378" s="39"/>
    </row>
    <row r="379" spans="1:107" s="92" customFormat="1" ht="39.950000000000003" customHeight="1" x14ac:dyDescent="0.25">
      <c r="A379"/>
      <c r="B379"/>
      <c r="C379"/>
      <c r="D379"/>
      <c r="E379"/>
      <c r="F379"/>
      <c r="G379"/>
      <c r="H379"/>
      <c r="I379" s="68"/>
      <c r="J379" s="71"/>
      <c r="K379"/>
      <c r="L379"/>
      <c r="M379"/>
      <c r="N379"/>
      <c r="O379"/>
      <c r="P379"/>
      <c r="Q379" s="121"/>
      <c r="R379"/>
      <c r="S379"/>
      <c r="T379" s="229"/>
      <c r="U379" s="229"/>
      <c r="V379" s="229"/>
      <c r="W379" s="229"/>
      <c r="X379" s="229"/>
      <c r="Y379" s="136"/>
      <c r="Z379" s="166"/>
      <c r="AA379" s="166"/>
      <c r="AB379" s="71"/>
      <c r="AC37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  <c r="BA379" s="39"/>
      <c r="BB379" s="39"/>
      <c r="BC379" s="39"/>
      <c r="BD379" s="39"/>
      <c r="BE379" s="39"/>
      <c r="BF379" s="39"/>
      <c r="BG379" s="39"/>
      <c r="BH379" s="39"/>
      <c r="BI379" s="39"/>
      <c r="BJ379" s="39"/>
      <c r="BK379" s="39"/>
      <c r="BL379" s="39"/>
      <c r="BM379" s="39"/>
      <c r="BN379" s="39"/>
      <c r="BO379" s="39"/>
      <c r="BP379" s="39"/>
      <c r="BQ379" s="39"/>
      <c r="BR379" s="39"/>
      <c r="BS379" s="39"/>
      <c r="BT379" s="39"/>
      <c r="BU379" s="39"/>
      <c r="BV379" s="39"/>
      <c r="BW379" s="39"/>
      <c r="BX379" s="39"/>
      <c r="BY379" s="39"/>
      <c r="BZ379" s="39"/>
      <c r="CA379" s="39"/>
      <c r="CB379" s="39"/>
      <c r="CC379" s="39"/>
      <c r="CD379" s="39"/>
      <c r="CE379" s="39"/>
      <c r="CF379" s="39"/>
      <c r="CG379" s="39"/>
      <c r="CH379" s="39"/>
      <c r="CI379" s="39"/>
      <c r="CJ379" s="39"/>
      <c r="CK379" s="39"/>
      <c r="CL379" s="39"/>
      <c r="CM379" s="39"/>
      <c r="CN379" s="39"/>
      <c r="CO379" s="39"/>
      <c r="CP379" s="39"/>
      <c r="CQ379" s="39"/>
      <c r="CR379" s="39"/>
      <c r="CS379" s="39"/>
      <c r="CT379" s="39"/>
      <c r="CU379" s="39"/>
      <c r="CV379" s="39"/>
      <c r="CW379" s="39"/>
      <c r="CX379" s="39"/>
      <c r="CY379" s="39"/>
      <c r="CZ379" s="39"/>
      <c r="DA379" s="39"/>
      <c r="DB379" s="39"/>
      <c r="DC379" s="39"/>
    </row>
    <row r="380" spans="1:107" s="92" customFormat="1" ht="39.950000000000003" customHeight="1" x14ac:dyDescent="0.25">
      <c r="A380"/>
      <c r="B380"/>
      <c r="C380"/>
      <c r="D380"/>
      <c r="E380"/>
      <c r="F380"/>
      <c r="G380"/>
      <c r="H380"/>
      <c r="I380" s="68"/>
      <c r="J380" s="71"/>
      <c r="K380"/>
      <c r="L380"/>
      <c r="M380"/>
      <c r="N380"/>
      <c r="O380"/>
      <c r="P380"/>
      <c r="Q380" s="121"/>
      <c r="R380"/>
      <c r="S380"/>
      <c r="T380" s="229"/>
      <c r="U380" s="229"/>
      <c r="V380" s="229"/>
      <c r="W380" s="229"/>
      <c r="X380" s="229"/>
      <c r="Y380" s="136"/>
      <c r="Z380" s="166"/>
      <c r="AA380" s="166"/>
      <c r="AB380" s="71"/>
      <c r="AC380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  <c r="BA380" s="39"/>
      <c r="BB380" s="39"/>
      <c r="BC380" s="39"/>
      <c r="BD380" s="39"/>
      <c r="BE380" s="39"/>
      <c r="BF380" s="39"/>
      <c r="BG380" s="39"/>
      <c r="BH380" s="39"/>
      <c r="BI380" s="39"/>
      <c r="BJ380" s="39"/>
      <c r="BK380" s="39"/>
      <c r="BL380" s="39"/>
      <c r="BM380" s="39"/>
      <c r="BN380" s="39"/>
      <c r="BO380" s="39"/>
      <c r="BP380" s="39"/>
      <c r="BQ380" s="39"/>
      <c r="BR380" s="39"/>
      <c r="BS380" s="39"/>
      <c r="BT380" s="39"/>
      <c r="BU380" s="39"/>
      <c r="BV380" s="39"/>
      <c r="BW380" s="39"/>
      <c r="BX380" s="39"/>
      <c r="BY380" s="39"/>
      <c r="BZ380" s="39"/>
      <c r="CA380" s="39"/>
      <c r="CB380" s="39"/>
      <c r="CC380" s="39"/>
      <c r="CD380" s="39"/>
      <c r="CE380" s="39"/>
      <c r="CF380" s="39"/>
      <c r="CG380" s="39"/>
      <c r="CH380" s="39"/>
      <c r="CI380" s="39"/>
      <c r="CJ380" s="39"/>
      <c r="CK380" s="39"/>
      <c r="CL380" s="39"/>
      <c r="CM380" s="39"/>
      <c r="CN380" s="39"/>
      <c r="CO380" s="39"/>
      <c r="CP380" s="39"/>
      <c r="CQ380" s="39"/>
      <c r="CR380" s="39"/>
      <c r="CS380" s="39"/>
      <c r="CT380" s="39"/>
      <c r="CU380" s="39"/>
      <c r="CV380" s="39"/>
      <c r="CW380" s="39"/>
      <c r="CX380" s="39"/>
      <c r="CY380" s="39"/>
      <c r="CZ380" s="39"/>
      <c r="DA380" s="39"/>
      <c r="DB380" s="39"/>
      <c r="DC380" s="39"/>
    </row>
    <row r="381" spans="1:107" s="92" customFormat="1" ht="39.950000000000003" customHeight="1" x14ac:dyDescent="0.25">
      <c r="A381"/>
      <c r="B381"/>
      <c r="C381"/>
      <c r="D381"/>
      <c r="E381"/>
      <c r="F381"/>
      <c r="G381"/>
      <c r="H381"/>
      <c r="I381" s="68"/>
      <c r="J381" s="71"/>
      <c r="K381"/>
      <c r="L381"/>
      <c r="M381"/>
      <c r="N381"/>
      <c r="O381"/>
      <c r="P381"/>
      <c r="Q381" s="121"/>
      <c r="R381"/>
      <c r="S381"/>
      <c r="T381" s="229"/>
      <c r="U381" s="229"/>
      <c r="V381" s="229"/>
      <c r="W381" s="229"/>
      <c r="X381" s="229"/>
      <c r="Y381" s="136"/>
      <c r="Z381" s="166"/>
      <c r="AA381" s="166"/>
      <c r="AB381" s="71"/>
      <c r="AC381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  <c r="BA381" s="39"/>
      <c r="BB381" s="39"/>
      <c r="BC381" s="39"/>
      <c r="BD381" s="39"/>
      <c r="BE381" s="39"/>
      <c r="BF381" s="39"/>
      <c r="BG381" s="39"/>
      <c r="BH381" s="39"/>
      <c r="BI381" s="39"/>
      <c r="BJ381" s="39"/>
      <c r="BK381" s="39"/>
      <c r="BL381" s="39"/>
      <c r="BM381" s="39"/>
      <c r="BN381" s="39"/>
      <c r="BO381" s="39"/>
      <c r="BP381" s="39"/>
      <c r="BQ381" s="39"/>
      <c r="BR381" s="39"/>
      <c r="BS381" s="39"/>
      <c r="BT381" s="39"/>
      <c r="BU381" s="39"/>
      <c r="BV381" s="39"/>
      <c r="BW381" s="39"/>
      <c r="BX381" s="39"/>
      <c r="BY381" s="39"/>
      <c r="BZ381" s="39"/>
      <c r="CA381" s="39"/>
      <c r="CB381" s="39"/>
      <c r="CC381" s="39"/>
      <c r="CD381" s="39"/>
      <c r="CE381" s="39"/>
      <c r="CF381" s="39"/>
      <c r="CG381" s="39"/>
      <c r="CH381" s="39"/>
      <c r="CI381" s="39"/>
      <c r="CJ381" s="39"/>
      <c r="CK381" s="39"/>
      <c r="CL381" s="39"/>
      <c r="CM381" s="39"/>
      <c r="CN381" s="39"/>
      <c r="CO381" s="39"/>
      <c r="CP381" s="39"/>
      <c r="CQ381" s="39"/>
      <c r="CR381" s="39"/>
      <c r="CS381" s="39"/>
      <c r="CT381" s="39"/>
      <c r="CU381" s="39"/>
      <c r="CV381" s="39"/>
      <c r="CW381" s="39"/>
      <c r="CX381" s="39"/>
      <c r="CY381" s="39"/>
      <c r="CZ381" s="39"/>
      <c r="DA381" s="39"/>
      <c r="DB381" s="39"/>
      <c r="DC381" s="39"/>
    </row>
    <row r="382" spans="1:107" s="92" customFormat="1" ht="39.950000000000003" customHeight="1" x14ac:dyDescent="0.25">
      <c r="A382"/>
      <c r="B382"/>
      <c r="C382"/>
      <c r="D382"/>
      <c r="E382"/>
      <c r="F382"/>
      <c r="G382"/>
      <c r="H382"/>
      <c r="I382" s="68"/>
      <c r="J382" s="71"/>
      <c r="K382"/>
      <c r="L382"/>
      <c r="M382"/>
      <c r="N382"/>
      <c r="O382"/>
      <c r="P382"/>
      <c r="Q382" s="121"/>
      <c r="R382"/>
      <c r="S382"/>
      <c r="T382" s="229"/>
      <c r="U382" s="229"/>
      <c r="V382" s="229"/>
      <c r="W382" s="229"/>
      <c r="X382" s="229"/>
      <c r="Y382" s="136"/>
      <c r="Z382" s="166"/>
      <c r="AA382" s="166"/>
      <c r="AB382" s="71"/>
      <c r="AC382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  <c r="BA382" s="39"/>
      <c r="BB382" s="39"/>
      <c r="BC382" s="39"/>
      <c r="BD382" s="39"/>
      <c r="BE382" s="39"/>
      <c r="BF382" s="39"/>
      <c r="BG382" s="39"/>
      <c r="BH382" s="39"/>
      <c r="BI382" s="39"/>
      <c r="BJ382" s="39"/>
      <c r="BK382" s="39"/>
      <c r="BL382" s="39"/>
      <c r="BM382" s="39"/>
      <c r="BN382" s="39"/>
      <c r="BO382" s="39"/>
      <c r="BP382" s="39"/>
      <c r="BQ382" s="39"/>
      <c r="BR382" s="39"/>
      <c r="BS382" s="39"/>
      <c r="BT382" s="39"/>
      <c r="BU382" s="39"/>
      <c r="BV382" s="39"/>
      <c r="BW382" s="39"/>
      <c r="BX382" s="39"/>
      <c r="BY382" s="39"/>
      <c r="BZ382" s="39"/>
      <c r="CA382" s="39"/>
      <c r="CB382" s="39"/>
      <c r="CC382" s="39"/>
      <c r="CD382" s="39"/>
      <c r="CE382" s="39"/>
      <c r="CF382" s="39"/>
      <c r="CG382" s="39"/>
      <c r="CH382" s="39"/>
      <c r="CI382" s="39"/>
      <c r="CJ382" s="39"/>
      <c r="CK382" s="39"/>
      <c r="CL382" s="39"/>
      <c r="CM382" s="39"/>
      <c r="CN382" s="39"/>
      <c r="CO382" s="39"/>
      <c r="CP382" s="39"/>
      <c r="CQ382" s="39"/>
      <c r="CR382" s="39"/>
      <c r="CS382" s="39"/>
      <c r="CT382" s="39"/>
      <c r="CU382" s="39"/>
      <c r="CV382" s="39"/>
      <c r="CW382" s="39"/>
      <c r="CX382" s="39"/>
      <c r="CY382" s="39"/>
      <c r="CZ382" s="39"/>
      <c r="DA382" s="39"/>
      <c r="DB382" s="39"/>
      <c r="DC382" s="39"/>
    </row>
    <row r="383" spans="1:107" s="92" customFormat="1" ht="39.950000000000003" customHeight="1" x14ac:dyDescent="0.25">
      <c r="A383"/>
      <c r="B383"/>
      <c r="C383"/>
      <c r="D383"/>
      <c r="E383"/>
      <c r="F383"/>
      <c r="G383"/>
      <c r="H383"/>
      <c r="I383" s="68"/>
      <c r="J383" s="71"/>
      <c r="K383"/>
      <c r="L383"/>
      <c r="M383"/>
      <c r="N383"/>
      <c r="O383"/>
      <c r="P383"/>
      <c r="Q383" s="121"/>
      <c r="R383"/>
      <c r="S383"/>
      <c r="T383" s="229"/>
      <c r="U383" s="229"/>
      <c r="V383" s="229"/>
      <c r="W383" s="229"/>
      <c r="X383" s="229"/>
      <c r="Y383" s="136"/>
      <c r="Z383" s="166"/>
      <c r="AA383" s="166"/>
      <c r="AB383" s="71"/>
      <c r="AC383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  <c r="BA383" s="39"/>
      <c r="BB383" s="39"/>
      <c r="BC383" s="39"/>
      <c r="BD383" s="39"/>
      <c r="BE383" s="39"/>
      <c r="BF383" s="39"/>
      <c r="BG383" s="39"/>
      <c r="BH383" s="39"/>
      <c r="BI383" s="39"/>
      <c r="BJ383" s="39"/>
      <c r="BK383" s="39"/>
      <c r="BL383" s="39"/>
      <c r="BM383" s="39"/>
      <c r="BN383" s="39"/>
      <c r="BO383" s="39"/>
      <c r="BP383" s="39"/>
      <c r="BQ383" s="39"/>
      <c r="BR383" s="39"/>
      <c r="BS383" s="39"/>
      <c r="BT383" s="39"/>
      <c r="BU383" s="39"/>
      <c r="BV383" s="39"/>
      <c r="BW383" s="39"/>
      <c r="BX383" s="39"/>
      <c r="BY383" s="39"/>
      <c r="BZ383" s="39"/>
      <c r="CA383" s="39"/>
      <c r="CB383" s="39"/>
      <c r="CC383" s="39"/>
      <c r="CD383" s="39"/>
      <c r="CE383" s="39"/>
      <c r="CF383" s="39"/>
      <c r="CG383" s="39"/>
      <c r="CH383" s="39"/>
      <c r="CI383" s="39"/>
      <c r="CJ383" s="39"/>
      <c r="CK383" s="39"/>
      <c r="CL383" s="39"/>
      <c r="CM383" s="39"/>
      <c r="CN383" s="39"/>
      <c r="CO383" s="39"/>
      <c r="CP383" s="39"/>
      <c r="CQ383" s="39"/>
      <c r="CR383" s="39"/>
      <c r="CS383" s="39"/>
      <c r="CT383" s="39"/>
      <c r="CU383" s="39"/>
      <c r="CV383" s="39"/>
      <c r="CW383" s="39"/>
      <c r="CX383" s="39"/>
      <c r="CY383" s="39"/>
      <c r="CZ383" s="39"/>
      <c r="DA383" s="39"/>
      <c r="DB383" s="39"/>
      <c r="DC383" s="39"/>
    </row>
    <row r="384" spans="1:107" s="92" customFormat="1" ht="39.950000000000003" customHeight="1" x14ac:dyDescent="0.25">
      <c r="A384"/>
      <c r="B384"/>
      <c r="C384"/>
      <c r="D384"/>
      <c r="E384"/>
      <c r="F384"/>
      <c r="G384"/>
      <c r="H384"/>
      <c r="I384" s="68"/>
      <c r="J384" s="71"/>
      <c r="K384"/>
      <c r="L384"/>
      <c r="M384"/>
      <c r="N384"/>
      <c r="O384"/>
      <c r="P384"/>
      <c r="Q384" s="121"/>
      <c r="R384"/>
      <c r="S384"/>
      <c r="T384" s="229"/>
      <c r="U384" s="229"/>
      <c r="V384" s="229"/>
      <c r="W384" s="229"/>
      <c r="X384" s="229"/>
      <c r="Y384" s="136"/>
      <c r="Z384" s="166"/>
      <c r="AA384" s="166"/>
      <c r="AB384" s="71"/>
      <c r="AC384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  <c r="BA384" s="39"/>
      <c r="BB384" s="39"/>
      <c r="BC384" s="39"/>
      <c r="BD384" s="39"/>
      <c r="BE384" s="39"/>
      <c r="BF384" s="39"/>
      <c r="BG384" s="39"/>
      <c r="BH384" s="39"/>
      <c r="BI384" s="39"/>
      <c r="BJ384" s="39"/>
      <c r="BK384" s="39"/>
      <c r="BL384" s="39"/>
      <c r="BM384" s="39"/>
      <c r="BN384" s="39"/>
      <c r="BO384" s="39"/>
      <c r="BP384" s="39"/>
      <c r="BQ384" s="39"/>
      <c r="BR384" s="39"/>
      <c r="BS384" s="39"/>
      <c r="BT384" s="39"/>
      <c r="BU384" s="39"/>
      <c r="BV384" s="39"/>
      <c r="BW384" s="39"/>
      <c r="BX384" s="39"/>
      <c r="BY384" s="39"/>
      <c r="BZ384" s="39"/>
      <c r="CA384" s="39"/>
      <c r="CB384" s="39"/>
      <c r="CC384" s="39"/>
      <c r="CD384" s="39"/>
      <c r="CE384" s="39"/>
      <c r="CF384" s="39"/>
      <c r="CG384" s="39"/>
      <c r="CH384" s="39"/>
      <c r="CI384" s="39"/>
      <c r="CJ384" s="39"/>
      <c r="CK384" s="39"/>
      <c r="CL384" s="39"/>
      <c r="CM384" s="39"/>
      <c r="CN384" s="39"/>
      <c r="CO384" s="39"/>
      <c r="CP384" s="39"/>
      <c r="CQ384" s="39"/>
      <c r="CR384" s="39"/>
      <c r="CS384" s="39"/>
      <c r="CT384" s="39"/>
      <c r="CU384" s="39"/>
      <c r="CV384" s="39"/>
      <c r="CW384" s="39"/>
      <c r="CX384" s="39"/>
      <c r="CY384" s="39"/>
      <c r="CZ384" s="39"/>
      <c r="DA384" s="39"/>
      <c r="DB384" s="39"/>
      <c r="DC384" s="39"/>
    </row>
    <row r="385" spans="1:107" s="92" customFormat="1" ht="39.950000000000003" customHeight="1" x14ac:dyDescent="0.25">
      <c r="A385"/>
      <c r="B385"/>
      <c r="C385"/>
      <c r="D385"/>
      <c r="E385"/>
      <c r="F385"/>
      <c r="G385"/>
      <c r="H385"/>
      <c r="I385" s="68"/>
      <c r="J385" s="71"/>
      <c r="K385"/>
      <c r="L385"/>
      <c r="M385"/>
      <c r="N385"/>
      <c r="O385"/>
      <c r="P385"/>
      <c r="Q385" s="121"/>
      <c r="R385"/>
      <c r="S385"/>
      <c r="T385" s="229"/>
      <c r="U385" s="229"/>
      <c r="V385" s="229"/>
      <c r="W385" s="229"/>
      <c r="X385" s="229"/>
      <c r="Y385" s="136"/>
      <c r="Z385" s="166"/>
      <c r="AA385" s="166"/>
      <c r="AB385" s="71"/>
      <c r="AC385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  <c r="BA385" s="39"/>
      <c r="BB385" s="39"/>
      <c r="BC385" s="39"/>
      <c r="BD385" s="39"/>
      <c r="BE385" s="39"/>
      <c r="BF385" s="39"/>
      <c r="BG385" s="39"/>
      <c r="BH385" s="39"/>
      <c r="BI385" s="39"/>
      <c r="BJ385" s="39"/>
      <c r="BK385" s="39"/>
      <c r="BL385" s="39"/>
      <c r="BM385" s="39"/>
      <c r="BN385" s="39"/>
      <c r="BO385" s="39"/>
      <c r="BP385" s="39"/>
      <c r="BQ385" s="39"/>
      <c r="BR385" s="39"/>
      <c r="BS385" s="39"/>
      <c r="BT385" s="39"/>
      <c r="BU385" s="39"/>
      <c r="BV385" s="39"/>
      <c r="BW385" s="39"/>
      <c r="BX385" s="39"/>
      <c r="BY385" s="39"/>
      <c r="BZ385" s="39"/>
      <c r="CA385" s="39"/>
      <c r="CB385" s="39"/>
      <c r="CC385" s="39"/>
      <c r="CD385" s="39"/>
      <c r="CE385" s="39"/>
      <c r="CF385" s="39"/>
      <c r="CG385" s="39"/>
      <c r="CH385" s="39"/>
      <c r="CI385" s="39"/>
      <c r="CJ385" s="39"/>
      <c r="CK385" s="39"/>
      <c r="CL385" s="39"/>
      <c r="CM385" s="39"/>
      <c r="CN385" s="39"/>
      <c r="CO385" s="39"/>
      <c r="CP385" s="39"/>
      <c r="CQ385" s="39"/>
      <c r="CR385" s="39"/>
      <c r="CS385" s="39"/>
      <c r="CT385" s="39"/>
      <c r="CU385" s="39"/>
      <c r="CV385" s="39"/>
      <c r="CW385" s="39"/>
      <c r="CX385" s="39"/>
      <c r="CY385" s="39"/>
      <c r="CZ385" s="39"/>
      <c r="DA385" s="39"/>
      <c r="DB385" s="39"/>
      <c r="DC385" s="39"/>
    </row>
    <row r="386" spans="1:107" s="92" customFormat="1" ht="39.950000000000003" customHeight="1" x14ac:dyDescent="0.25">
      <c r="A386"/>
      <c r="B386"/>
      <c r="C386"/>
      <c r="D386"/>
      <c r="E386"/>
      <c r="F386"/>
      <c r="G386"/>
      <c r="H386"/>
      <c r="I386" s="68"/>
      <c r="J386" s="71"/>
      <c r="K386"/>
      <c r="L386"/>
      <c r="M386"/>
      <c r="N386"/>
      <c r="O386"/>
      <c r="P386"/>
      <c r="Q386" s="121"/>
      <c r="R386"/>
      <c r="S386"/>
      <c r="T386" s="229"/>
      <c r="U386" s="229"/>
      <c r="V386" s="229"/>
      <c r="W386" s="229"/>
      <c r="X386" s="229"/>
      <c r="Y386" s="136"/>
      <c r="Z386" s="166"/>
      <c r="AA386" s="166"/>
      <c r="AB386" s="71"/>
      <c r="AC386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  <c r="BA386" s="39"/>
      <c r="BB386" s="39"/>
      <c r="BC386" s="39"/>
      <c r="BD386" s="39"/>
      <c r="BE386" s="39"/>
      <c r="BF386" s="39"/>
      <c r="BG386" s="39"/>
      <c r="BH386" s="39"/>
      <c r="BI386" s="39"/>
      <c r="BJ386" s="39"/>
      <c r="BK386" s="39"/>
      <c r="BL386" s="39"/>
      <c r="BM386" s="39"/>
      <c r="BN386" s="39"/>
      <c r="BO386" s="39"/>
      <c r="BP386" s="39"/>
      <c r="BQ386" s="39"/>
      <c r="BR386" s="39"/>
      <c r="BS386" s="39"/>
      <c r="BT386" s="39"/>
      <c r="BU386" s="39"/>
      <c r="BV386" s="39"/>
      <c r="BW386" s="39"/>
      <c r="BX386" s="39"/>
      <c r="BY386" s="39"/>
      <c r="BZ386" s="39"/>
      <c r="CA386" s="39"/>
      <c r="CB386" s="39"/>
      <c r="CC386" s="39"/>
      <c r="CD386" s="39"/>
      <c r="CE386" s="39"/>
      <c r="CF386" s="39"/>
      <c r="CG386" s="39"/>
      <c r="CH386" s="39"/>
      <c r="CI386" s="39"/>
      <c r="CJ386" s="39"/>
      <c r="CK386" s="39"/>
      <c r="CL386" s="39"/>
      <c r="CM386" s="39"/>
      <c r="CN386" s="39"/>
      <c r="CO386" s="39"/>
      <c r="CP386" s="39"/>
      <c r="CQ386" s="39"/>
      <c r="CR386" s="39"/>
      <c r="CS386" s="39"/>
      <c r="CT386" s="39"/>
      <c r="CU386" s="39"/>
      <c r="CV386" s="39"/>
      <c r="CW386" s="39"/>
      <c r="CX386" s="39"/>
      <c r="CY386" s="39"/>
      <c r="CZ386" s="39"/>
      <c r="DA386" s="39"/>
      <c r="DB386" s="39"/>
      <c r="DC386" s="39"/>
    </row>
    <row r="387" spans="1:107" s="92" customFormat="1" ht="39.950000000000003" customHeight="1" x14ac:dyDescent="0.25">
      <c r="A387"/>
      <c r="B387"/>
      <c r="C387"/>
      <c r="D387"/>
      <c r="E387"/>
      <c r="F387"/>
      <c r="G387"/>
      <c r="H387"/>
      <c r="I387" s="68"/>
      <c r="J387" s="71"/>
      <c r="K387"/>
      <c r="L387"/>
      <c r="M387"/>
      <c r="N387"/>
      <c r="O387"/>
      <c r="P387"/>
      <c r="Q387" s="121"/>
      <c r="R387"/>
      <c r="S387"/>
      <c r="T387" s="229"/>
      <c r="U387" s="229"/>
      <c r="V387" s="229"/>
      <c r="W387" s="229"/>
      <c r="X387" s="229"/>
      <c r="Y387" s="136"/>
      <c r="Z387" s="166"/>
      <c r="AA387" s="166"/>
      <c r="AB387" s="71"/>
      <c r="AC387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  <c r="BA387" s="39"/>
      <c r="BB387" s="39"/>
      <c r="BC387" s="39"/>
      <c r="BD387" s="39"/>
      <c r="BE387" s="39"/>
      <c r="BF387" s="39"/>
      <c r="BG387" s="39"/>
      <c r="BH387" s="39"/>
      <c r="BI387" s="39"/>
      <c r="BJ387" s="39"/>
      <c r="BK387" s="39"/>
      <c r="BL387" s="39"/>
      <c r="BM387" s="39"/>
      <c r="BN387" s="39"/>
      <c r="BO387" s="39"/>
      <c r="BP387" s="39"/>
      <c r="BQ387" s="39"/>
      <c r="BR387" s="39"/>
      <c r="BS387" s="39"/>
      <c r="BT387" s="39"/>
      <c r="BU387" s="39"/>
      <c r="BV387" s="39"/>
      <c r="BW387" s="39"/>
      <c r="BX387" s="39"/>
      <c r="BY387" s="39"/>
      <c r="BZ387" s="39"/>
      <c r="CA387" s="39"/>
      <c r="CB387" s="39"/>
      <c r="CC387" s="39"/>
      <c r="CD387" s="39"/>
      <c r="CE387" s="39"/>
      <c r="CF387" s="39"/>
      <c r="CG387" s="39"/>
      <c r="CH387" s="39"/>
      <c r="CI387" s="39"/>
      <c r="CJ387" s="39"/>
      <c r="CK387" s="39"/>
      <c r="CL387" s="39"/>
      <c r="CM387" s="39"/>
      <c r="CN387" s="39"/>
      <c r="CO387" s="39"/>
      <c r="CP387" s="39"/>
      <c r="CQ387" s="39"/>
      <c r="CR387" s="39"/>
      <c r="CS387" s="39"/>
      <c r="CT387" s="39"/>
      <c r="CU387" s="39"/>
      <c r="CV387" s="39"/>
      <c r="CW387" s="39"/>
      <c r="CX387" s="39"/>
      <c r="CY387" s="39"/>
      <c r="CZ387" s="39"/>
      <c r="DA387" s="39"/>
      <c r="DB387" s="39"/>
      <c r="DC387" s="39"/>
    </row>
    <row r="388" spans="1:107" s="92" customFormat="1" ht="39.950000000000003" customHeight="1" x14ac:dyDescent="0.25">
      <c r="A388"/>
      <c r="B388"/>
      <c r="C388"/>
      <c r="D388"/>
      <c r="E388"/>
      <c r="F388"/>
      <c r="G388"/>
      <c r="H388"/>
      <c r="I388" s="68"/>
      <c r="J388" s="71"/>
      <c r="K388"/>
      <c r="L388"/>
      <c r="M388"/>
      <c r="N388"/>
      <c r="O388"/>
      <c r="P388"/>
      <c r="Q388" s="121"/>
      <c r="R388"/>
      <c r="S388"/>
      <c r="T388" s="229"/>
      <c r="U388" s="229"/>
      <c r="V388" s="229"/>
      <c r="W388" s="229"/>
      <c r="X388" s="229"/>
      <c r="Y388" s="136"/>
      <c r="Z388" s="166"/>
      <c r="AA388" s="166"/>
      <c r="AB388" s="71"/>
      <c r="AC388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  <c r="BA388" s="39"/>
      <c r="BB388" s="39"/>
      <c r="BC388" s="39"/>
      <c r="BD388" s="39"/>
      <c r="BE388" s="39"/>
      <c r="BF388" s="39"/>
      <c r="BG388" s="39"/>
      <c r="BH388" s="39"/>
      <c r="BI388" s="39"/>
      <c r="BJ388" s="39"/>
      <c r="BK388" s="39"/>
      <c r="BL388" s="39"/>
      <c r="BM388" s="39"/>
      <c r="BN388" s="39"/>
      <c r="BO388" s="39"/>
      <c r="BP388" s="39"/>
      <c r="BQ388" s="39"/>
      <c r="BR388" s="39"/>
      <c r="BS388" s="39"/>
      <c r="BT388" s="39"/>
      <c r="BU388" s="39"/>
      <c r="BV388" s="39"/>
      <c r="BW388" s="39"/>
      <c r="BX388" s="39"/>
      <c r="BY388" s="39"/>
      <c r="BZ388" s="39"/>
      <c r="CA388" s="39"/>
      <c r="CB388" s="39"/>
      <c r="CC388" s="39"/>
      <c r="CD388" s="39"/>
      <c r="CE388" s="39"/>
      <c r="CF388" s="39"/>
      <c r="CG388" s="39"/>
      <c r="CH388" s="39"/>
      <c r="CI388" s="39"/>
      <c r="CJ388" s="39"/>
      <c r="CK388" s="39"/>
      <c r="CL388" s="39"/>
      <c r="CM388" s="39"/>
      <c r="CN388" s="39"/>
      <c r="CO388" s="39"/>
      <c r="CP388" s="39"/>
      <c r="CQ388" s="39"/>
      <c r="CR388" s="39"/>
      <c r="CS388" s="39"/>
      <c r="CT388" s="39"/>
      <c r="CU388" s="39"/>
      <c r="CV388" s="39"/>
      <c r="CW388" s="39"/>
      <c r="CX388" s="39"/>
      <c r="CY388" s="39"/>
      <c r="CZ388" s="39"/>
      <c r="DA388" s="39"/>
      <c r="DB388" s="39"/>
      <c r="DC388" s="39"/>
    </row>
    <row r="389" spans="1:107" s="92" customFormat="1" ht="39.950000000000003" customHeight="1" x14ac:dyDescent="0.25">
      <c r="A389"/>
      <c r="B389"/>
      <c r="C389"/>
      <c r="D389"/>
      <c r="E389"/>
      <c r="F389"/>
      <c r="G389"/>
      <c r="H389"/>
      <c r="I389" s="68"/>
      <c r="J389" s="71"/>
      <c r="K389"/>
      <c r="L389"/>
      <c r="M389"/>
      <c r="N389"/>
      <c r="O389"/>
      <c r="P389"/>
      <c r="Q389" s="121"/>
      <c r="R389"/>
      <c r="S389"/>
      <c r="T389" s="229"/>
      <c r="U389" s="229"/>
      <c r="V389" s="229"/>
      <c r="W389" s="229"/>
      <c r="X389" s="229"/>
      <c r="Y389" s="136"/>
      <c r="Z389" s="166"/>
      <c r="AA389" s="166"/>
      <c r="AB389" s="71"/>
      <c r="AC38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  <c r="BA389" s="39"/>
      <c r="BB389" s="39"/>
      <c r="BC389" s="39"/>
      <c r="BD389" s="39"/>
      <c r="BE389" s="39"/>
      <c r="BF389" s="39"/>
      <c r="BG389" s="39"/>
      <c r="BH389" s="39"/>
      <c r="BI389" s="39"/>
      <c r="BJ389" s="39"/>
      <c r="BK389" s="39"/>
      <c r="BL389" s="39"/>
      <c r="BM389" s="39"/>
      <c r="BN389" s="39"/>
      <c r="BO389" s="39"/>
      <c r="BP389" s="39"/>
      <c r="BQ389" s="39"/>
      <c r="BR389" s="39"/>
      <c r="BS389" s="39"/>
      <c r="BT389" s="39"/>
      <c r="BU389" s="39"/>
      <c r="BV389" s="39"/>
      <c r="BW389" s="39"/>
      <c r="BX389" s="39"/>
      <c r="BY389" s="39"/>
      <c r="BZ389" s="39"/>
      <c r="CA389" s="39"/>
      <c r="CB389" s="39"/>
      <c r="CC389" s="39"/>
      <c r="CD389" s="39"/>
      <c r="CE389" s="39"/>
      <c r="CF389" s="39"/>
      <c r="CG389" s="39"/>
      <c r="CH389" s="39"/>
      <c r="CI389" s="39"/>
      <c r="CJ389" s="39"/>
      <c r="CK389" s="39"/>
      <c r="CL389" s="39"/>
      <c r="CM389" s="39"/>
      <c r="CN389" s="39"/>
      <c r="CO389" s="39"/>
      <c r="CP389" s="39"/>
      <c r="CQ389" s="39"/>
      <c r="CR389" s="39"/>
      <c r="CS389" s="39"/>
      <c r="CT389" s="39"/>
      <c r="CU389" s="39"/>
      <c r="CV389" s="39"/>
      <c r="CW389" s="39"/>
      <c r="CX389" s="39"/>
      <c r="CY389" s="39"/>
      <c r="CZ389" s="39"/>
      <c r="DA389" s="39"/>
      <c r="DB389" s="39"/>
      <c r="DC389" s="39"/>
    </row>
    <row r="390" spans="1:107" s="92" customFormat="1" ht="39.950000000000003" customHeight="1" x14ac:dyDescent="0.25">
      <c r="A390"/>
      <c r="B390"/>
      <c r="C390"/>
      <c r="D390"/>
      <c r="E390"/>
      <c r="F390"/>
      <c r="G390"/>
      <c r="H390"/>
      <c r="I390" s="68"/>
      <c r="J390" s="71"/>
      <c r="K390"/>
      <c r="L390"/>
      <c r="M390"/>
      <c r="N390"/>
      <c r="O390"/>
      <c r="P390"/>
      <c r="Q390" s="121"/>
      <c r="R390"/>
      <c r="S390"/>
      <c r="T390" s="229"/>
      <c r="U390" s="229"/>
      <c r="V390" s="229"/>
      <c r="W390" s="229"/>
      <c r="X390" s="229"/>
      <c r="Y390" s="136"/>
      <c r="Z390" s="166"/>
      <c r="AA390" s="166"/>
      <c r="AB390" s="71"/>
      <c r="AC390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  <c r="BA390" s="39"/>
      <c r="BB390" s="39"/>
      <c r="BC390" s="39"/>
      <c r="BD390" s="39"/>
      <c r="BE390" s="39"/>
      <c r="BF390" s="39"/>
      <c r="BG390" s="39"/>
      <c r="BH390" s="39"/>
      <c r="BI390" s="39"/>
      <c r="BJ390" s="39"/>
      <c r="BK390" s="39"/>
      <c r="BL390" s="39"/>
      <c r="BM390" s="39"/>
      <c r="BN390" s="39"/>
      <c r="BO390" s="39"/>
      <c r="BP390" s="39"/>
      <c r="BQ390" s="39"/>
      <c r="BR390" s="39"/>
      <c r="BS390" s="39"/>
      <c r="BT390" s="39"/>
      <c r="BU390" s="39"/>
      <c r="BV390" s="39"/>
      <c r="BW390" s="39"/>
      <c r="BX390" s="39"/>
      <c r="BY390" s="39"/>
      <c r="BZ390" s="39"/>
      <c r="CA390" s="39"/>
      <c r="CB390" s="39"/>
      <c r="CC390" s="39"/>
      <c r="CD390" s="39"/>
      <c r="CE390" s="39"/>
      <c r="CF390" s="39"/>
      <c r="CG390" s="39"/>
      <c r="CH390" s="39"/>
      <c r="CI390" s="39"/>
      <c r="CJ390" s="39"/>
      <c r="CK390" s="39"/>
      <c r="CL390" s="39"/>
      <c r="CM390" s="39"/>
      <c r="CN390" s="39"/>
      <c r="CO390" s="39"/>
      <c r="CP390" s="39"/>
      <c r="CQ390" s="39"/>
      <c r="CR390" s="39"/>
      <c r="CS390" s="39"/>
      <c r="CT390" s="39"/>
      <c r="CU390" s="39"/>
      <c r="CV390" s="39"/>
      <c r="CW390" s="39"/>
      <c r="CX390" s="39"/>
      <c r="CY390" s="39"/>
      <c r="CZ390" s="39"/>
      <c r="DA390" s="39"/>
      <c r="DB390" s="39"/>
      <c r="DC390" s="39"/>
    </row>
    <row r="391" spans="1:107" s="92" customFormat="1" ht="39.950000000000003" customHeight="1" x14ac:dyDescent="0.25">
      <c r="A391"/>
      <c r="B391"/>
      <c r="C391"/>
      <c r="D391"/>
      <c r="E391"/>
      <c r="F391"/>
      <c r="G391"/>
      <c r="H391"/>
      <c r="I391" s="68"/>
      <c r="J391" s="71"/>
      <c r="K391"/>
      <c r="L391"/>
      <c r="M391"/>
      <c r="N391"/>
      <c r="O391"/>
      <c r="P391"/>
      <c r="Q391" s="121"/>
      <c r="R391"/>
      <c r="S391"/>
      <c r="T391" s="229"/>
      <c r="U391" s="229"/>
      <c r="V391" s="229"/>
      <c r="W391" s="229"/>
      <c r="X391" s="229"/>
      <c r="Y391" s="136"/>
      <c r="Z391" s="166"/>
      <c r="AA391" s="166"/>
      <c r="AB391" s="71"/>
      <c r="AC391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  <c r="BA391" s="39"/>
      <c r="BB391" s="39"/>
      <c r="BC391" s="39"/>
      <c r="BD391" s="39"/>
      <c r="BE391" s="39"/>
      <c r="BF391" s="39"/>
      <c r="BG391" s="39"/>
      <c r="BH391" s="39"/>
      <c r="BI391" s="39"/>
      <c r="BJ391" s="39"/>
      <c r="BK391" s="39"/>
      <c r="BL391" s="39"/>
      <c r="BM391" s="39"/>
      <c r="BN391" s="39"/>
      <c r="BO391" s="39"/>
      <c r="BP391" s="39"/>
      <c r="BQ391" s="39"/>
      <c r="BR391" s="39"/>
      <c r="BS391" s="39"/>
      <c r="BT391" s="39"/>
      <c r="BU391" s="39"/>
      <c r="BV391" s="39"/>
      <c r="BW391" s="39"/>
      <c r="BX391" s="39"/>
      <c r="BY391" s="39"/>
      <c r="BZ391" s="39"/>
      <c r="CA391" s="39"/>
      <c r="CB391" s="39"/>
      <c r="CC391" s="39"/>
      <c r="CD391" s="39"/>
      <c r="CE391" s="39"/>
      <c r="CF391" s="39"/>
      <c r="CG391" s="39"/>
      <c r="CH391" s="39"/>
      <c r="CI391" s="39"/>
      <c r="CJ391" s="39"/>
      <c r="CK391" s="39"/>
      <c r="CL391" s="39"/>
      <c r="CM391" s="39"/>
      <c r="CN391" s="39"/>
      <c r="CO391" s="39"/>
      <c r="CP391" s="39"/>
      <c r="CQ391" s="39"/>
      <c r="CR391" s="39"/>
      <c r="CS391" s="39"/>
      <c r="CT391" s="39"/>
      <c r="CU391" s="39"/>
      <c r="CV391" s="39"/>
      <c r="CW391" s="39"/>
      <c r="CX391" s="39"/>
      <c r="CY391" s="39"/>
      <c r="CZ391" s="39"/>
      <c r="DA391" s="39"/>
      <c r="DB391" s="39"/>
      <c r="DC391" s="39"/>
    </row>
    <row r="392" spans="1:107" s="92" customFormat="1" ht="39.950000000000003" customHeight="1" x14ac:dyDescent="0.25">
      <c r="A392"/>
      <c r="B392"/>
      <c r="C392"/>
      <c r="D392"/>
      <c r="E392"/>
      <c r="F392"/>
      <c r="G392"/>
      <c r="H392"/>
      <c r="I392" s="68"/>
      <c r="J392" s="71"/>
      <c r="K392"/>
      <c r="L392"/>
      <c r="M392"/>
      <c r="N392"/>
      <c r="O392"/>
      <c r="P392"/>
      <c r="Q392" s="121"/>
      <c r="R392"/>
      <c r="S392"/>
      <c r="T392" s="229"/>
      <c r="U392" s="229"/>
      <c r="V392" s="229"/>
      <c r="W392" s="229"/>
      <c r="X392" s="229"/>
      <c r="Y392" s="136"/>
      <c r="Z392" s="166"/>
      <c r="AA392" s="166"/>
      <c r="AB392" s="71"/>
      <c r="AC392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  <c r="BA392" s="39"/>
      <c r="BB392" s="39"/>
      <c r="BC392" s="39"/>
      <c r="BD392" s="39"/>
      <c r="BE392" s="39"/>
      <c r="BF392" s="39"/>
      <c r="BG392" s="39"/>
      <c r="BH392" s="39"/>
      <c r="BI392" s="39"/>
      <c r="BJ392" s="39"/>
      <c r="BK392" s="39"/>
      <c r="BL392" s="39"/>
      <c r="BM392" s="39"/>
      <c r="BN392" s="39"/>
      <c r="BO392" s="39"/>
      <c r="BP392" s="39"/>
      <c r="BQ392" s="39"/>
      <c r="BR392" s="39"/>
      <c r="BS392" s="39"/>
      <c r="BT392" s="39"/>
      <c r="BU392" s="39"/>
      <c r="BV392" s="39"/>
      <c r="BW392" s="39"/>
      <c r="BX392" s="39"/>
      <c r="BY392" s="39"/>
      <c r="BZ392" s="39"/>
      <c r="CA392" s="39"/>
      <c r="CB392" s="39"/>
      <c r="CC392" s="39"/>
      <c r="CD392" s="39"/>
      <c r="CE392" s="39"/>
      <c r="CF392" s="39"/>
      <c r="CG392" s="39"/>
      <c r="CH392" s="39"/>
      <c r="CI392" s="39"/>
      <c r="CJ392" s="39"/>
      <c r="CK392" s="39"/>
      <c r="CL392" s="39"/>
      <c r="CM392" s="39"/>
      <c r="CN392" s="39"/>
      <c r="CO392" s="39"/>
      <c r="CP392" s="39"/>
      <c r="CQ392" s="39"/>
      <c r="CR392" s="39"/>
      <c r="CS392" s="39"/>
      <c r="CT392" s="39"/>
      <c r="CU392" s="39"/>
      <c r="CV392" s="39"/>
      <c r="CW392" s="39"/>
      <c r="CX392" s="39"/>
      <c r="CY392" s="39"/>
      <c r="CZ392" s="39"/>
      <c r="DA392" s="39"/>
      <c r="DB392" s="39"/>
      <c r="DC392" s="39"/>
    </row>
    <row r="393" spans="1:107" s="92" customFormat="1" ht="39.950000000000003" customHeight="1" x14ac:dyDescent="0.25">
      <c r="A393"/>
      <c r="B393"/>
      <c r="C393"/>
      <c r="D393"/>
      <c r="E393"/>
      <c r="F393"/>
      <c r="G393"/>
      <c r="H393"/>
      <c r="I393" s="68"/>
      <c r="J393" s="71"/>
      <c r="K393"/>
      <c r="L393"/>
      <c r="M393"/>
      <c r="N393"/>
      <c r="O393"/>
      <c r="P393"/>
      <c r="Q393" s="121"/>
      <c r="R393"/>
      <c r="S393"/>
      <c r="T393" s="229"/>
      <c r="U393" s="229"/>
      <c r="V393" s="229"/>
      <c r="W393" s="229"/>
      <c r="X393" s="229"/>
      <c r="Y393" s="136"/>
      <c r="Z393" s="166"/>
      <c r="AA393" s="166"/>
      <c r="AB393" s="71"/>
      <c r="AC393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  <c r="BA393" s="39"/>
      <c r="BB393" s="39"/>
      <c r="BC393" s="39"/>
      <c r="BD393" s="39"/>
      <c r="BE393" s="39"/>
      <c r="BF393" s="39"/>
      <c r="BG393" s="39"/>
      <c r="BH393" s="39"/>
      <c r="BI393" s="39"/>
      <c r="BJ393" s="39"/>
      <c r="BK393" s="39"/>
      <c r="BL393" s="39"/>
      <c r="BM393" s="39"/>
      <c r="BN393" s="39"/>
      <c r="BO393" s="39"/>
      <c r="BP393" s="39"/>
      <c r="BQ393" s="39"/>
      <c r="BR393" s="39"/>
      <c r="BS393" s="39"/>
      <c r="BT393" s="39"/>
      <c r="BU393" s="39"/>
      <c r="BV393" s="39"/>
      <c r="BW393" s="39"/>
      <c r="BX393" s="39"/>
      <c r="BY393" s="39"/>
      <c r="BZ393" s="39"/>
      <c r="CA393" s="39"/>
      <c r="CB393" s="39"/>
      <c r="CC393" s="39"/>
      <c r="CD393" s="39"/>
      <c r="CE393" s="39"/>
      <c r="CF393" s="39"/>
      <c r="CG393" s="39"/>
      <c r="CH393" s="39"/>
      <c r="CI393" s="39"/>
      <c r="CJ393" s="39"/>
      <c r="CK393" s="39"/>
      <c r="CL393" s="39"/>
      <c r="CM393" s="39"/>
      <c r="CN393" s="39"/>
      <c r="CO393" s="39"/>
      <c r="CP393" s="39"/>
      <c r="CQ393" s="39"/>
      <c r="CR393" s="39"/>
      <c r="CS393" s="39"/>
      <c r="CT393" s="39"/>
      <c r="CU393" s="39"/>
      <c r="CV393" s="39"/>
      <c r="CW393" s="39"/>
      <c r="CX393" s="39"/>
      <c r="CY393" s="39"/>
      <c r="CZ393" s="39"/>
      <c r="DA393" s="39"/>
      <c r="DB393" s="39"/>
      <c r="DC393" s="39"/>
    </row>
    <row r="394" spans="1:107" s="92" customFormat="1" ht="39.950000000000003" customHeight="1" x14ac:dyDescent="0.25">
      <c r="A394"/>
      <c r="B394"/>
      <c r="C394"/>
      <c r="D394"/>
      <c r="E394"/>
      <c r="F394"/>
      <c r="G394"/>
      <c r="H394"/>
      <c r="I394" s="68"/>
      <c r="J394" s="71"/>
      <c r="K394"/>
      <c r="L394"/>
      <c r="M394"/>
      <c r="N394"/>
      <c r="O394"/>
      <c r="P394"/>
      <c r="Q394" s="121"/>
      <c r="R394"/>
      <c r="S394"/>
      <c r="T394" s="229"/>
      <c r="U394" s="229"/>
      <c r="V394" s="229"/>
      <c r="W394" s="229"/>
      <c r="X394" s="229"/>
      <c r="Y394" s="136"/>
      <c r="Z394" s="166"/>
      <c r="AA394" s="166"/>
      <c r="AB394" s="71"/>
      <c r="AC394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  <c r="BA394" s="39"/>
      <c r="BB394" s="39"/>
      <c r="BC394" s="39"/>
      <c r="BD394" s="39"/>
      <c r="BE394" s="39"/>
      <c r="BF394" s="39"/>
      <c r="BG394" s="39"/>
      <c r="BH394" s="39"/>
      <c r="BI394" s="39"/>
      <c r="BJ394" s="39"/>
      <c r="BK394" s="39"/>
      <c r="BL394" s="39"/>
      <c r="BM394" s="39"/>
      <c r="BN394" s="39"/>
      <c r="BO394" s="39"/>
      <c r="BP394" s="39"/>
      <c r="BQ394" s="39"/>
      <c r="BR394" s="39"/>
      <c r="BS394" s="39"/>
      <c r="BT394" s="39"/>
      <c r="BU394" s="39"/>
      <c r="BV394" s="39"/>
      <c r="BW394" s="39"/>
      <c r="BX394" s="39"/>
      <c r="BY394" s="39"/>
      <c r="BZ394" s="39"/>
      <c r="CA394" s="39"/>
      <c r="CB394" s="39"/>
      <c r="CC394" s="39"/>
      <c r="CD394" s="39"/>
      <c r="CE394" s="39"/>
      <c r="CF394" s="39"/>
      <c r="CG394" s="39"/>
      <c r="CH394" s="39"/>
      <c r="CI394" s="39"/>
      <c r="CJ394" s="39"/>
      <c r="CK394" s="39"/>
      <c r="CL394" s="39"/>
      <c r="CM394" s="39"/>
      <c r="CN394" s="39"/>
      <c r="CO394" s="39"/>
      <c r="CP394" s="39"/>
      <c r="CQ394" s="39"/>
      <c r="CR394" s="39"/>
      <c r="CS394" s="39"/>
      <c r="CT394" s="39"/>
      <c r="CU394" s="39"/>
      <c r="CV394" s="39"/>
      <c r="CW394" s="39"/>
      <c r="CX394" s="39"/>
      <c r="CY394" s="39"/>
      <c r="CZ394" s="39"/>
      <c r="DA394" s="39"/>
      <c r="DB394" s="39"/>
      <c r="DC394" s="39"/>
    </row>
    <row r="395" spans="1:107" s="92" customFormat="1" ht="39.950000000000003" customHeight="1" x14ac:dyDescent="0.25">
      <c r="A395"/>
      <c r="B395"/>
      <c r="C395"/>
      <c r="D395"/>
      <c r="E395"/>
      <c r="F395"/>
      <c r="G395"/>
      <c r="H395"/>
      <c r="I395" s="68"/>
      <c r="J395" s="71"/>
      <c r="K395"/>
      <c r="L395"/>
      <c r="M395"/>
      <c r="N395"/>
      <c r="O395"/>
      <c r="P395"/>
      <c r="Q395" s="121"/>
      <c r="R395"/>
      <c r="S395"/>
      <c r="T395" s="229"/>
      <c r="U395" s="229"/>
      <c r="V395" s="229"/>
      <c r="W395" s="229"/>
      <c r="X395" s="229"/>
      <c r="Y395" s="136"/>
      <c r="Z395" s="166"/>
      <c r="AA395" s="166"/>
      <c r="AB395" s="71"/>
      <c r="AC395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  <c r="BA395" s="39"/>
      <c r="BB395" s="39"/>
      <c r="BC395" s="39"/>
      <c r="BD395" s="39"/>
      <c r="BE395" s="39"/>
      <c r="BF395" s="39"/>
      <c r="BG395" s="39"/>
      <c r="BH395" s="39"/>
      <c r="BI395" s="39"/>
      <c r="BJ395" s="39"/>
      <c r="BK395" s="39"/>
      <c r="BL395" s="39"/>
      <c r="BM395" s="39"/>
      <c r="BN395" s="39"/>
      <c r="BO395" s="39"/>
      <c r="BP395" s="39"/>
      <c r="BQ395" s="39"/>
      <c r="BR395" s="39"/>
      <c r="BS395" s="39"/>
      <c r="BT395" s="39"/>
      <c r="BU395" s="39"/>
      <c r="BV395" s="39"/>
      <c r="BW395" s="39"/>
      <c r="BX395" s="39"/>
      <c r="BY395" s="39"/>
      <c r="BZ395" s="39"/>
      <c r="CA395" s="39"/>
      <c r="CB395" s="39"/>
      <c r="CC395" s="39"/>
      <c r="CD395" s="39"/>
      <c r="CE395" s="39"/>
      <c r="CF395" s="39"/>
      <c r="CG395" s="39"/>
      <c r="CH395" s="39"/>
      <c r="CI395" s="39"/>
      <c r="CJ395" s="39"/>
      <c r="CK395" s="39"/>
      <c r="CL395" s="39"/>
      <c r="CM395" s="39"/>
      <c r="CN395" s="39"/>
      <c r="CO395" s="39"/>
      <c r="CP395" s="39"/>
      <c r="CQ395" s="39"/>
      <c r="CR395" s="39"/>
      <c r="CS395" s="39"/>
      <c r="CT395" s="39"/>
      <c r="CU395" s="39"/>
      <c r="CV395" s="39"/>
      <c r="CW395" s="39"/>
      <c r="CX395" s="39"/>
      <c r="CY395" s="39"/>
      <c r="CZ395" s="39"/>
      <c r="DA395" s="39"/>
      <c r="DB395" s="39"/>
      <c r="DC395" s="39"/>
    </row>
    <row r="396" spans="1:107" s="92" customFormat="1" ht="39.950000000000003" customHeight="1" x14ac:dyDescent="0.25">
      <c r="A396"/>
      <c r="B396"/>
      <c r="C396"/>
      <c r="D396"/>
      <c r="E396"/>
      <c r="F396"/>
      <c r="G396"/>
      <c r="H396"/>
      <c r="I396" s="68"/>
      <c r="J396" s="71"/>
      <c r="K396"/>
      <c r="L396"/>
      <c r="M396"/>
      <c r="N396"/>
      <c r="O396"/>
      <c r="P396"/>
      <c r="Q396" s="121"/>
      <c r="R396"/>
      <c r="S396"/>
      <c r="T396" s="229"/>
      <c r="U396" s="229"/>
      <c r="V396" s="229"/>
      <c r="W396" s="229"/>
      <c r="X396" s="229"/>
      <c r="Y396" s="136"/>
      <c r="Z396" s="166"/>
      <c r="AA396" s="166"/>
      <c r="AB396" s="71"/>
      <c r="AC396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  <c r="BA396" s="39"/>
      <c r="BB396" s="39"/>
      <c r="BC396" s="39"/>
      <c r="BD396" s="39"/>
      <c r="BE396" s="39"/>
      <c r="BF396" s="39"/>
      <c r="BG396" s="39"/>
      <c r="BH396" s="39"/>
      <c r="BI396" s="39"/>
      <c r="BJ396" s="39"/>
      <c r="BK396" s="39"/>
      <c r="BL396" s="39"/>
      <c r="BM396" s="39"/>
      <c r="BN396" s="39"/>
      <c r="BO396" s="39"/>
      <c r="BP396" s="39"/>
      <c r="BQ396" s="39"/>
      <c r="BR396" s="39"/>
      <c r="BS396" s="39"/>
      <c r="BT396" s="39"/>
      <c r="BU396" s="39"/>
      <c r="BV396" s="39"/>
      <c r="BW396" s="39"/>
      <c r="BX396" s="39"/>
      <c r="BY396" s="39"/>
      <c r="BZ396" s="39"/>
      <c r="CA396" s="39"/>
      <c r="CB396" s="39"/>
      <c r="CC396" s="39"/>
      <c r="CD396" s="39"/>
      <c r="CE396" s="39"/>
      <c r="CF396" s="39"/>
      <c r="CG396" s="39"/>
      <c r="CH396" s="39"/>
      <c r="CI396" s="39"/>
      <c r="CJ396" s="39"/>
      <c r="CK396" s="39"/>
      <c r="CL396" s="39"/>
      <c r="CM396" s="39"/>
      <c r="CN396" s="39"/>
      <c r="CO396" s="39"/>
      <c r="CP396" s="39"/>
      <c r="CQ396" s="39"/>
      <c r="CR396" s="39"/>
      <c r="CS396" s="39"/>
      <c r="CT396" s="39"/>
      <c r="CU396" s="39"/>
      <c r="CV396" s="39"/>
      <c r="CW396" s="39"/>
      <c r="CX396" s="39"/>
      <c r="CY396" s="39"/>
      <c r="CZ396" s="39"/>
      <c r="DA396" s="39"/>
      <c r="DB396" s="39"/>
      <c r="DC396" s="39"/>
    </row>
    <row r="397" spans="1:107" s="92" customFormat="1" ht="39.950000000000003" customHeight="1" x14ac:dyDescent="0.25">
      <c r="A397"/>
      <c r="B397"/>
      <c r="C397"/>
      <c r="D397"/>
      <c r="E397"/>
      <c r="F397"/>
      <c r="G397"/>
      <c r="H397"/>
      <c r="I397" s="68"/>
      <c r="J397" s="71"/>
      <c r="K397"/>
      <c r="L397"/>
      <c r="M397"/>
      <c r="N397"/>
      <c r="O397"/>
      <c r="P397"/>
      <c r="Q397" s="121"/>
      <c r="R397"/>
      <c r="S397"/>
      <c r="T397" s="229"/>
      <c r="U397" s="229"/>
      <c r="V397" s="229"/>
      <c r="W397" s="229"/>
      <c r="X397" s="229"/>
      <c r="Y397" s="136"/>
      <c r="Z397" s="166"/>
      <c r="AA397" s="166"/>
      <c r="AB397" s="71"/>
      <c r="AC397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  <c r="BA397" s="39"/>
      <c r="BB397" s="39"/>
      <c r="BC397" s="39"/>
      <c r="BD397" s="39"/>
      <c r="BE397" s="39"/>
      <c r="BF397" s="39"/>
      <c r="BG397" s="39"/>
      <c r="BH397" s="39"/>
      <c r="BI397" s="39"/>
      <c r="BJ397" s="39"/>
      <c r="BK397" s="39"/>
      <c r="BL397" s="39"/>
      <c r="BM397" s="39"/>
      <c r="BN397" s="39"/>
      <c r="BO397" s="39"/>
      <c r="BP397" s="39"/>
      <c r="BQ397" s="39"/>
      <c r="BR397" s="39"/>
      <c r="BS397" s="39"/>
      <c r="BT397" s="39"/>
      <c r="BU397" s="39"/>
      <c r="BV397" s="39"/>
      <c r="BW397" s="39"/>
      <c r="BX397" s="39"/>
      <c r="BY397" s="39"/>
      <c r="BZ397" s="39"/>
      <c r="CA397" s="39"/>
      <c r="CB397" s="39"/>
      <c r="CC397" s="39"/>
      <c r="CD397" s="39"/>
      <c r="CE397" s="39"/>
      <c r="CF397" s="39"/>
      <c r="CG397" s="39"/>
      <c r="CH397" s="39"/>
      <c r="CI397" s="39"/>
      <c r="CJ397" s="39"/>
      <c r="CK397" s="39"/>
      <c r="CL397" s="39"/>
      <c r="CM397" s="39"/>
      <c r="CN397" s="39"/>
      <c r="CO397" s="39"/>
      <c r="CP397" s="39"/>
      <c r="CQ397" s="39"/>
      <c r="CR397" s="39"/>
      <c r="CS397" s="39"/>
      <c r="CT397" s="39"/>
      <c r="CU397" s="39"/>
      <c r="CV397" s="39"/>
      <c r="CW397" s="39"/>
      <c r="CX397" s="39"/>
      <c r="CY397" s="39"/>
      <c r="CZ397" s="39"/>
      <c r="DA397" s="39"/>
      <c r="DB397" s="39"/>
      <c r="DC397" s="39"/>
    </row>
    <row r="398" spans="1:107" s="92" customFormat="1" ht="39.950000000000003" customHeight="1" x14ac:dyDescent="0.25">
      <c r="A398"/>
      <c r="B398"/>
      <c r="C398"/>
      <c r="D398"/>
      <c r="E398"/>
      <c r="F398"/>
      <c r="G398"/>
      <c r="H398"/>
      <c r="I398" s="68"/>
      <c r="J398" s="71"/>
      <c r="K398"/>
      <c r="L398"/>
      <c r="M398"/>
      <c r="N398"/>
      <c r="O398"/>
      <c r="P398"/>
      <c r="Q398" s="121"/>
      <c r="R398"/>
      <c r="S398"/>
      <c r="T398" s="229"/>
      <c r="U398" s="229"/>
      <c r="V398" s="229"/>
      <c r="W398" s="229"/>
      <c r="X398" s="229"/>
      <c r="Y398" s="136"/>
      <c r="Z398" s="166"/>
      <c r="AA398" s="166"/>
      <c r="AB398" s="71"/>
      <c r="AC398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  <c r="BA398" s="39"/>
      <c r="BB398" s="39"/>
      <c r="BC398" s="39"/>
      <c r="BD398" s="39"/>
      <c r="BE398" s="39"/>
      <c r="BF398" s="39"/>
      <c r="BG398" s="39"/>
      <c r="BH398" s="39"/>
      <c r="BI398" s="39"/>
      <c r="BJ398" s="39"/>
      <c r="BK398" s="39"/>
      <c r="BL398" s="39"/>
      <c r="BM398" s="39"/>
      <c r="BN398" s="39"/>
      <c r="BO398" s="39"/>
      <c r="BP398" s="39"/>
      <c r="BQ398" s="39"/>
      <c r="BR398" s="39"/>
      <c r="BS398" s="39"/>
      <c r="BT398" s="39"/>
      <c r="BU398" s="39"/>
      <c r="BV398" s="39"/>
      <c r="BW398" s="39"/>
      <c r="BX398" s="39"/>
      <c r="BY398" s="39"/>
      <c r="BZ398" s="39"/>
      <c r="CA398" s="39"/>
      <c r="CB398" s="39"/>
      <c r="CC398" s="39"/>
      <c r="CD398" s="39"/>
      <c r="CE398" s="39"/>
      <c r="CF398" s="39"/>
      <c r="CG398" s="39"/>
      <c r="CH398" s="39"/>
      <c r="CI398" s="39"/>
      <c r="CJ398" s="39"/>
      <c r="CK398" s="39"/>
      <c r="CL398" s="39"/>
      <c r="CM398" s="39"/>
      <c r="CN398" s="39"/>
      <c r="CO398" s="39"/>
      <c r="CP398" s="39"/>
      <c r="CQ398" s="39"/>
      <c r="CR398" s="39"/>
      <c r="CS398" s="39"/>
      <c r="CT398" s="39"/>
      <c r="CU398" s="39"/>
      <c r="CV398" s="39"/>
      <c r="CW398" s="39"/>
      <c r="CX398" s="39"/>
      <c r="CY398" s="39"/>
      <c r="CZ398" s="39"/>
      <c r="DA398" s="39"/>
      <c r="DB398" s="39"/>
      <c r="DC398" s="39"/>
    </row>
    <row r="399" spans="1:107" s="92" customFormat="1" ht="39.950000000000003" customHeight="1" x14ac:dyDescent="0.25">
      <c r="A399"/>
      <c r="B399"/>
      <c r="C399"/>
      <c r="D399"/>
      <c r="E399"/>
      <c r="F399"/>
      <c r="G399"/>
      <c r="H399"/>
      <c r="I399" s="68"/>
      <c r="J399" s="71"/>
      <c r="K399"/>
      <c r="L399"/>
      <c r="M399"/>
      <c r="N399"/>
      <c r="O399"/>
      <c r="P399"/>
      <c r="Q399" s="121"/>
      <c r="R399"/>
      <c r="S399"/>
      <c r="T399" s="229"/>
      <c r="U399" s="229"/>
      <c r="V399" s="229"/>
      <c r="W399" s="229"/>
      <c r="X399" s="229"/>
      <c r="Y399" s="136"/>
      <c r="Z399" s="166"/>
      <c r="AA399" s="166"/>
      <c r="AB399" s="71"/>
      <c r="AC39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  <c r="BA399" s="39"/>
      <c r="BB399" s="39"/>
      <c r="BC399" s="39"/>
      <c r="BD399" s="39"/>
      <c r="BE399" s="39"/>
      <c r="BF399" s="39"/>
      <c r="BG399" s="39"/>
      <c r="BH399" s="39"/>
      <c r="BI399" s="39"/>
      <c r="BJ399" s="39"/>
      <c r="BK399" s="39"/>
      <c r="BL399" s="39"/>
      <c r="BM399" s="39"/>
      <c r="BN399" s="39"/>
      <c r="BO399" s="39"/>
      <c r="BP399" s="39"/>
      <c r="BQ399" s="39"/>
      <c r="BR399" s="39"/>
      <c r="BS399" s="39"/>
      <c r="BT399" s="39"/>
      <c r="BU399" s="39"/>
      <c r="BV399" s="39"/>
      <c r="BW399" s="39"/>
      <c r="BX399" s="39"/>
      <c r="BY399" s="39"/>
      <c r="BZ399" s="39"/>
      <c r="CA399" s="39"/>
      <c r="CB399" s="39"/>
      <c r="CC399" s="39"/>
      <c r="CD399" s="39"/>
      <c r="CE399" s="39"/>
      <c r="CF399" s="39"/>
      <c r="CG399" s="39"/>
      <c r="CH399" s="39"/>
      <c r="CI399" s="39"/>
      <c r="CJ399" s="39"/>
      <c r="CK399" s="39"/>
      <c r="CL399" s="39"/>
      <c r="CM399" s="39"/>
      <c r="CN399" s="39"/>
      <c r="CO399" s="39"/>
      <c r="CP399" s="39"/>
      <c r="CQ399" s="39"/>
      <c r="CR399" s="39"/>
      <c r="CS399" s="39"/>
      <c r="CT399" s="39"/>
      <c r="CU399" s="39"/>
      <c r="CV399" s="39"/>
      <c r="CW399" s="39"/>
      <c r="CX399" s="39"/>
      <c r="CY399" s="39"/>
      <c r="CZ399" s="39"/>
      <c r="DA399" s="39"/>
      <c r="DB399" s="39"/>
      <c r="DC399" s="39"/>
    </row>
    <row r="400" spans="1:107" s="92" customFormat="1" ht="39.950000000000003" customHeight="1" x14ac:dyDescent="0.25">
      <c r="A400"/>
      <c r="B400"/>
      <c r="C400"/>
      <c r="D400"/>
      <c r="E400"/>
      <c r="F400"/>
      <c r="G400"/>
      <c r="H400"/>
      <c r="I400" s="68"/>
      <c r="J400" s="71"/>
      <c r="K400"/>
      <c r="L400"/>
      <c r="M400"/>
      <c r="N400"/>
      <c r="O400"/>
      <c r="P400"/>
      <c r="Q400" s="121"/>
      <c r="R400"/>
      <c r="S400"/>
      <c r="T400" s="229"/>
      <c r="U400" s="229"/>
      <c r="V400" s="229"/>
      <c r="W400" s="229"/>
      <c r="X400" s="229"/>
      <c r="Y400" s="136"/>
      <c r="Z400" s="166"/>
      <c r="AA400" s="166"/>
      <c r="AB400" s="71"/>
      <c r="AC400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  <c r="BA400" s="39"/>
      <c r="BB400" s="39"/>
      <c r="BC400" s="39"/>
      <c r="BD400" s="39"/>
      <c r="BE400" s="39"/>
      <c r="BF400" s="39"/>
      <c r="BG400" s="39"/>
      <c r="BH400" s="39"/>
      <c r="BI400" s="39"/>
      <c r="BJ400" s="39"/>
      <c r="BK400" s="39"/>
      <c r="BL400" s="39"/>
      <c r="BM400" s="39"/>
      <c r="BN400" s="39"/>
      <c r="BO400" s="39"/>
      <c r="BP400" s="39"/>
      <c r="BQ400" s="39"/>
      <c r="BR400" s="39"/>
      <c r="BS400" s="39"/>
      <c r="BT400" s="39"/>
      <c r="BU400" s="39"/>
      <c r="BV400" s="39"/>
      <c r="BW400" s="39"/>
      <c r="BX400" s="39"/>
      <c r="BY400" s="39"/>
      <c r="BZ400" s="39"/>
      <c r="CA400" s="39"/>
      <c r="CB400" s="39"/>
      <c r="CC400" s="39"/>
      <c r="CD400" s="39"/>
      <c r="CE400" s="39"/>
      <c r="CF400" s="39"/>
      <c r="CG400" s="39"/>
      <c r="CH400" s="39"/>
      <c r="CI400" s="39"/>
      <c r="CJ400" s="39"/>
      <c r="CK400" s="39"/>
      <c r="CL400" s="39"/>
      <c r="CM400" s="39"/>
      <c r="CN400" s="39"/>
      <c r="CO400" s="39"/>
      <c r="CP400" s="39"/>
      <c r="CQ400" s="39"/>
      <c r="CR400" s="39"/>
      <c r="CS400" s="39"/>
      <c r="CT400" s="39"/>
      <c r="CU400" s="39"/>
      <c r="CV400" s="39"/>
      <c r="CW400" s="39"/>
      <c r="CX400" s="39"/>
      <c r="CY400" s="39"/>
      <c r="CZ400" s="39"/>
      <c r="DA400" s="39"/>
      <c r="DB400" s="39"/>
      <c r="DC400" s="39"/>
    </row>
    <row r="401" spans="1:107" s="92" customFormat="1" ht="39.950000000000003" customHeight="1" x14ac:dyDescent="0.25">
      <c r="A401"/>
      <c r="B401"/>
      <c r="C401"/>
      <c r="D401"/>
      <c r="E401"/>
      <c r="F401"/>
      <c r="G401"/>
      <c r="H401"/>
      <c r="I401" s="68"/>
      <c r="J401" s="71"/>
      <c r="K401"/>
      <c r="L401"/>
      <c r="M401"/>
      <c r="N401"/>
      <c r="O401"/>
      <c r="P401"/>
      <c r="Q401" s="121"/>
      <c r="R401"/>
      <c r="S401"/>
      <c r="T401" s="229"/>
      <c r="U401" s="229"/>
      <c r="V401" s="229"/>
      <c r="W401" s="229"/>
      <c r="X401" s="229"/>
      <c r="Y401" s="136"/>
      <c r="Z401" s="166"/>
      <c r="AA401" s="166"/>
      <c r="AB401" s="71"/>
      <c r="AC401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  <c r="BA401" s="39"/>
      <c r="BB401" s="39"/>
      <c r="BC401" s="39"/>
      <c r="BD401" s="39"/>
      <c r="BE401" s="39"/>
      <c r="BF401" s="39"/>
      <c r="BG401" s="39"/>
      <c r="BH401" s="39"/>
      <c r="BI401" s="39"/>
      <c r="BJ401" s="39"/>
      <c r="BK401" s="39"/>
      <c r="BL401" s="39"/>
      <c r="BM401" s="39"/>
      <c r="BN401" s="39"/>
      <c r="BO401" s="39"/>
      <c r="BP401" s="39"/>
      <c r="BQ401" s="39"/>
      <c r="BR401" s="39"/>
      <c r="BS401" s="39"/>
      <c r="BT401" s="39"/>
      <c r="BU401" s="39"/>
      <c r="BV401" s="39"/>
      <c r="BW401" s="39"/>
      <c r="BX401" s="39"/>
      <c r="BY401" s="39"/>
      <c r="BZ401" s="39"/>
      <c r="CA401" s="39"/>
      <c r="CB401" s="39"/>
      <c r="CC401" s="39"/>
      <c r="CD401" s="39"/>
      <c r="CE401" s="39"/>
      <c r="CF401" s="39"/>
      <c r="CG401" s="39"/>
      <c r="CH401" s="39"/>
      <c r="CI401" s="39"/>
      <c r="CJ401" s="39"/>
      <c r="CK401" s="39"/>
      <c r="CL401" s="39"/>
      <c r="CM401" s="39"/>
      <c r="CN401" s="39"/>
      <c r="CO401" s="39"/>
      <c r="CP401" s="39"/>
      <c r="CQ401" s="39"/>
      <c r="CR401" s="39"/>
      <c r="CS401" s="39"/>
      <c r="CT401" s="39"/>
      <c r="CU401" s="39"/>
      <c r="CV401" s="39"/>
      <c r="CW401" s="39"/>
      <c r="CX401" s="39"/>
      <c r="CY401" s="39"/>
      <c r="CZ401" s="39"/>
      <c r="DA401" s="39"/>
      <c r="DB401" s="39"/>
      <c r="DC401" s="39"/>
    </row>
    <row r="402" spans="1:107" s="92" customFormat="1" ht="39.950000000000003" customHeight="1" x14ac:dyDescent="0.25">
      <c r="A402"/>
      <c r="B402"/>
      <c r="C402"/>
      <c r="D402"/>
      <c r="E402"/>
      <c r="F402"/>
      <c r="G402"/>
      <c r="H402"/>
      <c r="I402" s="68"/>
      <c r="J402" s="71"/>
      <c r="K402"/>
      <c r="L402"/>
      <c r="M402"/>
      <c r="N402"/>
      <c r="O402"/>
      <c r="P402"/>
      <c r="Q402" s="121"/>
      <c r="R402"/>
      <c r="S402"/>
      <c r="T402" s="229"/>
      <c r="U402" s="229"/>
      <c r="V402" s="229"/>
      <c r="W402" s="229"/>
      <c r="X402" s="229"/>
      <c r="Y402" s="136"/>
      <c r="Z402" s="166"/>
      <c r="AA402" s="166"/>
      <c r="AB402" s="71"/>
      <c r="AC402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  <c r="BA402" s="39"/>
      <c r="BB402" s="39"/>
      <c r="BC402" s="39"/>
      <c r="BD402" s="39"/>
      <c r="BE402" s="39"/>
      <c r="BF402" s="39"/>
      <c r="BG402" s="39"/>
      <c r="BH402" s="39"/>
      <c r="BI402" s="39"/>
      <c r="BJ402" s="39"/>
      <c r="BK402" s="39"/>
      <c r="BL402" s="39"/>
      <c r="BM402" s="39"/>
      <c r="BN402" s="39"/>
      <c r="BO402" s="39"/>
      <c r="BP402" s="39"/>
      <c r="BQ402" s="39"/>
      <c r="BR402" s="39"/>
      <c r="BS402" s="39"/>
      <c r="BT402" s="39"/>
      <c r="BU402" s="39"/>
      <c r="BV402" s="39"/>
      <c r="BW402" s="39"/>
      <c r="BX402" s="39"/>
      <c r="BY402" s="39"/>
      <c r="BZ402" s="39"/>
      <c r="CA402" s="39"/>
      <c r="CB402" s="39"/>
      <c r="CC402" s="39"/>
      <c r="CD402" s="39"/>
      <c r="CE402" s="39"/>
      <c r="CF402" s="39"/>
      <c r="CG402" s="39"/>
      <c r="CH402" s="39"/>
      <c r="CI402" s="39"/>
      <c r="CJ402" s="39"/>
      <c r="CK402" s="39"/>
      <c r="CL402" s="39"/>
      <c r="CM402" s="39"/>
      <c r="CN402" s="39"/>
      <c r="CO402" s="39"/>
      <c r="CP402" s="39"/>
      <c r="CQ402" s="39"/>
      <c r="CR402" s="39"/>
      <c r="CS402" s="39"/>
      <c r="CT402" s="39"/>
      <c r="CU402" s="39"/>
      <c r="CV402" s="39"/>
      <c r="CW402" s="39"/>
      <c r="CX402" s="39"/>
      <c r="CY402" s="39"/>
      <c r="CZ402" s="39"/>
      <c r="DA402" s="39"/>
      <c r="DB402" s="39"/>
      <c r="DC402" s="39"/>
    </row>
    <row r="403" spans="1:107" s="92" customFormat="1" ht="39.950000000000003" customHeight="1" x14ac:dyDescent="0.25">
      <c r="A403"/>
      <c r="B403"/>
      <c r="C403"/>
      <c r="D403"/>
      <c r="E403"/>
      <c r="F403"/>
      <c r="G403"/>
      <c r="H403"/>
      <c r="I403" s="68"/>
      <c r="J403" s="71"/>
      <c r="K403"/>
      <c r="L403"/>
      <c r="M403"/>
      <c r="N403"/>
      <c r="O403"/>
      <c r="P403"/>
      <c r="Q403" s="121"/>
      <c r="R403"/>
      <c r="S403"/>
      <c r="T403" s="229"/>
      <c r="U403" s="229"/>
      <c r="V403" s="229"/>
      <c r="W403" s="229"/>
      <c r="X403" s="229"/>
      <c r="Y403" s="136"/>
      <c r="Z403" s="166"/>
      <c r="AA403" s="166"/>
      <c r="AB403" s="71"/>
      <c r="AC403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  <c r="BA403" s="39"/>
      <c r="BB403" s="39"/>
      <c r="BC403" s="39"/>
      <c r="BD403" s="39"/>
      <c r="BE403" s="39"/>
      <c r="BF403" s="39"/>
      <c r="BG403" s="39"/>
      <c r="BH403" s="39"/>
      <c r="BI403" s="39"/>
      <c r="BJ403" s="39"/>
      <c r="BK403" s="39"/>
      <c r="BL403" s="39"/>
      <c r="BM403" s="39"/>
      <c r="BN403" s="39"/>
      <c r="BO403" s="39"/>
      <c r="BP403" s="39"/>
      <c r="BQ403" s="39"/>
      <c r="BR403" s="39"/>
      <c r="BS403" s="39"/>
      <c r="BT403" s="39"/>
      <c r="BU403" s="39"/>
      <c r="BV403" s="39"/>
      <c r="BW403" s="39"/>
      <c r="BX403" s="39"/>
      <c r="BY403" s="39"/>
      <c r="BZ403" s="39"/>
      <c r="CA403" s="39"/>
      <c r="CB403" s="39"/>
      <c r="CC403" s="39"/>
      <c r="CD403" s="39"/>
      <c r="CE403" s="39"/>
      <c r="CF403" s="39"/>
      <c r="CG403" s="39"/>
      <c r="CH403" s="39"/>
      <c r="CI403" s="39"/>
      <c r="CJ403" s="39"/>
      <c r="CK403" s="39"/>
      <c r="CL403" s="39"/>
      <c r="CM403" s="39"/>
      <c r="CN403" s="39"/>
      <c r="CO403" s="39"/>
      <c r="CP403" s="39"/>
      <c r="CQ403" s="39"/>
      <c r="CR403" s="39"/>
      <c r="CS403" s="39"/>
      <c r="CT403" s="39"/>
      <c r="CU403" s="39"/>
      <c r="CV403" s="39"/>
      <c r="CW403" s="39"/>
      <c r="CX403" s="39"/>
      <c r="CY403" s="39"/>
      <c r="CZ403" s="39"/>
      <c r="DA403" s="39"/>
      <c r="DB403" s="39"/>
      <c r="DC403" s="39"/>
    </row>
    <row r="404" spans="1:107" s="92" customFormat="1" ht="39.950000000000003" customHeight="1" x14ac:dyDescent="0.25">
      <c r="A404"/>
      <c r="B404"/>
      <c r="C404"/>
      <c r="D404"/>
      <c r="E404"/>
      <c r="F404"/>
      <c r="G404"/>
      <c r="H404"/>
      <c r="I404" s="68"/>
      <c r="J404" s="71"/>
      <c r="K404"/>
      <c r="L404"/>
      <c r="M404"/>
      <c r="N404"/>
      <c r="O404"/>
      <c r="P404"/>
      <c r="Q404" s="121"/>
      <c r="R404"/>
      <c r="S404"/>
      <c r="T404" s="229"/>
      <c r="U404" s="229"/>
      <c r="V404" s="229"/>
      <c r="W404" s="229"/>
      <c r="X404" s="229"/>
      <c r="Y404" s="136"/>
      <c r="Z404" s="166"/>
      <c r="AA404" s="166"/>
      <c r="AB404" s="71"/>
      <c r="AC404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  <c r="BA404" s="39"/>
      <c r="BB404" s="39"/>
      <c r="BC404" s="39"/>
      <c r="BD404" s="39"/>
      <c r="BE404" s="39"/>
      <c r="BF404" s="39"/>
      <c r="BG404" s="39"/>
      <c r="BH404" s="39"/>
      <c r="BI404" s="39"/>
      <c r="BJ404" s="39"/>
      <c r="BK404" s="39"/>
      <c r="BL404" s="39"/>
      <c r="BM404" s="39"/>
      <c r="BN404" s="39"/>
      <c r="BO404" s="39"/>
      <c r="BP404" s="39"/>
      <c r="BQ404" s="39"/>
      <c r="BR404" s="39"/>
      <c r="BS404" s="39"/>
      <c r="BT404" s="39"/>
      <c r="BU404" s="39"/>
      <c r="BV404" s="39"/>
      <c r="BW404" s="39"/>
      <c r="BX404" s="39"/>
      <c r="BY404" s="39"/>
      <c r="BZ404" s="39"/>
      <c r="CA404" s="39"/>
      <c r="CB404" s="39"/>
      <c r="CC404" s="39"/>
      <c r="CD404" s="39"/>
      <c r="CE404" s="39"/>
      <c r="CF404" s="39"/>
      <c r="CG404" s="39"/>
      <c r="CH404" s="39"/>
      <c r="CI404" s="39"/>
      <c r="CJ404" s="39"/>
      <c r="CK404" s="39"/>
      <c r="CL404" s="39"/>
      <c r="CM404" s="39"/>
      <c r="CN404" s="39"/>
      <c r="CO404" s="39"/>
      <c r="CP404" s="39"/>
      <c r="CQ404" s="39"/>
      <c r="CR404" s="39"/>
      <c r="CS404" s="39"/>
      <c r="CT404" s="39"/>
      <c r="CU404" s="39"/>
      <c r="CV404" s="39"/>
      <c r="CW404" s="39"/>
      <c r="CX404" s="39"/>
      <c r="CY404" s="39"/>
      <c r="CZ404" s="39"/>
      <c r="DA404" s="39"/>
      <c r="DB404" s="39"/>
      <c r="DC404" s="39"/>
    </row>
    <row r="405" spans="1:107" s="92" customFormat="1" ht="39.950000000000003" customHeight="1" x14ac:dyDescent="0.25">
      <c r="A405"/>
      <c r="B405"/>
      <c r="C405"/>
      <c r="D405"/>
      <c r="E405"/>
      <c r="F405"/>
      <c r="G405"/>
      <c r="H405"/>
      <c r="I405" s="68"/>
      <c r="J405" s="71"/>
      <c r="K405"/>
      <c r="L405"/>
      <c r="M405"/>
      <c r="N405"/>
      <c r="O405"/>
      <c r="P405"/>
      <c r="Q405" s="121"/>
      <c r="R405"/>
      <c r="S405"/>
      <c r="T405" s="229"/>
      <c r="U405" s="229"/>
      <c r="V405" s="229"/>
      <c r="W405" s="229"/>
      <c r="X405" s="229"/>
      <c r="Y405" s="136"/>
      <c r="Z405" s="166"/>
      <c r="AA405" s="166"/>
      <c r="AB405" s="71"/>
      <c r="AC405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  <c r="BA405" s="39"/>
      <c r="BB405" s="39"/>
      <c r="BC405" s="39"/>
      <c r="BD405" s="39"/>
      <c r="BE405" s="39"/>
      <c r="BF405" s="39"/>
      <c r="BG405" s="39"/>
      <c r="BH405" s="39"/>
      <c r="BI405" s="39"/>
      <c r="BJ405" s="39"/>
      <c r="BK405" s="39"/>
      <c r="BL405" s="39"/>
      <c r="BM405" s="39"/>
      <c r="BN405" s="39"/>
      <c r="BO405" s="39"/>
      <c r="BP405" s="39"/>
      <c r="BQ405" s="39"/>
      <c r="BR405" s="39"/>
      <c r="BS405" s="39"/>
      <c r="BT405" s="39"/>
      <c r="BU405" s="39"/>
      <c r="BV405" s="39"/>
      <c r="BW405" s="39"/>
      <c r="BX405" s="39"/>
      <c r="BY405" s="39"/>
      <c r="BZ405" s="39"/>
      <c r="CA405" s="39"/>
      <c r="CB405" s="39"/>
      <c r="CC405" s="39"/>
      <c r="CD405" s="39"/>
      <c r="CE405" s="39"/>
      <c r="CF405" s="39"/>
      <c r="CG405" s="39"/>
      <c r="CH405" s="39"/>
      <c r="CI405" s="39"/>
      <c r="CJ405" s="39"/>
      <c r="CK405" s="39"/>
      <c r="CL405" s="39"/>
      <c r="CM405" s="39"/>
      <c r="CN405" s="39"/>
      <c r="CO405" s="39"/>
      <c r="CP405" s="39"/>
      <c r="CQ405" s="39"/>
      <c r="CR405" s="39"/>
      <c r="CS405" s="39"/>
      <c r="CT405" s="39"/>
      <c r="CU405" s="39"/>
      <c r="CV405" s="39"/>
      <c r="CW405" s="39"/>
      <c r="CX405" s="39"/>
      <c r="CY405" s="39"/>
      <c r="CZ405" s="39"/>
      <c r="DA405" s="39"/>
      <c r="DB405" s="39"/>
      <c r="DC405" s="39"/>
    </row>
    <row r="406" spans="1:107" s="92" customFormat="1" ht="39.950000000000003" customHeight="1" x14ac:dyDescent="0.25">
      <c r="A406"/>
      <c r="B406"/>
      <c r="C406"/>
      <c r="D406"/>
      <c r="E406"/>
      <c r="F406"/>
      <c r="G406"/>
      <c r="H406"/>
      <c r="I406" s="68"/>
      <c r="J406" s="71"/>
      <c r="K406"/>
      <c r="L406"/>
      <c r="M406"/>
      <c r="N406"/>
      <c r="O406"/>
      <c r="P406"/>
      <c r="Q406" s="121"/>
      <c r="R406"/>
      <c r="S406"/>
      <c r="T406" s="229"/>
      <c r="U406" s="229"/>
      <c r="V406" s="229"/>
      <c r="W406" s="229"/>
      <c r="X406" s="229"/>
      <c r="Y406" s="136"/>
      <c r="Z406" s="166"/>
      <c r="AA406" s="166"/>
      <c r="AB406" s="71"/>
      <c r="AC406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  <c r="BA406" s="39"/>
      <c r="BB406" s="39"/>
      <c r="BC406" s="39"/>
      <c r="BD406" s="39"/>
      <c r="BE406" s="39"/>
      <c r="BF406" s="39"/>
      <c r="BG406" s="39"/>
      <c r="BH406" s="39"/>
      <c r="BI406" s="39"/>
      <c r="BJ406" s="39"/>
      <c r="BK406" s="39"/>
      <c r="BL406" s="39"/>
      <c r="BM406" s="39"/>
      <c r="BN406" s="39"/>
      <c r="BO406" s="39"/>
      <c r="BP406" s="39"/>
      <c r="BQ406" s="39"/>
      <c r="BR406" s="39"/>
      <c r="BS406" s="39"/>
      <c r="BT406" s="39"/>
      <c r="BU406" s="39"/>
      <c r="BV406" s="39"/>
      <c r="BW406" s="39"/>
      <c r="BX406" s="39"/>
      <c r="BY406" s="39"/>
      <c r="BZ406" s="39"/>
      <c r="CA406" s="39"/>
      <c r="CB406" s="39"/>
      <c r="CC406" s="39"/>
      <c r="CD406" s="39"/>
      <c r="CE406" s="39"/>
      <c r="CF406" s="39"/>
      <c r="CG406" s="39"/>
      <c r="CH406" s="39"/>
      <c r="CI406" s="39"/>
      <c r="CJ406" s="39"/>
      <c r="CK406" s="39"/>
      <c r="CL406" s="39"/>
      <c r="CM406" s="39"/>
      <c r="CN406" s="39"/>
      <c r="CO406" s="39"/>
      <c r="CP406" s="39"/>
      <c r="CQ406" s="39"/>
      <c r="CR406" s="39"/>
      <c r="CS406" s="39"/>
      <c r="CT406" s="39"/>
      <c r="CU406" s="39"/>
      <c r="CV406" s="39"/>
      <c r="CW406" s="39"/>
      <c r="CX406" s="39"/>
      <c r="CY406" s="39"/>
      <c r="CZ406" s="39"/>
      <c r="DA406" s="39"/>
      <c r="DB406" s="39"/>
      <c r="DC406" s="39"/>
    </row>
    <row r="407" spans="1:107" s="92" customFormat="1" ht="39.950000000000003" customHeight="1" x14ac:dyDescent="0.25">
      <c r="A407"/>
      <c r="B407"/>
      <c r="C407"/>
      <c r="D407"/>
      <c r="E407"/>
      <c r="F407"/>
      <c r="G407"/>
      <c r="H407"/>
      <c r="I407" s="68"/>
      <c r="J407" s="71"/>
      <c r="K407"/>
      <c r="L407"/>
      <c r="M407"/>
      <c r="N407"/>
      <c r="O407"/>
      <c r="P407"/>
      <c r="Q407" s="121"/>
      <c r="R407"/>
      <c r="S407"/>
      <c r="T407" s="229"/>
      <c r="U407" s="229"/>
      <c r="V407" s="229"/>
      <c r="W407" s="229"/>
      <c r="X407" s="229"/>
      <c r="Y407" s="136"/>
      <c r="Z407" s="166"/>
      <c r="AA407" s="166"/>
      <c r="AB407" s="71"/>
      <c r="AC407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  <c r="BA407" s="39"/>
      <c r="BB407" s="39"/>
      <c r="BC407" s="39"/>
      <c r="BD407" s="39"/>
      <c r="BE407" s="39"/>
      <c r="BF407" s="39"/>
      <c r="BG407" s="39"/>
      <c r="BH407" s="39"/>
      <c r="BI407" s="39"/>
      <c r="BJ407" s="39"/>
      <c r="BK407" s="39"/>
      <c r="BL407" s="39"/>
      <c r="BM407" s="39"/>
      <c r="BN407" s="39"/>
      <c r="BO407" s="39"/>
      <c r="BP407" s="39"/>
      <c r="BQ407" s="39"/>
      <c r="BR407" s="39"/>
      <c r="BS407" s="39"/>
      <c r="BT407" s="39"/>
      <c r="BU407" s="39"/>
      <c r="BV407" s="39"/>
      <c r="BW407" s="39"/>
      <c r="BX407" s="39"/>
      <c r="BY407" s="39"/>
      <c r="BZ407" s="39"/>
      <c r="CA407" s="39"/>
      <c r="CB407" s="39"/>
      <c r="CC407" s="39"/>
      <c r="CD407" s="39"/>
      <c r="CE407" s="39"/>
      <c r="CF407" s="39"/>
      <c r="CG407" s="39"/>
      <c r="CH407" s="39"/>
      <c r="CI407" s="39"/>
      <c r="CJ407" s="39"/>
      <c r="CK407" s="39"/>
      <c r="CL407" s="39"/>
      <c r="CM407" s="39"/>
      <c r="CN407" s="39"/>
      <c r="CO407" s="39"/>
      <c r="CP407" s="39"/>
      <c r="CQ407" s="39"/>
      <c r="CR407" s="39"/>
      <c r="CS407" s="39"/>
      <c r="CT407" s="39"/>
      <c r="CU407" s="39"/>
      <c r="CV407" s="39"/>
      <c r="CW407" s="39"/>
      <c r="CX407" s="39"/>
      <c r="CY407" s="39"/>
      <c r="CZ407" s="39"/>
      <c r="DA407" s="39"/>
      <c r="DB407" s="39"/>
      <c r="DC407" s="39"/>
    </row>
    <row r="408" spans="1:107" s="92" customFormat="1" ht="39.950000000000003" customHeight="1" x14ac:dyDescent="0.25">
      <c r="A408"/>
      <c r="B408"/>
      <c r="C408"/>
      <c r="D408"/>
      <c r="E408"/>
      <c r="F408"/>
      <c r="G408"/>
      <c r="H408"/>
      <c r="I408" s="68"/>
      <c r="J408" s="71"/>
      <c r="K408"/>
      <c r="L408"/>
      <c r="M408"/>
      <c r="N408"/>
      <c r="O408"/>
      <c r="P408"/>
      <c r="Q408" s="121"/>
      <c r="R408"/>
      <c r="S408"/>
      <c r="T408" s="229"/>
      <c r="U408" s="229"/>
      <c r="V408" s="229"/>
      <c r="W408" s="229"/>
      <c r="X408" s="229"/>
      <c r="Y408" s="136"/>
      <c r="Z408" s="166"/>
      <c r="AA408" s="166"/>
      <c r="AB408" s="71"/>
      <c r="AC408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  <c r="BA408" s="39"/>
      <c r="BB408" s="39"/>
      <c r="BC408" s="39"/>
      <c r="BD408" s="39"/>
      <c r="BE408" s="39"/>
      <c r="BF408" s="39"/>
      <c r="BG408" s="39"/>
      <c r="BH408" s="39"/>
      <c r="BI408" s="39"/>
      <c r="BJ408" s="39"/>
      <c r="BK408" s="39"/>
      <c r="BL408" s="39"/>
      <c r="BM408" s="39"/>
      <c r="BN408" s="39"/>
      <c r="BO408" s="39"/>
      <c r="BP408" s="39"/>
      <c r="BQ408" s="39"/>
      <c r="BR408" s="39"/>
      <c r="BS408" s="39"/>
      <c r="BT408" s="39"/>
      <c r="BU408" s="39"/>
      <c r="BV408" s="39"/>
      <c r="BW408" s="39"/>
      <c r="BX408" s="39"/>
      <c r="BY408" s="39"/>
      <c r="BZ408" s="39"/>
      <c r="CA408" s="39"/>
      <c r="CB408" s="39"/>
      <c r="CC408" s="39"/>
      <c r="CD408" s="39"/>
      <c r="CE408" s="39"/>
      <c r="CF408" s="39"/>
      <c r="CG408" s="39"/>
      <c r="CH408" s="39"/>
      <c r="CI408" s="39"/>
      <c r="CJ408" s="39"/>
      <c r="CK408" s="39"/>
      <c r="CL408" s="39"/>
      <c r="CM408" s="39"/>
      <c r="CN408" s="39"/>
      <c r="CO408" s="39"/>
      <c r="CP408" s="39"/>
      <c r="CQ408" s="39"/>
      <c r="CR408" s="39"/>
      <c r="CS408" s="39"/>
      <c r="CT408" s="39"/>
      <c r="CU408" s="39"/>
      <c r="CV408" s="39"/>
      <c r="CW408" s="39"/>
      <c r="CX408" s="39"/>
      <c r="CY408" s="39"/>
      <c r="CZ408" s="39"/>
      <c r="DA408" s="39"/>
      <c r="DB408" s="39"/>
      <c r="DC408" s="39"/>
    </row>
    <row r="409" spans="1:107" s="92" customFormat="1" ht="39.950000000000003" customHeight="1" x14ac:dyDescent="0.25">
      <c r="A409"/>
      <c r="B409"/>
      <c r="C409"/>
      <c r="D409"/>
      <c r="E409"/>
      <c r="F409"/>
      <c r="G409"/>
      <c r="H409"/>
      <c r="I409" s="68"/>
      <c r="J409" s="71"/>
      <c r="K409"/>
      <c r="L409"/>
      <c r="M409"/>
      <c r="N409"/>
      <c r="O409"/>
      <c r="P409"/>
      <c r="Q409" s="121"/>
      <c r="R409"/>
      <c r="S409"/>
      <c r="T409" s="229"/>
      <c r="U409" s="229"/>
      <c r="V409" s="229"/>
      <c r="W409" s="229"/>
      <c r="X409" s="229"/>
      <c r="Y409" s="136"/>
      <c r="Z409" s="166"/>
      <c r="AA409" s="166"/>
      <c r="AB409" s="71"/>
      <c r="AC40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  <c r="BA409" s="39"/>
      <c r="BB409" s="39"/>
      <c r="BC409" s="39"/>
      <c r="BD409" s="39"/>
      <c r="BE409" s="39"/>
      <c r="BF409" s="39"/>
      <c r="BG409" s="39"/>
      <c r="BH409" s="39"/>
      <c r="BI409" s="39"/>
      <c r="BJ409" s="39"/>
      <c r="BK409" s="39"/>
      <c r="BL409" s="39"/>
      <c r="BM409" s="39"/>
      <c r="BN409" s="39"/>
      <c r="BO409" s="39"/>
      <c r="BP409" s="39"/>
      <c r="BQ409" s="39"/>
      <c r="BR409" s="39"/>
      <c r="BS409" s="39"/>
      <c r="BT409" s="39"/>
      <c r="BU409" s="39"/>
      <c r="BV409" s="39"/>
      <c r="BW409" s="39"/>
      <c r="BX409" s="39"/>
      <c r="BY409" s="39"/>
      <c r="BZ409" s="39"/>
      <c r="CA409" s="39"/>
      <c r="CB409" s="39"/>
      <c r="CC409" s="39"/>
      <c r="CD409" s="39"/>
      <c r="CE409" s="39"/>
      <c r="CF409" s="39"/>
      <c r="CG409" s="39"/>
      <c r="CH409" s="39"/>
      <c r="CI409" s="39"/>
      <c r="CJ409" s="39"/>
      <c r="CK409" s="39"/>
      <c r="CL409" s="39"/>
      <c r="CM409" s="39"/>
      <c r="CN409" s="39"/>
      <c r="CO409" s="39"/>
      <c r="CP409" s="39"/>
      <c r="CQ409" s="39"/>
      <c r="CR409" s="39"/>
      <c r="CS409" s="39"/>
      <c r="CT409" s="39"/>
      <c r="CU409" s="39"/>
      <c r="CV409" s="39"/>
      <c r="CW409" s="39"/>
      <c r="CX409" s="39"/>
      <c r="CY409" s="39"/>
      <c r="CZ409" s="39"/>
      <c r="DA409" s="39"/>
      <c r="DB409" s="39"/>
      <c r="DC409" s="39"/>
    </row>
    <row r="410" spans="1:107" s="92" customFormat="1" ht="39.950000000000003" customHeight="1" x14ac:dyDescent="0.25">
      <c r="A410"/>
      <c r="B410"/>
      <c r="C410"/>
      <c r="D410"/>
      <c r="E410"/>
      <c r="F410"/>
      <c r="G410"/>
      <c r="H410"/>
      <c r="I410" s="68"/>
      <c r="J410" s="71"/>
      <c r="K410"/>
      <c r="L410"/>
      <c r="M410"/>
      <c r="N410"/>
      <c r="O410"/>
      <c r="P410"/>
      <c r="Q410" s="121"/>
      <c r="R410"/>
      <c r="S410"/>
      <c r="T410" s="229"/>
      <c r="U410" s="229"/>
      <c r="V410" s="229"/>
      <c r="W410" s="229"/>
      <c r="X410" s="229"/>
      <c r="Y410" s="136"/>
      <c r="Z410" s="166"/>
      <c r="AA410" s="166"/>
      <c r="AB410" s="71"/>
      <c r="AC410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  <c r="BA410" s="39"/>
      <c r="BB410" s="39"/>
      <c r="BC410" s="39"/>
      <c r="BD410" s="39"/>
      <c r="BE410" s="39"/>
      <c r="BF410" s="39"/>
      <c r="BG410" s="39"/>
      <c r="BH410" s="39"/>
      <c r="BI410" s="39"/>
      <c r="BJ410" s="39"/>
      <c r="BK410" s="39"/>
      <c r="BL410" s="39"/>
      <c r="BM410" s="39"/>
      <c r="BN410" s="39"/>
      <c r="BO410" s="39"/>
      <c r="BP410" s="39"/>
      <c r="BQ410" s="39"/>
      <c r="BR410" s="39"/>
      <c r="BS410" s="39"/>
      <c r="BT410" s="39"/>
      <c r="BU410" s="39"/>
      <c r="BV410" s="39"/>
      <c r="BW410" s="39"/>
      <c r="BX410" s="39"/>
      <c r="BY410" s="39"/>
      <c r="BZ410" s="39"/>
      <c r="CA410" s="39"/>
      <c r="CB410" s="39"/>
      <c r="CC410" s="39"/>
      <c r="CD410" s="39"/>
      <c r="CE410" s="39"/>
      <c r="CF410" s="39"/>
      <c r="CG410" s="39"/>
      <c r="CH410" s="39"/>
      <c r="CI410" s="39"/>
      <c r="CJ410" s="39"/>
      <c r="CK410" s="39"/>
      <c r="CL410" s="39"/>
      <c r="CM410" s="39"/>
      <c r="CN410" s="39"/>
      <c r="CO410" s="39"/>
      <c r="CP410" s="39"/>
      <c r="CQ410" s="39"/>
      <c r="CR410" s="39"/>
      <c r="CS410" s="39"/>
      <c r="CT410" s="39"/>
      <c r="CU410" s="39"/>
      <c r="CV410" s="39"/>
      <c r="CW410" s="39"/>
      <c r="CX410" s="39"/>
      <c r="CY410" s="39"/>
      <c r="CZ410" s="39"/>
      <c r="DA410" s="39"/>
      <c r="DB410" s="39"/>
      <c r="DC410" s="39"/>
    </row>
    <row r="411" spans="1:107" s="92" customFormat="1" ht="39.950000000000003" customHeight="1" x14ac:dyDescent="0.25">
      <c r="A411"/>
      <c r="B411"/>
      <c r="C411"/>
      <c r="D411"/>
      <c r="E411"/>
      <c r="F411"/>
      <c r="G411"/>
      <c r="H411"/>
      <c r="I411" s="68"/>
      <c r="J411" s="71"/>
      <c r="K411"/>
      <c r="L411"/>
      <c r="M411"/>
      <c r="N411"/>
      <c r="O411"/>
      <c r="P411"/>
      <c r="Q411" s="121"/>
      <c r="R411"/>
      <c r="S411"/>
      <c r="T411" s="229"/>
      <c r="U411" s="229"/>
      <c r="V411" s="229"/>
      <c r="W411" s="229"/>
      <c r="X411" s="229"/>
      <c r="Y411" s="136"/>
      <c r="Z411" s="166"/>
      <c r="AA411" s="166"/>
      <c r="AB411" s="71"/>
      <c r="AC411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  <c r="BA411" s="39"/>
      <c r="BB411" s="39"/>
      <c r="BC411" s="39"/>
      <c r="BD411" s="39"/>
      <c r="BE411" s="39"/>
      <c r="BF411" s="39"/>
      <c r="BG411" s="39"/>
      <c r="BH411" s="39"/>
      <c r="BI411" s="39"/>
      <c r="BJ411" s="39"/>
      <c r="BK411" s="39"/>
      <c r="BL411" s="39"/>
      <c r="BM411" s="39"/>
      <c r="BN411" s="39"/>
      <c r="BO411" s="39"/>
      <c r="BP411" s="39"/>
      <c r="BQ411" s="39"/>
      <c r="BR411" s="39"/>
      <c r="BS411" s="39"/>
      <c r="BT411" s="39"/>
      <c r="BU411" s="39"/>
      <c r="BV411" s="39"/>
      <c r="BW411" s="39"/>
      <c r="BX411" s="39"/>
      <c r="BY411" s="39"/>
      <c r="BZ411" s="39"/>
      <c r="CA411" s="39"/>
      <c r="CB411" s="39"/>
      <c r="CC411" s="39"/>
      <c r="CD411" s="39"/>
      <c r="CE411" s="39"/>
      <c r="CF411" s="39"/>
      <c r="CG411" s="39"/>
      <c r="CH411" s="39"/>
      <c r="CI411" s="39"/>
      <c r="CJ411" s="39"/>
      <c r="CK411" s="39"/>
      <c r="CL411" s="39"/>
      <c r="CM411" s="39"/>
      <c r="CN411" s="39"/>
      <c r="CO411" s="39"/>
      <c r="CP411" s="39"/>
      <c r="CQ411" s="39"/>
      <c r="CR411" s="39"/>
      <c r="CS411" s="39"/>
      <c r="CT411" s="39"/>
      <c r="CU411" s="39"/>
      <c r="CV411" s="39"/>
      <c r="CW411" s="39"/>
      <c r="CX411" s="39"/>
      <c r="CY411" s="39"/>
      <c r="CZ411" s="39"/>
      <c r="DA411" s="39"/>
      <c r="DB411" s="39"/>
      <c r="DC411" s="39"/>
    </row>
    <row r="412" spans="1:107" s="92" customFormat="1" ht="39.950000000000003" customHeight="1" x14ac:dyDescent="0.25">
      <c r="A412"/>
      <c r="B412"/>
      <c r="C412"/>
      <c r="D412"/>
      <c r="E412"/>
      <c r="F412"/>
      <c r="G412"/>
      <c r="H412"/>
      <c r="I412" s="68"/>
      <c r="J412" s="71"/>
      <c r="K412"/>
      <c r="L412"/>
      <c r="M412"/>
      <c r="N412"/>
      <c r="O412"/>
      <c r="P412"/>
      <c r="Q412" s="121"/>
      <c r="R412"/>
      <c r="S412"/>
      <c r="T412" s="229"/>
      <c r="U412" s="229"/>
      <c r="V412" s="229"/>
      <c r="W412" s="229"/>
      <c r="X412" s="229"/>
      <c r="Y412" s="136"/>
      <c r="Z412" s="166"/>
      <c r="AA412" s="166"/>
      <c r="AB412" s="71"/>
      <c r="AC412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  <c r="BA412" s="39"/>
      <c r="BB412" s="39"/>
      <c r="BC412" s="39"/>
      <c r="BD412" s="39"/>
      <c r="BE412" s="39"/>
      <c r="BF412" s="39"/>
      <c r="BG412" s="39"/>
      <c r="BH412" s="39"/>
      <c r="BI412" s="39"/>
      <c r="BJ412" s="39"/>
      <c r="BK412" s="39"/>
      <c r="BL412" s="39"/>
      <c r="BM412" s="39"/>
      <c r="BN412" s="39"/>
      <c r="BO412" s="39"/>
      <c r="BP412" s="39"/>
      <c r="BQ412" s="39"/>
      <c r="BR412" s="39"/>
      <c r="BS412" s="39"/>
      <c r="BT412" s="39"/>
      <c r="BU412" s="39"/>
      <c r="BV412" s="39"/>
      <c r="BW412" s="39"/>
      <c r="BX412" s="39"/>
      <c r="BY412" s="39"/>
      <c r="BZ412" s="39"/>
      <c r="CA412" s="39"/>
      <c r="CB412" s="39"/>
      <c r="CC412" s="39"/>
      <c r="CD412" s="39"/>
      <c r="CE412" s="39"/>
      <c r="CF412" s="39"/>
      <c r="CG412" s="39"/>
      <c r="CH412" s="39"/>
      <c r="CI412" s="39"/>
      <c r="CJ412" s="39"/>
      <c r="CK412" s="39"/>
      <c r="CL412" s="39"/>
      <c r="CM412" s="39"/>
      <c r="CN412" s="39"/>
      <c r="CO412" s="39"/>
      <c r="CP412" s="39"/>
      <c r="CQ412" s="39"/>
      <c r="CR412" s="39"/>
      <c r="CS412" s="39"/>
      <c r="CT412" s="39"/>
      <c r="CU412" s="39"/>
      <c r="CV412" s="39"/>
      <c r="CW412" s="39"/>
      <c r="CX412" s="39"/>
      <c r="CY412" s="39"/>
      <c r="CZ412" s="39"/>
      <c r="DA412" s="39"/>
      <c r="DB412" s="39"/>
      <c r="DC412" s="39"/>
    </row>
    <row r="413" spans="1:107" s="92" customFormat="1" ht="39.950000000000003" customHeight="1" x14ac:dyDescent="0.25">
      <c r="A413"/>
      <c r="B413"/>
      <c r="C413"/>
      <c r="D413"/>
      <c r="E413"/>
      <c r="F413"/>
      <c r="G413"/>
      <c r="H413"/>
      <c r="I413" s="68"/>
      <c r="J413" s="71"/>
      <c r="K413"/>
      <c r="L413"/>
      <c r="M413"/>
      <c r="N413"/>
      <c r="O413"/>
      <c r="P413"/>
      <c r="Q413" s="121"/>
      <c r="R413"/>
      <c r="S413"/>
      <c r="T413" s="229"/>
      <c r="U413" s="229"/>
      <c r="V413" s="229"/>
      <c r="W413" s="229"/>
      <c r="X413" s="229"/>
      <c r="Y413" s="136"/>
      <c r="Z413" s="166"/>
      <c r="AA413" s="166"/>
      <c r="AB413" s="71"/>
      <c r="AC413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  <c r="BA413" s="39"/>
      <c r="BB413" s="39"/>
      <c r="BC413" s="39"/>
      <c r="BD413" s="39"/>
      <c r="BE413" s="39"/>
      <c r="BF413" s="39"/>
      <c r="BG413" s="39"/>
      <c r="BH413" s="39"/>
      <c r="BI413" s="39"/>
      <c r="BJ413" s="39"/>
      <c r="BK413" s="39"/>
      <c r="BL413" s="39"/>
      <c r="BM413" s="39"/>
      <c r="BN413" s="39"/>
      <c r="BO413" s="39"/>
      <c r="BP413" s="39"/>
      <c r="BQ413" s="39"/>
      <c r="BR413" s="39"/>
      <c r="BS413" s="39"/>
      <c r="BT413" s="39"/>
      <c r="BU413" s="39"/>
      <c r="BV413" s="39"/>
      <c r="BW413" s="39"/>
      <c r="BX413" s="39"/>
      <c r="BY413" s="39"/>
      <c r="BZ413" s="39"/>
      <c r="CA413" s="39"/>
      <c r="CB413" s="39"/>
      <c r="CC413" s="39"/>
      <c r="CD413" s="39"/>
      <c r="CE413" s="39"/>
      <c r="CF413" s="39"/>
      <c r="CG413" s="39"/>
      <c r="CH413" s="39"/>
      <c r="CI413" s="39"/>
      <c r="CJ413" s="39"/>
      <c r="CK413" s="39"/>
      <c r="CL413" s="39"/>
      <c r="CM413" s="39"/>
      <c r="CN413" s="39"/>
      <c r="CO413" s="39"/>
      <c r="CP413" s="39"/>
      <c r="CQ413" s="39"/>
      <c r="CR413" s="39"/>
      <c r="CS413" s="39"/>
      <c r="CT413" s="39"/>
      <c r="CU413" s="39"/>
      <c r="CV413" s="39"/>
      <c r="CW413" s="39"/>
      <c r="CX413" s="39"/>
      <c r="CY413" s="39"/>
      <c r="CZ413" s="39"/>
      <c r="DA413" s="39"/>
      <c r="DB413" s="39"/>
      <c r="DC413" s="39"/>
    </row>
    <row r="414" spans="1:107" s="92" customFormat="1" ht="39.950000000000003" customHeight="1" x14ac:dyDescent="0.25">
      <c r="A414"/>
      <c r="B414"/>
      <c r="C414"/>
      <c r="D414"/>
      <c r="E414"/>
      <c r="F414"/>
      <c r="G414"/>
      <c r="H414"/>
      <c r="I414" s="68"/>
      <c r="J414" s="71"/>
      <c r="K414"/>
      <c r="L414"/>
      <c r="M414"/>
      <c r="N414"/>
      <c r="O414"/>
      <c r="P414"/>
      <c r="Q414" s="121"/>
      <c r="R414"/>
      <c r="S414"/>
      <c r="T414" s="229"/>
      <c r="U414" s="229"/>
      <c r="V414" s="229"/>
      <c r="W414" s="229"/>
      <c r="X414" s="229"/>
      <c r="Y414" s="136"/>
      <c r="Z414" s="166"/>
      <c r="AA414" s="166"/>
      <c r="AB414" s="71"/>
      <c r="AC414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  <c r="BA414" s="39"/>
      <c r="BB414" s="39"/>
      <c r="BC414" s="39"/>
      <c r="BD414" s="39"/>
      <c r="BE414" s="39"/>
      <c r="BF414" s="39"/>
      <c r="BG414" s="39"/>
      <c r="BH414" s="39"/>
      <c r="BI414" s="39"/>
      <c r="BJ414" s="39"/>
      <c r="BK414" s="39"/>
      <c r="BL414" s="39"/>
      <c r="BM414" s="39"/>
      <c r="BN414" s="39"/>
      <c r="BO414" s="39"/>
      <c r="BP414" s="39"/>
      <c r="BQ414" s="39"/>
      <c r="BR414" s="39"/>
      <c r="BS414" s="39"/>
      <c r="BT414" s="39"/>
      <c r="BU414" s="39"/>
      <c r="BV414" s="39"/>
      <c r="BW414" s="39"/>
      <c r="BX414" s="39"/>
      <c r="BY414" s="39"/>
      <c r="BZ414" s="39"/>
      <c r="CA414" s="39"/>
      <c r="CB414" s="39"/>
      <c r="CC414" s="39"/>
      <c r="CD414" s="39"/>
      <c r="CE414" s="39"/>
      <c r="CF414" s="39"/>
      <c r="CG414" s="39"/>
      <c r="CH414" s="39"/>
      <c r="CI414" s="39"/>
      <c r="CJ414" s="39"/>
      <c r="CK414" s="39"/>
      <c r="CL414" s="39"/>
      <c r="CM414" s="39"/>
      <c r="CN414" s="39"/>
      <c r="CO414" s="39"/>
      <c r="CP414" s="39"/>
      <c r="CQ414" s="39"/>
      <c r="CR414" s="39"/>
      <c r="CS414" s="39"/>
      <c r="CT414" s="39"/>
      <c r="CU414" s="39"/>
      <c r="CV414" s="39"/>
      <c r="CW414" s="39"/>
      <c r="CX414" s="39"/>
      <c r="CY414" s="39"/>
      <c r="CZ414" s="39"/>
      <c r="DA414" s="39"/>
      <c r="DB414" s="39"/>
      <c r="DC414" s="39"/>
    </row>
    <row r="415" spans="1:107" s="92" customFormat="1" ht="39.950000000000003" customHeight="1" x14ac:dyDescent="0.25">
      <c r="A415"/>
      <c r="B415"/>
      <c r="C415"/>
      <c r="D415"/>
      <c r="E415"/>
      <c r="F415"/>
      <c r="G415"/>
      <c r="H415"/>
      <c r="I415" s="68"/>
      <c r="J415" s="71"/>
      <c r="K415"/>
      <c r="L415"/>
      <c r="M415"/>
      <c r="N415"/>
      <c r="O415"/>
      <c r="P415"/>
      <c r="Q415" s="121"/>
      <c r="R415"/>
      <c r="S415"/>
      <c r="T415" s="229"/>
      <c r="U415" s="229"/>
      <c r="V415" s="229"/>
      <c r="W415" s="229"/>
      <c r="X415" s="229"/>
      <c r="Y415" s="136"/>
      <c r="Z415" s="166"/>
      <c r="AA415" s="166"/>
      <c r="AB415" s="71"/>
      <c r="AC415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  <c r="BA415" s="39"/>
      <c r="BB415" s="39"/>
      <c r="BC415" s="39"/>
      <c r="BD415" s="39"/>
      <c r="BE415" s="39"/>
      <c r="BF415" s="39"/>
      <c r="BG415" s="39"/>
      <c r="BH415" s="39"/>
      <c r="BI415" s="39"/>
      <c r="BJ415" s="39"/>
      <c r="BK415" s="39"/>
      <c r="BL415" s="39"/>
      <c r="BM415" s="39"/>
      <c r="BN415" s="39"/>
      <c r="BO415" s="39"/>
      <c r="BP415" s="39"/>
      <c r="BQ415" s="39"/>
      <c r="BR415" s="39"/>
      <c r="BS415" s="39"/>
      <c r="BT415" s="39"/>
      <c r="BU415" s="39"/>
      <c r="BV415" s="39"/>
      <c r="BW415" s="39"/>
      <c r="BX415" s="39"/>
      <c r="BY415" s="39"/>
      <c r="BZ415" s="39"/>
      <c r="CA415" s="39"/>
      <c r="CB415" s="39"/>
      <c r="CC415" s="39"/>
      <c r="CD415" s="39"/>
      <c r="CE415" s="39"/>
      <c r="CF415" s="39"/>
      <c r="CG415" s="39"/>
      <c r="CH415" s="39"/>
      <c r="CI415" s="39"/>
      <c r="CJ415" s="39"/>
      <c r="CK415" s="39"/>
      <c r="CL415" s="39"/>
      <c r="CM415" s="39"/>
      <c r="CN415" s="39"/>
      <c r="CO415" s="39"/>
      <c r="CP415" s="39"/>
      <c r="CQ415" s="39"/>
      <c r="CR415" s="39"/>
      <c r="CS415" s="39"/>
      <c r="CT415" s="39"/>
      <c r="CU415" s="39"/>
      <c r="CV415" s="39"/>
      <c r="CW415" s="39"/>
      <c r="CX415" s="39"/>
      <c r="CY415" s="39"/>
      <c r="CZ415" s="39"/>
      <c r="DA415" s="39"/>
      <c r="DB415" s="39"/>
      <c r="DC415" s="39"/>
    </row>
    <row r="416" spans="1:107" s="92" customFormat="1" ht="39.950000000000003" customHeight="1" x14ac:dyDescent="0.25">
      <c r="A416"/>
      <c r="B416"/>
      <c r="C416"/>
      <c r="D416"/>
      <c r="E416"/>
      <c r="F416"/>
      <c r="G416"/>
      <c r="H416"/>
      <c r="I416" s="68"/>
      <c r="J416" s="71"/>
      <c r="K416"/>
      <c r="L416"/>
      <c r="M416"/>
      <c r="N416"/>
      <c r="O416"/>
      <c r="P416"/>
      <c r="Q416" s="121"/>
      <c r="R416"/>
      <c r="S416"/>
      <c r="T416" s="229"/>
      <c r="U416" s="229"/>
      <c r="V416" s="229"/>
      <c r="W416" s="229"/>
      <c r="X416" s="229"/>
      <c r="Y416" s="136"/>
      <c r="Z416" s="166"/>
      <c r="AA416" s="166"/>
      <c r="AB416" s="71"/>
      <c r="AC416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  <c r="BA416" s="39"/>
      <c r="BB416" s="39"/>
      <c r="BC416" s="39"/>
      <c r="BD416" s="39"/>
      <c r="BE416" s="39"/>
      <c r="BF416" s="39"/>
      <c r="BG416" s="39"/>
      <c r="BH416" s="39"/>
      <c r="BI416" s="39"/>
      <c r="BJ416" s="39"/>
      <c r="BK416" s="39"/>
      <c r="BL416" s="39"/>
      <c r="BM416" s="39"/>
      <c r="BN416" s="39"/>
      <c r="BO416" s="39"/>
      <c r="BP416" s="39"/>
      <c r="BQ416" s="39"/>
      <c r="BR416" s="39"/>
      <c r="BS416" s="39"/>
      <c r="BT416" s="39"/>
      <c r="BU416" s="39"/>
      <c r="BV416" s="39"/>
      <c r="BW416" s="39"/>
      <c r="BX416" s="39"/>
      <c r="BY416" s="39"/>
      <c r="BZ416" s="39"/>
      <c r="CA416" s="39"/>
      <c r="CB416" s="39"/>
      <c r="CC416" s="39"/>
      <c r="CD416" s="39"/>
      <c r="CE416" s="39"/>
      <c r="CF416" s="39"/>
      <c r="CG416" s="39"/>
      <c r="CH416" s="39"/>
      <c r="CI416" s="39"/>
      <c r="CJ416" s="39"/>
      <c r="CK416" s="39"/>
      <c r="CL416" s="39"/>
      <c r="CM416" s="39"/>
      <c r="CN416" s="39"/>
      <c r="CO416" s="39"/>
      <c r="CP416" s="39"/>
      <c r="CQ416" s="39"/>
      <c r="CR416" s="39"/>
      <c r="CS416" s="39"/>
      <c r="CT416" s="39"/>
      <c r="CU416" s="39"/>
      <c r="CV416" s="39"/>
      <c r="CW416" s="39"/>
      <c r="CX416" s="39"/>
      <c r="CY416" s="39"/>
      <c r="CZ416" s="39"/>
      <c r="DA416" s="39"/>
      <c r="DB416" s="39"/>
      <c r="DC416" s="39"/>
    </row>
    <row r="417" spans="1:107" s="92" customFormat="1" ht="39.950000000000003" customHeight="1" x14ac:dyDescent="0.25">
      <c r="A417"/>
      <c r="B417"/>
      <c r="C417"/>
      <c r="D417"/>
      <c r="E417"/>
      <c r="F417"/>
      <c r="G417"/>
      <c r="H417"/>
      <c r="I417" s="68"/>
      <c r="J417" s="71"/>
      <c r="K417"/>
      <c r="L417"/>
      <c r="M417"/>
      <c r="N417"/>
      <c r="O417"/>
      <c r="P417"/>
      <c r="Q417" s="121"/>
      <c r="R417"/>
      <c r="S417"/>
      <c r="T417" s="229"/>
      <c r="U417" s="229"/>
      <c r="V417" s="229"/>
      <c r="W417" s="229"/>
      <c r="X417" s="229"/>
      <c r="Y417" s="136"/>
      <c r="Z417" s="166"/>
      <c r="AA417" s="166"/>
      <c r="AB417" s="71"/>
      <c r="AC417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  <c r="BA417" s="39"/>
      <c r="BB417" s="39"/>
      <c r="BC417" s="39"/>
      <c r="BD417" s="39"/>
      <c r="BE417" s="39"/>
      <c r="BF417" s="39"/>
      <c r="BG417" s="39"/>
      <c r="BH417" s="39"/>
      <c r="BI417" s="39"/>
      <c r="BJ417" s="39"/>
      <c r="BK417" s="39"/>
      <c r="BL417" s="39"/>
      <c r="BM417" s="39"/>
      <c r="BN417" s="39"/>
      <c r="BO417" s="39"/>
      <c r="BP417" s="39"/>
      <c r="BQ417" s="39"/>
      <c r="BR417" s="39"/>
      <c r="BS417" s="39"/>
      <c r="BT417" s="39"/>
      <c r="BU417" s="39"/>
      <c r="BV417" s="39"/>
      <c r="BW417" s="39"/>
      <c r="BX417" s="39"/>
      <c r="BY417" s="39"/>
      <c r="BZ417" s="39"/>
      <c r="CA417" s="39"/>
      <c r="CB417" s="39"/>
      <c r="CC417" s="39"/>
      <c r="CD417" s="39"/>
      <c r="CE417" s="39"/>
      <c r="CF417" s="39"/>
      <c r="CG417" s="39"/>
      <c r="CH417" s="39"/>
      <c r="CI417" s="39"/>
      <c r="CJ417" s="39"/>
      <c r="CK417" s="39"/>
      <c r="CL417" s="39"/>
      <c r="CM417" s="39"/>
      <c r="CN417" s="39"/>
      <c r="CO417" s="39"/>
      <c r="CP417" s="39"/>
      <c r="CQ417" s="39"/>
      <c r="CR417" s="39"/>
      <c r="CS417" s="39"/>
      <c r="CT417" s="39"/>
      <c r="CU417" s="39"/>
      <c r="CV417" s="39"/>
      <c r="CW417" s="39"/>
      <c r="CX417" s="39"/>
      <c r="CY417" s="39"/>
      <c r="CZ417" s="39"/>
      <c r="DA417" s="39"/>
      <c r="DB417" s="39"/>
      <c r="DC417" s="39"/>
    </row>
    <row r="418" spans="1:107" s="92" customFormat="1" ht="39.950000000000003" customHeight="1" x14ac:dyDescent="0.25">
      <c r="A418"/>
      <c r="B418"/>
      <c r="C418"/>
      <c r="D418"/>
      <c r="E418"/>
      <c r="F418"/>
      <c r="G418"/>
      <c r="H418"/>
      <c r="I418" s="68"/>
      <c r="J418" s="71"/>
      <c r="K418"/>
      <c r="L418"/>
      <c r="M418"/>
      <c r="N418"/>
      <c r="O418"/>
      <c r="P418"/>
      <c r="Q418" s="121"/>
      <c r="R418"/>
      <c r="S418"/>
      <c r="T418" s="229"/>
      <c r="U418" s="229"/>
      <c r="V418" s="229"/>
      <c r="W418" s="229"/>
      <c r="X418" s="229"/>
      <c r="Y418" s="136"/>
      <c r="Z418" s="166"/>
      <c r="AA418" s="166"/>
      <c r="AB418" s="71"/>
      <c r="AC418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  <c r="BA418" s="39"/>
      <c r="BB418" s="39"/>
      <c r="BC418" s="39"/>
      <c r="BD418" s="39"/>
      <c r="BE418" s="39"/>
      <c r="BF418" s="39"/>
      <c r="BG418" s="39"/>
      <c r="BH418" s="39"/>
      <c r="BI418" s="39"/>
      <c r="BJ418" s="39"/>
      <c r="BK418" s="39"/>
      <c r="BL418" s="39"/>
      <c r="BM418" s="39"/>
      <c r="BN418" s="39"/>
      <c r="BO418" s="39"/>
      <c r="BP418" s="39"/>
      <c r="BQ418" s="39"/>
      <c r="BR418" s="39"/>
      <c r="BS418" s="39"/>
      <c r="BT418" s="39"/>
      <c r="BU418" s="39"/>
      <c r="BV418" s="39"/>
      <c r="BW418" s="39"/>
      <c r="BX418" s="39"/>
      <c r="BY418" s="39"/>
      <c r="BZ418" s="39"/>
      <c r="CA418" s="39"/>
      <c r="CB418" s="39"/>
      <c r="CC418" s="39"/>
      <c r="CD418" s="39"/>
      <c r="CE418" s="39"/>
      <c r="CF418" s="39"/>
      <c r="CG418" s="39"/>
      <c r="CH418" s="39"/>
      <c r="CI418" s="39"/>
      <c r="CJ418" s="39"/>
      <c r="CK418" s="39"/>
      <c r="CL418" s="39"/>
      <c r="CM418" s="39"/>
      <c r="CN418" s="39"/>
      <c r="CO418" s="39"/>
      <c r="CP418" s="39"/>
      <c r="CQ418" s="39"/>
      <c r="CR418" s="39"/>
      <c r="CS418" s="39"/>
      <c r="CT418" s="39"/>
      <c r="CU418" s="39"/>
      <c r="CV418" s="39"/>
      <c r="CW418" s="39"/>
      <c r="CX418" s="39"/>
      <c r="CY418" s="39"/>
      <c r="CZ418" s="39"/>
      <c r="DA418" s="39"/>
      <c r="DB418" s="39"/>
      <c r="DC418" s="39"/>
    </row>
    <row r="419" spans="1:107" s="92" customFormat="1" ht="39.950000000000003" customHeight="1" x14ac:dyDescent="0.25">
      <c r="A419"/>
      <c r="B419"/>
      <c r="C419"/>
      <c r="D419"/>
      <c r="E419"/>
      <c r="F419"/>
      <c r="G419"/>
      <c r="H419"/>
      <c r="I419" s="68"/>
      <c r="J419" s="71"/>
      <c r="K419"/>
      <c r="L419"/>
      <c r="M419"/>
      <c r="N419"/>
      <c r="O419"/>
      <c r="P419"/>
      <c r="Q419" s="121"/>
      <c r="R419"/>
      <c r="S419"/>
      <c r="T419" s="229"/>
      <c r="U419" s="229"/>
      <c r="V419" s="229"/>
      <c r="W419" s="229"/>
      <c r="X419" s="229"/>
      <c r="Y419" s="136"/>
      <c r="Z419" s="166"/>
      <c r="AA419" s="166"/>
      <c r="AB419" s="71"/>
      <c r="AC41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  <c r="BA419" s="39"/>
      <c r="BB419" s="39"/>
      <c r="BC419" s="39"/>
      <c r="BD419" s="39"/>
      <c r="BE419" s="39"/>
      <c r="BF419" s="39"/>
      <c r="BG419" s="39"/>
      <c r="BH419" s="39"/>
      <c r="BI419" s="39"/>
      <c r="BJ419" s="39"/>
      <c r="BK419" s="39"/>
      <c r="BL419" s="39"/>
      <c r="BM419" s="39"/>
      <c r="BN419" s="39"/>
      <c r="BO419" s="39"/>
      <c r="BP419" s="39"/>
      <c r="BQ419" s="39"/>
      <c r="BR419" s="39"/>
      <c r="BS419" s="39"/>
      <c r="BT419" s="39"/>
      <c r="BU419" s="39"/>
      <c r="BV419" s="39"/>
      <c r="BW419" s="39"/>
      <c r="BX419" s="39"/>
      <c r="BY419" s="39"/>
      <c r="BZ419" s="39"/>
      <c r="CA419" s="39"/>
      <c r="CB419" s="39"/>
      <c r="CC419" s="39"/>
      <c r="CD419" s="39"/>
      <c r="CE419" s="39"/>
      <c r="CF419" s="39"/>
      <c r="CG419" s="39"/>
      <c r="CH419" s="39"/>
      <c r="CI419" s="39"/>
      <c r="CJ419" s="39"/>
      <c r="CK419" s="39"/>
      <c r="CL419" s="39"/>
      <c r="CM419" s="39"/>
      <c r="CN419" s="39"/>
      <c r="CO419" s="39"/>
      <c r="CP419" s="39"/>
      <c r="CQ419" s="39"/>
      <c r="CR419" s="39"/>
      <c r="CS419" s="39"/>
      <c r="CT419" s="39"/>
      <c r="CU419" s="39"/>
      <c r="CV419" s="39"/>
      <c r="CW419" s="39"/>
      <c r="CX419" s="39"/>
      <c r="CY419" s="39"/>
      <c r="CZ419" s="39"/>
      <c r="DA419" s="39"/>
      <c r="DB419" s="39"/>
      <c r="DC419" s="39"/>
    </row>
    <row r="420" spans="1:107" s="92" customFormat="1" ht="39.950000000000003" customHeight="1" x14ac:dyDescent="0.25">
      <c r="A420"/>
      <c r="B420"/>
      <c r="C420"/>
      <c r="D420"/>
      <c r="E420"/>
      <c r="F420"/>
      <c r="G420"/>
      <c r="H420"/>
      <c r="I420" s="68"/>
      <c r="J420" s="71"/>
      <c r="K420"/>
      <c r="L420"/>
      <c r="M420"/>
      <c r="N420"/>
      <c r="O420"/>
      <c r="P420"/>
      <c r="Q420" s="121"/>
      <c r="R420"/>
      <c r="S420"/>
      <c r="T420" s="229"/>
      <c r="U420" s="229"/>
      <c r="V420" s="229"/>
      <c r="W420" s="229"/>
      <c r="X420" s="229"/>
      <c r="Y420" s="136"/>
      <c r="Z420" s="166"/>
      <c r="AA420" s="166"/>
      <c r="AB420" s="71"/>
      <c r="AC420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  <c r="BA420" s="39"/>
      <c r="BB420" s="39"/>
      <c r="BC420" s="39"/>
      <c r="BD420" s="39"/>
      <c r="BE420" s="39"/>
      <c r="BF420" s="39"/>
      <c r="BG420" s="39"/>
      <c r="BH420" s="39"/>
      <c r="BI420" s="39"/>
      <c r="BJ420" s="39"/>
      <c r="BK420" s="39"/>
      <c r="BL420" s="39"/>
      <c r="BM420" s="39"/>
      <c r="BN420" s="39"/>
      <c r="BO420" s="39"/>
      <c r="BP420" s="39"/>
      <c r="BQ420" s="39"/>
      <c r="BR420" s="39"/>
      <c r="BS420" s="39"/>
      <c r="BT420" s="39"/>
      <c r="BU420" s="39"/>
      <c r="BV420" s="39"/>
      <c r="BW420" s="39"/>
      <c r="BX420" s="39"/>
      <c r="BY420" s="39"/>
      <c r="BZ420" s="39"/>
      <c r="CA420" s="39"/>
      <c r="CB420" s="39"/>
      <c r="CC420" s="39"/>
      <c r="CD420" s="39"/>
      <c r="CE420" s="39"/>
      <c r="CF420" s="39"/>
      <c r="CG420" s="39"/>
      <c r="CH420" s="39"/>
      <c r="CI420" s="39"/>
      <c r="CJ420" s="39"/>
      <c r="CK420" s="39"/>
      <c r="CL420" s="39"/>
      <c r="CM420" s="39"/>
      <c r="CN420" s="39"/>
      <c r="CO420" s="39"/>
      <c r="CP420" s="39"/>
      <c r="CQ420" s="39"/>
      <c r="CR420" s="39"/>
      <c r="CS420" s="39"/>
      <c r="CT420" s="39"/>
      <c r="CU420" s="39"/>
      <c r="CV420" s="39"/>
      <c r="CW420" s="39"/>
      <c r="CX420" s="39"/>
      <c r="CY420" s="39"/>
      <c r="CZ420" s="39"/>
      <c r="DA420" s="39"/>
      <c r="DB420" s="39"/>
      <c r="DC420" s="39"/>
    </row>
    <row r="421" spans="1:107" s="92" customFormat="1" ht="39.950000000000003" customHeight="1" x14ac:dyDescent="0.25">
      <c r="A421"/>
      <c r="B421"/>
      <c r="C421"/>
      <c r="D421"/>
      <c r="E421"/>
      <c r="F421"/>
      <c r="G421"/>
      <c r="H421"/>
      <c r="I421" s="68"/>
      <c r="J421" s="71"/>
      <c r="K421"/>
      <c r="L421"/>
      <c r="M421"/>
      <c r="N421"/>
      <c r="O421"/>
      <c r="P421"/>
      <c r="Q421" s="121"/>
      <c r="R421"/>
      <c r="S421"/>
      <c r="T421" s="229"/>
      <c r="U421" s="229"/>
      <c r="V421" s="229"/>
      <c r="W421" s="229"/>
      <c r="X421" s="229"/>
      <c r="Y421" s="136"/>
      <c r="Z421" s="166"/>
      <c r="AA421" s="166"/>
      <c r="AB421" s="71"/>
      <c r="AC421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  <c r="BA421" s="39"/>
      <c r="BB421" s="39"/>
      <c r="BC421" s="39"/>
      <c r="BD421" s="39"/>
      <c r="BE421" s="39"/>
      <c r="BF421" s="39"/>
      <c r="BG421" s="39"/>
      <c r="BH421" s="39"/>
      <c r="BI421" s="39"/>
      <c r="BJ421" s="39"/>
      <c r="BK421" s="39"/>
      <c r="BL421" s="39"/>
      <c r="BM421" s="39"/>
      <c r="BN421" s="39"/>
      <c r="BO421" s="39"/>
      <c r="BP421" s="39"/>
      <c r="BQ421" s="39"/>
      <c r="BR421" s="39"/>
      <c r="BS421" s="39"/>
      <c r="BT421" s="39"/>
      <c r="BU421" s="39"/>
      <c r="BV421" s="39"/>
      <c r="BW421" s="39"/>
      <c r="BX421" s="39"/>
      <c r="BY421" s="39"/>
      <c r="BZ421" s="39"/>
      <c r="CA421" s="39"/>
      <c r="CB421" s="39"/>
      <c r="CC421" s="39"/>
      <c r="CD421" s="39"/>
      <c r="CE421" s="39"/>
      <c r="CF421" s="39"/>
      <c r="CG421" s="39"/>
      <c r="CH421" s="39"/>
      <c r="CI421" s="39"/>
      <c r="CJ421" s="39"/>
      <c r="CK421" s="39"/>
      <c r="CL421" s="39"/>
      <c r="CM421" s="39"/>
      <c r="CN421" s="39"/>
      <c r="CO421" s="39"/>
      <c r="CP421" s="39"/>
      <c r="CQ421" s="39"/>
      <c r="CR421" s="39"/>
      <c r="CS421" s="39"/>
      <c r="CT421" s="39"/>
      <c r="CU421" s="39"/>
      <c r="CV421" s="39"/>
      <c r="CW421" s="39"/>
      <c r="CX421" s="39"/>
      <c r="CY421" s="39"/>
      <c r="CZ421" s="39"/>
      <c r="DA421" s="39"/>
      <c r="DB421" s="39"/>
      <c r="DC421" s="39"/>
    </row>
    <row r="422" spans="1:107" s="92" customFormat="1" ht="39.950000000000003" customHeight="1" x14ac:dyDescent="0.25">
      <c r="A422"/>
      <c r="B422"/>
      <c r="C422"/>
      <c r="D422"/>
      <c r="E422"/>
      <c r="F422"/>
      <c r="G422"/>
      <c r="H422"/>
      <c r="I422" s="68"/>
      <c r="J422" s="71"/>
      <c r="K422"/>
      <c r="L422"/>
      <c r="M422"/>
      <c r="N422"/>
      <c r="O422"/>
      <c r="P422"/>
      <c r="Q422" s="121"/>
      <c r="R422"/>
      <c r="S422"/>
      <c r="T422" s="229"/>
      <c r="U422" s="229"/>
      <c r="V422" s="229"/>
      <c r="W422" s="229"/>
      <c r="X422" s="229"/>
      <c r="Y422" s="136"/>
      <c r="Z422" s="166"/>
      <c r="AA422" s="166"/>
      <c r="AB422" s="71"/>
      <c r="AC422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  <c r="BA422" s="39"/>
      <c r="BB422" s="39"/>
      <c r="BC422" s="39"/>
      <c r="BD422" s="39"/>
      <c r="BE422" s="39"/>
      <c r="BF422" s="39"/>
      <c r="BG422" s="39"/>
      <c r="BH422" s="39"/>
      <c r="BI422" s="39"/>
      <c r="BJ422" s="39"/>
      <c r="BK422" s="39"/>
      <c r="BL422" s="39"/>
      <c r="BM422" s="39"/>
      <c r="BN422" s="39"/>
      <c r="BO422" s="39"/>
      <c r="BP422" s="39"/>
      <c r="BQ422" s="39"/>
      <c r="BR422" s="39"/>
      <c r="BS422" s="39"/>
      <c r="BT422" s="39"/>
      <c r="BU422" s="39"/>
      <c r="BV422" s="39"/>
      <c r="BW422" s="39"/>
      <c r="BX422" s="39"/>
      <c r="BY422" s="39"/>
      <c r="BZ422" s="39"/>
      <c r="CA422" s="39"/>
      <c r="CB422" s="39"/>
      <c r="CC422" s="39"/>
      <c r="CD422" s="39"/>
      <c r="CE422" s="39"/>
      <c r="CF422" s="39"/>
      <c r="CG422" s="39"/>
      <c r="CH422" s="39"/>
      <c r="CI422" s="39"/>
      <c r="CJ422" s="39"/>
      <c r="CK422" s="39"/>
      <c r="CL422" s="39"/>
      <c r="CM422" s="39"/>
      <c r="CN422" s="39"/>
      <c r="CO422" s="39"/>
      <c r="CP422" s="39"/>
      <c r="CQ422" s="39"/>
      <c r="CR422" s="39"/>
      <c r="CS422" s="39"/>
      <c r="CT422" s="39"/>
      <c r="CU422" s="39"/>
      <c r="CV422" s="39"/>
      <c r="CW422" s="39"/>
      <c r="CX422" s="39"/>
      <c r="CY422" s="39"/>
      <c r="CZ422" s="39"/>
      <c r="DA422" s="39"/>
      <c r="DB422" s="39"/>
      <c r="DC422" s="39"/>
    </row>
    <row r="423" spans="1:107" s="92" customFormat="1" ht="39.950000000000003" customHeight="1" x14ac:dyDescent="0.25">
      <c r="A423"/>
      <c r="B423"/>
      <c r="C423"/>
      <c r="D423"/>
      <c r="E423"/>
      <c r="F423"/>
      <c r="G423"/>
      <c r="H423"/>
      <c r="I423" s="68"/>
      <c r="J423" s="71"/>
      <c r="K423"/>
      <c r="L423"/>
      <c r="M423"/>
      <c r="N423"/>
      <c r="O423"/>
      <c r="P423"/>
      <c r="Q423" s="121"/>
      <c r="R423"/>
      <c r="S423"/>
      <c r="T423" s="229"/>
      <c r="U423" s="229"/>
      <c r="V423" s="229"/>
      <c r="W423" s="229"/>
      <c r="X423" s="229"/>
      <c r="Y423" s="136"/>
      <c r="Z423" s="166"/>
      <c r="AA423" s="166"/>
      <c r="AB423" s="71"/>
      <c r="AC423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  <c r="BA423" s="39"/>
      <c r="BB423" s="39"/>
      <c r="BC423" s="39"/>
      <c r="BD423" s="39"/>
      <c r="BE423" s="39"/>
      <c r="BF423" s="39"/>
      <c r="BG423" s="39"/>
      <c r="BH423" s="39"/>
      <c r="BI423" s="39"/>
      <c r="BJ423" s="39"/>
      <c r="BK423" s="39"/>
      <c r="BL423" s="39"/>
      <c r="BM423" s="39"/>
      <c r="BN423" s="39"/>
      <c r="BO423" s="39"/>
      <c r="BP423" s="39"/>
      <c r="BQ423" s="39"/>
      <c r="BR423" s="39"/>
      <c r="BS423" s="39"/>
      <c r="BT423" s="39"/>
      <c r="BU423" s="39"/>
      <c r="BV423" s="39"/>
      <c r="BW423" s="39"/>
      <c r="BX423" s="39"/>
      <c r="BY423" s="39"/>
      <c r="BZ423" s="39"/>
      <c r="CA423" s="39"/>
      <c r="CB423" s="39"/>
      <c r="CC423" s="39"/>
      <c r="CD423" s="39"/>
      <c r="CE423" s="39"/>
      <c r="CF423" s="39"/>
      <c r="CG423" s="39"/>
      <c r="CH423" s="39"/>
      <c r="CI423" s="39"/>
      <c r="CJ423" s="39"/>
      <c r="CK423" s="39"/>
      <c r="CL423" s="39"/>
      <c r="CM423" s="39"/>
      <c r="CN423" s="39"/>
      <c r="CO423" s="39"/>
      <c r="CP423" s="39"/>
      <c r="CQ423" s="39"/>
      <c r="CR423" s="39"/>
      <c r="CS423" s="39"/>
      <c r="CT423" s="39"/>
      <c r="CU423" s="39"/>
      <c r="CV423" s="39"/>
      <c r="CW423" s="39"/>
      <c r="CX423" s="39"/>
      <c r="CY423" s="39"/>
      <c r="CZ423" s="39"/>
      <c r="DA423" s="39"/>
      <c r="DB423" s="39"/>
      <c r="DC423" s="39"/>
    </row>
    <row r="424" spans="1:107" s="92" customFormat="1" ht="39.950000000000003" customHeight="1" x14ac:dyDescent="0.25">
      <c r="A424"/>
      <c r="B424"/>
      <c r="C424"/>
      <c r="D424"/>
      <c r="E424"/>
      <c r="F424"/>
      <c r="G424"/>
      <c r="H424"/>
      <c r="I424" s="68"/>
      <c r="J424" s="71"/>
      <c r="K424"/>
      <c r="L424"/>
      <c r="M424"/>
      <c r="N424"/>
      <c r="O424"/>
      <c r="P424"/>
      <c r="Q424" s="121"/>
      <c r="R424"/>
      <c r="S424"/>
      <c r="T424" s="229"/>
      <c r="U424" s="229"/>
      <c r="V424" s="229"/>
      <c r="W424" s="229"/>
      <c r="X424" s="229"/>
      <c r="Y424" s="136"/>
      <c r="Z424" s="166"/>
      <c r="AA424" s="166"/>
      <c r="AB424" s="71"/>
      <c r="AC424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  <c r="BA424" s="39"/>
      <c r="BB424" s="39"/>
      <c r="BC424" s="39"/>
      <c r="BD424" s="39"/>
      <c r="BE424" s="39"/>
      <c r="BF424" s="39"/>
      <c r="BG424" s="39"/>
      <c r="BH424" s="39"/>
      <c r="BI424" s="39"/>
      <c r="BJ424" s="39"/>
      <c r="BK424" s="39"/>
      <c r="BL424" s="39"/>
      <c r="BM424" s="39"/>
      <c r="BN424" s="39"/>
      <c r="BO424" s="39"/>
      <c r="BP424" s="39"/>
      <c r="BQ424" s="39"/>
      <c r="BR424" s="39"/>
      <c r="BS424" s="39"/>
      <c r="BT424" s="39"/>
      <c r="BU424" s="39"/>
      <c r="BV424" s="39"/>
      <c r="BW424" s="39"/>
      <c r="BX424" s="39"/>
      <c r="BY424" s="39"/>
      <c r="BZ424" s="39"/>
      <c r="CA424" s="39"/>
      <c r="CB424" s="39"/>
      <c r="CC424" s="39"/>
      <c r="CD424" s="39"/>
      <c r="CE424" s="39"/>
      <c r="CF424" s="39"/>
      <c r="CG424" s="39"/>
      <c r="CH424" s="39"/>
      <c r="CI424" s="39"/>
      <c r="CJ424" s="39"/>
      <c r="CK424" s="39"/>
      <c r="CL424" s="39"/>
      <c r="CM424" s="39"/>
      <c r="CN424" s="39"/>
      <c r="CO424" s="39"/>
      <c r="CP424" s="39"/>
      <c r="CQ424" s="39"/>
      <c r="CR424" s="39"/>
      <c r="CS424" s="39"/>
      <c r="CT424" s="39"/>
      <c r="CU424" s="39"/>
      <c r="CV424" s="39"/>
      <c r="CW424" s="39"/>
      <c r="CX424" s="39"/>
      <c r="CY424" s="39"/>
      <c r="CZ424" s="39"/>
      <c r="DA424" s="39"/>
      <c r="DB424" s="39"/>
      <c r="DC424" s="39"/>
    </row>
    <row r="425" spans="1:107" s="92" customFormat="1" ht="39.950000000000003" customHeight="1" x14ac:dyDescent="0.25">
      <c r="A425"/>
      <c r="B425"/>
      <c r="C425"/>
      <c r="D425"/>
      <c r="E425"/>
      <c r="F425"/>
      <c r="G425"/>
      <c r="H425"/>
      <c r="I425" s="68"/>
      <c r="J425" s="71"/>
      <c r="K425"/>
      <c r="L425"/>
      <c r="M425"/>
      <c r="N425"/>
      <c r="O425"/>
      <c r="P425"/>
      <c r="Q425" s="121"/>
      <c r="R425"/>
      <c r="S425"/>
      <c r="T425" s="229"/>
      <c r="U425" s="229"/>
      <c r="V425" s="229"/>
      <c r="W425" s="229"/>
      <c r="X425" s="229"/>
      <c r="Y425" s="136"/>
      <c r="Z425" s="166"/>
      <c r="AA425" s="166"/>
      <c r="AB425" s="71"/>
      <c r="AC425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  <c r="BA425" s="39"/>
      <c r="BB425" s="39"/>
      <c r="BC425" s="39"/>
      <c r="BD425" s="39"/>
      <c r="BE425" s="39"/>
      <c r="BF425" s="39"/>
      <c r="BG425" s="39"/>
      <c r="BH425" s="39"/>
      <c r="BI425" s="39"/>
      <c r="BJ425" s="39"/>
      <c r="BK425" s="39"/>
      <c r="BL425" s="39"/>
      <c r="BM425" s="39"/>
      <c r="BN425" s="39"/>
      <c r="BO425" s="39"/>
      <c r="BP425" s="39"/>
      <c r="BQ425" s="39"/>
      <c r="BR425" s="39"/>
      <c r="BS425" s="39"/>
      <c r="BT425" s="39"/>
      <c r="BU425" s="39"/>
      <c r="BV425" s="39"/>
      <c r="BW425" s="39"/>
      <c r="BX425" s="39"/>
      <c r="BY425" s="39"/>
      <c r="BZ425" s="39"/>
      <c r="CA425" s="39"/>
      <c r="CB425" s="39"/>
      <c r="CC425" s="39"/>
      <c r="CD425" s="39"/>
      <c r="CE425" s="39"/>
      <c r="CF425" s="39"/>
      <c r="CG425" s="39"/>
      <c r="CH425" s="39"/>
      <c r="CI425" s="39"/>
      <c r="CJ425" s="39"/>
      <c r="CK425" s="39"/>
      <c r="CL425" s="39"/>
      <c r="CM425" s="39"/>
      <c r="CN425" s="39"/>
      <c r="CO425" s="39"/>
      <c r="CP425" s="39"/>
      <c r="CQ425" s="39"/>
      <c r="CR425" s="39"/>
      <c r="CS425" s="39"/>
      <c r="CT425" s="39"/>
      <c r="CU425" s="39"/>
      <c r="CV425" s="39"/>
      <c r="CW425" s="39"/>
      <c r="CX425" s="39"/>
      <c r="CY425" s="39"/>
      <c r="CZ425" s="39"/>
      <c r="DA425" s="39"/>
      <c r="DB425" s="39"/>
      <c r="DC425" s="39"/>
    </row>
    <row r="426" spans="1:107" s="92" customFormat="1" ht="39.950000000000003" customHeight="1" x14ac:dyDescent="0.25">
      <c r="A426"/>
      <c r="B426"/>
      <c r="C426"/>
      <c r="D426"/>
      <c r="E426"/>
      <c r="F426"/>
      <c r="G426"/>
      <c r="H426"/>
      <c r="I426" s="68"/>
      <c r="J426" s="71"/>
      <c r="K426"/>
      <c r="L426"/>
      <c r="M426"/>
      <c r="N426"/>
      <c r="O426"/>
      <c r="P426"/>
      <c r="Q426" s="121"/>
      <c r="R426"/>
      <c r="S426"/>
      <c r="T426" s="229"/>
      <c r="U426" s="229"/>
      <c r="V426" s="229"/>
      <c r="W426" s="229"/>
      <c r="X426" s="229"/>
      <c r="Y426" s="136"/>
      <c r="Z426" s="166"/>
      <c r="AA426" s="166"/>
      <c r="AB426" s="71"/>
      <c r="AC426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  <c r="BA426" s="39"/>
      <c r="BB426" s="39"/>
      <c r="BC426" s="39"/>
      <c r="BD426" s="39"/>
      <c r="BE426" s="39"/>
      <c r="BF426" s="39"/>
      <c r="BG426" s="39"/>
      <c r="BH426" s="39"/>
      <c r="BI426" s="39"/>
      <c r="BJ426" s="39"/>
      <c r="BK426" s="39"/>
      <c r="BL426" s="39"/>
      <c r="BM426" s="39"/>
      <c r="BN426" s="39"/>
      <c r="BO426" s="39"/>
      <c r="BP426" s="39"/>
      <c r="BQ426" s="39"/>
      <c r="BR426" s="39"/>
      <c r="BS426" s="39"/>
      <c r="BT426" s="39"/>
      <c r="BU426" s="39"/>
      <c r="BV426" s="39"/>
      <c r="BW426" s="39"/>
      <c r="BX426" s="39"/>
      <c r="BY426" s="39"/>
      <c r="BZ426" s="39"/>
      <c r="CA426" s="39"/>
      <c r="CB426" s="39"/>
      <c r="CC426" s="39"/>
      <c r="CD426" s="39"/>
      <c r="CE426" s="39"/>
      <c r="CF426" s="39"/>
      <c r="CG426" s="39"/>
      <c r="CH426" s="39"/>
      <c r="CI426" s="39"/>
      <c r="CJ426" s="39"/>
      <c r="CK426" s="39"/>
      <c r="CL426" s="39"/>
      <c r="CM426" s="39"/>
      <c r="CN426" s="39"/>
      <c r="CO426" s="39"/>
      <c r="CP426" s="39"/>
      <c r="CQ426" s="39"/>
      <c r="CR426" s="39"/>
      <c r="CS426" s="39"/>
      <c r="CT426" s="39"/>
      <c r="CU426" s="39"/>
      <c r="CV426" s="39"/>
      <c r="CW426" s="39"/>
      <c r="CX426" s="39"/>
      <c r="CY426" s="39"/>
      <c r="CZ426" s="39"/>
      <c r="DA426" s="39"/>
      <c r="DB426" s="39"/>
      <c r="DC426" s="39"/>
    </row>
    <row r="427" spans="1:107" s="92" customFormat="1" ht="39.950000000000003" customHeight="1" x14ac:dyDescent="0.25">
      <c r="A427"/>
      <c r="B427"/>
      <c r="C427"/>
      <c r="D427"/>
      <c r="E427"/>
      <c r="F427"/>
      <c r="G427"/>
      <c r="H427"/>
      <c r="I427" s="68"/>
      <c r="J427" s="71"/>
      <c r="K427"/>
      <c r="L427"/>
      <c r="M427"/>
      <c r="N427"/>
      <c r="O427"/>
      <c r="P427"/>
      <c r="Q427" s="121"/>
      <c r="R427"/>
      <c r="S427"/>
      <c r="T427" s="229"/>
      <c r="U427" s="229"/>
      <c r="V427" s="229"/>
      <c r="W427" s="229"/>
      <c r="X427" s="229"/>
      <c r="Y427" s="136"/>
      <c r="Z427" s="166"/>
      <c r="AA427" s="166"/>
      <c r="AB427" s="71"/>
      <c r="AC427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  <c r="BA427" s="39"/>
      <c r="BB427" s="39"/>
      <c r="BC427" s="39"/>
      <c r="BD427" s="39"/>
      <c r="BE427" s="39"/>
      <c r="BF427" s="39"/>
      <c r="BG427" s="39"/>
      <c r="BH427" s="39"/>
      <c r="BI427" s="39"/>
      <c r="BJ427" s="39"/>
      <c r="BK427" s="39"/>
      <c r="BL427" s="39"/>
      <c r="BM427" s="39"/>
      <c r="BN427" s="39"/>
      <c r="BO427" s="39"/>
      <c r="BP427" s="39"/>
      <c r="BQ427" s="39"/>
      <c r="BR427" s="39"/>
      <c r="BS427" s="39"/>
      <c r="BT427" s="39"/>
      <c r="BU427" s="39"/>
      <c r="BV427" s="39"/>
      <c r="BW427" s="39"/>
      <c r="BX427" s="39"/>
      <c r="BY427" s="39"/>
      <c r="BZ427" s="39"/>
      <c r="CA427" s="39"/>
      <c r="CB427" s="39"/>
      <c r="CC427" s="39"/>
      <c r="CD427" s="39"/>
      <c r="CE427" s="39"/>
      <c r="CF427" s="39"/>
      <c r="CG427" s="39"/>
      <c r="CH427" s="39"/>
      <c r="CI427" s="39"/>
      <c r="CJ427" s="39"/>
      <c r="CK427" s="39"/>
      <c r="CL427" s="39"/>
      <c r="CM427" s="39"/>
      <c r="CN427" s="39"/>
      <c r="CO427" s="39"/>
      <c r="CP427" s="39"/>
      <c r="CQ427" s="39"/>
      <c r="CR427" s="39"/>
      <c r="CS427" s="39"/>
      <c r="CT427" s="39"/>
      <c r="CU427" s="39"/>
      <c r="CV427" s="39"/>
      <c r="CW427" s="39"/>
      <c r="CX427" s="39"/>
      <c r="CY427" s="39"/>
      <c r="CZ427" s="39"/>
      <c r="DA427" s="39"/>
      <c r="DB427" s="39"/>
      <c r="DC427" s="39"/>
    </row>
    <row r="428" spans="1:107" s="92" customFormat="1" ht="39.950000000000003" customHeight="1" x14ac:dyDescent="0.25">
      <c r="A428"/>
      <c r="B428"/>
      <c r="C428"/>
      <c r="D428"/>
      <c r="E428"/>
      <c r="F428"/>
      <c r="G428"/>
      <c r="H428"/>
      <c r="I428" s="68"/>
      <c r="J428" s="71"/>
      <c r="K428"/>
      <c r="L428"/>
      <c r="M428"/>
      <c r="N428"/>
      <c r="O428"/>
      <c r="P428"/>
      <c r="Q428" s="121"/>
      <c r="R428"/>
      <c r="S428"/>
      <c r="T428" s="229"/>
      <c r="U428" s="229"/>
      <c r="V428" s="229"/>
      <c r="W428" s="229"/>
      <c r="X428" s="229"/>
      <c r="Y428" s="136"/>
      <c r="Z428" s="166"/>
      <c r="AA428" s="166"/>
      <c r="AB428" s="71"/>
      <c r="AC428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  <c r="BA428" s="39"/>
      <c r="BB428" s="39"/>
      <c r="BC428" s="39"/>
      <c r="BD428" s="39"/>
      <c r="BE428" s="39"/>
      <c r="BF428" s="39"/>
      <c r="BG428" s="39"/>
      <c r="BH428" s="39"/>
      <c r="BI428" s="39"/>
      <c r="BJ428" s="39"/>
      <c r="BK428" s="39"/>
      <c r="BL428" s="39"/>
      <c r="BM428" s="39"/>
      <c r="BN428" s="39"/>
      <c r="BO428" s="39"/>
      <c r="BP428" s="39"/>
      <c r="BQ428" s="39"/>
      <c r="BR428" s="39"/>
      <c r="BS428" s="39"/>
      <c r="BT428" s="39"/>
      <c r="BU428" s="39"/>
      <c r="BV428" s="39"/>
      <c r="BW428" s="39"/>
      <c r="BX428" s="39"/>
      <c r="BY428" s="39"/>
      <c r="BZ428" s="39"/>
      <c r="CA428" s="39"/>
      <c r="CB428" s="39"/>
      <c r="CC428" s="39"/>
      <c r="CD428" s="39"/>
      <c r="CE428" s="39"/>
      <c r="CF428" s="39"/>
      <c r="CG428" s="39"/>
      <c r="CH428" s="39"/>
      <c r="CI428" s="39"/>
      <c r="CJ428" s="39"/>
      <c r="CK428" s="39"/>
      <c r="CL428" s="39"/>
      <c r="CM428" s="39"/>
      <c r="CN428" s="39"/>
      <c r="CO428" s="39"/>
      <c r="CP428" s="39"/>
      <c r="CQ428" s="39"/>
      <c r="CR428" s="39"/>
      <c r="CS428" s="39"/>
      <c r="CT428" s="39"/>
      <c r="CU428" s="39"/>
      <c r="CV428" s="39"/>
      <c r="CW428" s="39"/>
      <c r="CX428" s="39"/>
      <c r="CY428" s="39"/>
      <c r="CZ428" s="39"/>
      <c r="DA428" s="39"/>
      <c r="DB428" s="39"/>
      <c r="DC428" s="39"/>
    </row>
    <row r="429" spans="1:107" s="92" customFormat="1" ht="39.950000000000003" customHeight="1" x14ac:dyDescent="0.25">
      <c r="A429"/>
      <c r="B429"/>
      <c r="C429"/>
      <c r="D429"/>
      <c r="E429"/>
      <c r="F429"/>
      <c r="G429"/>
      <c r="H429"/>
      <c r="I429" s="68"/>
      <c r="J429" s="71"/>
      <c r="K429"/>
      <c r="L429"/>
      <c r="M429"/>
      <c r="N429"/>
      <c r="O429"/>
      <c r="P429"/>
      <c r="Q429" s="121"/>
      <c r="R429"/>
      <c r="S429"/>
      <c r="T429" s="229"/>
      <c r="U429" s="229"/>
      <c r="V429" s="229"/>
      <c r="W429" s="229"/>
      <c r="X429" s="229"/>
      <c r="Y429" s="136"/>
      <c r="Z429" s="166"/>
      <c r="AA429" s="166"/>
      <c r="AB429" s="71"/>
      <c r="AC42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  <c r="BA429" s="39"/>
      <c r="BB429" s="39"/>
      <c r="BC429" s="39"/>
      <c r="BD429" s="39"/>
      <c r="BE429" s="39"/>
      <c r="BF429" s="39"/>
      <c r="BG429" s="39"/>
      <c r="BH429" s="39"/>
      <c r="BI429" s="39"/>
      <c r="BJ429" s="39"/>
      <c r="BK429" s="39"/>
      <c r="BL429" s="39"/>
      <c r="BM429" s="39"/>
      <c r="BN429" s="39"/>
      <c r="BO429" s="39"/>
      <c r="BP429" s="39"/>
      <c r="BQ429" s="39"/>
      <c r="BR429" s="39"/>
      <c r="BS429" s="39"/>
      <c r="BT429" s="39"/>
      <c r="BU429" s="39"/>
      <c r="BV429" s="39"/>
      <c r="BW429" s="39"/>
      <c r="BX429" s="39"/>
      <c r="BY429" s="39"/>
      <c r="BZ429" s="39"/>
      <c r="CA429" s="39"/>
      <c r="CB429" s="39"/>
      <c r="CC429" s="39"/>
      <c r="CD429" s="39"/>
      <c r="CE429" s="39"/>
      <c r="CF429" s="39"/>
      <c r="CG429" s="39"/>
      <c r="CH429" s="39"/>
      <c r="CI429" s="39"/>
      <c r="CJ429" s="39"/>
      <c r="CK429" s="39"/>
      <c r="CL429" s="39"/>
      <c r="CM429" s="39"/>
      <c r="CN429" s="39"/>
      <c r="CO429" s="39"/>
      <c r="CP429" s="39"/>
      <c r="CQ429" s="39"/>
      <c r="CR429" s="39"/>
      <c r="CS429" s="39"/>
      <c r="CT429" s="39"/>
      <c r="CU429" s="39"/>
      <c r="CV429" s="39"/>
      <c r="CW429" s="39"/>
      <c r="CX429" s="39"/>
      <c r="CY429" s="39"/>
      <c r="CZ429" s="39"/>
      <c r="DA429" s="39"/>
      <c r="DB429" s="39"/>
      <c r="DC429" s="39"/>
    </row>
    <row r="430" spans="1:107" s="92" customFormat="1" ht="39.950000000000003" customHeight="1" x14ac:dyDescent="0.25">
      <c r="A430"/>
      <c r="B430"/>
      <c r="C430"/>
      <c r="D430"/>
      <c r="E430"/>
      <c r="F430"/>
      <c r="G430"/>
      <c r="H430"/>
      <c r="I430" s="68"/>
      <c r="J430" s="71"/>
      <c r="K430"/>
      <c r="L430"/>
      <c r="M430"/>
      <c r="N430"/>
      <c r="O430"/>
      <c r="P430"/>
      <c r="Q430" s="121"/>
      <c r="R430"/>
      <c r="S430"/>
      <c r="T430" s="229"/>
      <c r="U430" s="229"/>
      <c r="V430" s="229"/>
      <c r="W430" s="229"/>
      <c r="X430" s="229"/>
      <c r="Y430" s="136"/>
      <c r="Z430" s="166"/>
      <c r="AA430" s="166"/>
      <c r="AB430" s="71"/>
      <c r="AC430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  <c r="BA430" s="39"/>
      <c r="BB430" s="39"/>
      <c r="BC430" s="39"/>
      <c r="BD430" s="39"/>
      <c r="BE430" s="39"/>
      <c r="BF430" s="39"/>
      <c r="BG430" s="39"/>
      <c r="BH430" s="39"/>
      <c r="BI430" s="39"/>
      <c r="BJ430" s="39"/>
      <c r="BK430" s="39"/>
      <c r="BL430" s="39"/>
      <c r="BM430" s="39"/>
      <c r="BN430" s="39"/>
      <c r="BO430" s="39"/>
      <c r="BP430" s="39"/>
      <c r="BQ430" s="39"/>
      <c r="BR430" s="39"/>
      <c r="BS430" s="39"/>
      <c r="BT430" s="39"/>
      <c r="BU430" s="39"/>
      <c r="BV430" s="39"/>
      <c r="BW430" s="39"/>
      <c r="BX430" s="39"/>
      <c r="BY430" s="39"/>
      <c r="BZ430" s="39"/>
      <c r="CA430" s="39"/>
      <c r="CB430" s="39"/>
      <c r="CC430" s="39"/>
      <c r="CD430" s="39"/>
      <c r="CE430" s="39"/>
      <c r="CF430" s="39"/>
      <c r="CG430" s="39"/>
      <c r="CH430" s="39"/>
      <c r="CI430" s="39"/>
      <c r="CJ430" s="39"/>
      <c r="CK430" s="39"/>
      <c r="CL430" s="39"/>
      <c r="CM430" s="39"/>
      <c r="CN430" s="39"/>
      <c r="CO430" s="39"/>
      <c r="CP430" s="39"/>
      <c r="CQ430" s="39"/>
      <c r="CR430" s="39"/>
      <c r="CS430" s="39"/>
      <c r="CT430" s="39"/>
      <c r="CU430" s="39"/>
      <c r="CV430" s="39"/>
      <c r="CW430" s="39"/>
      <c r="CX430" s="39"/>
      <c r="CY430" s="39"/>
      <c r="CZ430" s="39"/>
      <c r="DA430" s="39"/>
      <c r="DB430" s="39"/>
      <c r="DC430" s="39"/>
    </row>
    <row r="431" spans="1:107" s="92" customFormat="1" ht="39.950000000000003" customHeight="1" x14ac:dyDescent="0.25">
      <c r="A431"/>
      <c r="B431"/>
      <c r="C431"/>
      <c r="D431"/>
      <c r="E431"/>
      <c r="F431"/>
      <c r="G431"/>
      <c r="H431"/>
      <c r="I431" s="68"/>
      <c r="J431" s="71"/>
      <c r="K431"/>
      <c r="L431"/>
      <c r="M431"/>
      <c r="N431"/>
      <c r="O431"/>
      <c r="P431"/>
      <c r="Q431" s="121"/>
      <c r="R431"/>
      <c r="S431"/>
      <c r="T431" s="229"/>
      <c r="U431" s="229"/>
      <c r="V431" s="229"/>
      <c r="W431" s="229"/>
      <c r="X431" s="229"/>
      <c r="Y431" s="136"/>
      <c r="Z431" s="166"/>
      <c r="AA431" s="166"/>
      <c r="AB431" s="71"/>
      <c r="AC431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  <c r="BA431" s="39"/>
      <c r="BB431" s="39"/>
      <c r="BC431" s="39"/>
      <c r="BD431" s="39"/>
      <c r="BE431" s="39"/>
      <c r="BF431" s="39"/>
      <c r="BG431" s="39"/>
      <c r="BH431" s="39"/>
      <c r="BI431" s="39"/>
      <c r="BJ431" s="39"/>
      <c r="BK431" s="39"/>
      <c r="BL431" s="39"/>
      <c r="BM431" s="39"/>
      <c r="BN431" s="39"/>
      <c r="BO431" s="39"/>
      <c r="BP431" s="39"/>
      <c r="BQ431" s="39"/>
      <c r="BR431" s="39"/>
      <c r="BS431" s="39"/>
      <c r="BT431" s="39"/>
      <c r="BU431" s="39"/>
      <c r="BV431" s="39"/>
      <c r="BW431" s="39"/>
      <c r="BX431" s="39"/>
      <c r="BY431" s="39"/>
      <c r="BZ431" s="39"/>
      <c r="CA431" s="39"/>
      <c r="CB431" s="39"/>
      <c r="CC431" s="39"/>
      <c r="CD431" s="39"/>
      <c r="CE431" s="39"/>
      <c r="CF431" s="39"/>
      <c r="CG431" s="39"/>
      <c r="CH431" s="39"/>
      <c r="CI431" s="39"/>
      <c r="CJ431" s="39"/>
      <c r="CK431" s="39"/>
      <c r="CL431" s="39"/>
      <c r="CM431" s="39"/>
      <c r="CN431" s="39"/>
      <c r="CO431" s="39"/>
      <c r="CP431" s="39"/>
      <c r="CQ431" s="39"/>
      <c r="CR431" s="39"/>
      <c r="CS431" s="39"/>
      <c r="CT431" s="39"/>
      <c r="CU431" s="39"/>
      <c r="CV431" s="39"/>
      <c r="CW431" s="39"/>
      <c r="CX431" s="39"/>
      <c r="CY431" s="39"/>
      <c r="CZ431" s="39"/>
      <c r="DA431" s="39"/>
      <c r="DB431" s="39"/>
      <c r="DC431" s="39"/>
    </row>
    <row r="432" spans="1:107" s="92" customFormat="1" ht="39.950000000000003" customHeight="1" x14ac:dyDescent="0.25">
      <c r="A432"/>
      <c r="B432"/>
      <c r="C432"/>
      <c r="D432"/>
      <c r="E432"/>
      <c r="F432"/>
      <c r="G432"/>
      <c r="H432"/>
      <c r="I432" s="68"/>
      <c r="J432" s="71"/>
      <c r="K432"/>
      <c r="L432"/>
      <c r="M432"/>
      <c r="N432"/>
      <c r="O432"/>
      <c r="P432"/>
      <c r="Q432" s="121"/>
      <c r="R432"/>
      <c r="S432"/>
      <c r="T432" s="229"/>
      <c r="U432" s="229"/>
      <c r="V432" s="229"/>
      <c r="W432" s="229"/>
      <c r="X432" s="229"/>
      <c r="Y432" s="136"/>
      <c r="Z432" s="166"/>
      <c r="AA432" s="166"/>
      <c r="AB432" s="71"/>
      <c r="AC432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  <c r="BA432" s="39"/>
      <c r="BB432" s="39"/>
      <c r="BC432" s="39"/>
      <c r="BD432" s="39"/>
      <c r="BE432" s="39"/>
      <c r="BF432" s="39"/>
      <c r="BG432" s="39"/>
      <c r="BH432" s="39"/>
      <c r="BI432" s="39"/>
      <c r="BJ432" s="39"/>
      <c r="BK432" s="39"/>
      <c r="BL432" s="39"/>
      <c r="BM432" s="39"/>
      <c r="BN432" s="39"/>
      <c r="BO432" s="39"/>
      <c r="BP432" s="39"/>
      <c r="BQ432" s="39"/>
      <c r="BR432" s="39"/>
      <c r="BS432" s="39"/>
      <c r="BT432" s="39"/>
      <c r="BU432" s="39"/>
      <c r="BV432" s="39"/>
      <c r="BW432" s="39"/>
      <c r="BX432" s="39"/>
      <c r="BY432" s="39"/>
      <c r="BZ432" s="39"/>
      <c r="CA432" s="39"/>
      <c r="CB432" s="39"/>
      <c r="CC432" s="39"/>
      <c r="CD432" s="39"/>
      <c r="CE432" s="39"/>
      <c r="CF432" s="39"/>
      <c r="CG432" s="39"/>
      <c r="CH432" s="39"/>
      <c r="CI432" s="39"/>
      <c r="CJ432" s="39"/>
      <c r="CK432" s="39"/>
      <c r="CL432" s="39"/>
      <c r="CM432" s="39"/>
      <c r="CN432" s="39"/>
      <c r="CO432" s="39"/>
      <c r="CP432" s="39"/>
      <c r="CQ432" s="39"/>
      <c r="CR432" s="39"/>
      <c r="CS432" s="39"/>
      <c r="CT432" s="39"/>
      <c r="CU432" s="39"/>
      <c r="CV432" s="39"/>
      <c r="CW432" s="39"/>
      <c r="CX432" s="39"/>
      <c r="CY432" s="39"/>
      <c r="CZ432" s="39"/>
      <c r="DA432" s="39"/>
      <c r="DB432" s="39"/>
      <c r="DC432" s="39"/>
    </row>
    <row r="433" spans="1:107" s="92" customFormat="1" ht="39.950000000000003" customHeight="1" x14ac:dyDescent="0.25">
      <c r="A433"/>
      <c r="B433"/>
      <c r="C433"/>
      <c r="D433"/>
      <c r="E433"/>
      <c r="F433"/>
      <c r="G433"/>
      <c r="H433"/>
      <c r="I433" s="68"/>
      <c r="J433" s="71"/>
      <c r="K433"/>
      <c r="L433"/>
      <c r="M433"/>
      <c r="N433"/>
      <c r="O433"/>
      <c r="P433"/>
      <c r="Q433" s="121"/>
      <c r="R433"/>
      <c r="S433"/>
      <c r="T433" s="229"/>
      <c r="U433" s="229"/>
      <c r="V433" s="229"/>
      <c r="W433" s="229"/>
      <c r="X433" s="229"/>
      <c r="Y433" s="136"/>
      <c r="Z433" s="166"/>
      <c r="AA433" s="166"/>
      <c r="AB433" s="71"/>
      <c r="AC433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  <c r="BA433" s="39"/>
      <c r="BB433" s="39"/>
      <c r="BC433" s="39"/>
      <c r="BD433" s="39"/>
      <c r="BE433" s="39"/>
      <c r="BF433" s="39"/>
      <c r="BG433" s="39"/>
      <c r="BH433" s="39"/>
      <c r="BI433" s="39"/>
      <c r="BJ433" s="39"/>
      <c r="BK433" s="39"/>
      <c r="BL433" s="39"/>
      <c r="BM433" s="39"/>
      <c r="BN433" s="39"/>
      <c r="BO433" s="39"/>
      <c r="BP433" s="39"/>
      <c r="BQ433" s="39"/>
      <c r="BR433" s="39"/>
      <c r="BS433" s="39"/>
      <c r="BT433" s="39"/>
      <c r="BU433" s="39"/>
      <c r="BV433" s="39"/>
      <c r="BW433" s="39"/>
      <c r="BX433" s="39"/>
      <c r="BY433" s="39"/>
      <c r="BZ433" s="39"/>
      <c r="CA433" s="39"/>
      <c r="CB433" s="39"/>
      <c r="CC433" s="39"/>
      <c r="CD433" s="39"/>
      <c r="CE433" s="39"/>
      <c r="CF433" s="39"/>
      <c r="CG433" s="39"/>
      <c r="CH433" s="39"/>
      <c r="CI433" s="39"/>
      <c r="CJ433" s="39"/>
      <c r="CK433" s="39"/>
      <c r="CL433" s="39"/>
      <c r="CM433" s="39"/>
      <c r="CN433" s="39"/>
      <c r="CO433" s="39"/>
      <c r="CP433" s="39"/>
      <c r="CQ433" s="39"/>
      <c r="CR433" s="39"/>
      <c r="CS433" s="39"/>
      <c r="CT433" s="39"/>
      <c r="CU433" s="39"/>
      <c r="CV433" s="39"/>
      <c r="CW433" s="39"/>
      <c r="CX433" s="39"/>
      <c r="CY433" s="39"/>
      <c r="CZ433" s="39"/>
      <c r="DA433" s="39"/>
      <c r="DB433" s="39"/>
      <c r="DC433" s="39"/>
    </row>
    <row r="434" spans="1:107" s="92" customFormat="1" ht="39.950000000000003" customHeight="1" x14ac:dyDescent="0.25">
      <c r="A434"/>
      <c r="B434"/>
      <c r="C434"/>
      <c r="D434"/>
      <c r="E434"/>
      <c r="F434"/>
      <c r="G434"/>
      <c r="H434"/>
      <c r="I434" s="68"/>
      <c r="J434" s="71"/>
      <c r="K434"/>
      <c r="L434"/>
      <c r="M434"/>
      <c r="N434"/>
      <c r="O434"/>
      <c r="P434"/>
      <c r="Q434" s="121"/>
      <c r="R434"/>
      <c r="S434"/>
      <c r="T434" s="229"/>
      <c r="U434" s="229"/>
      <c r="V434" s="229"/>
      <c r="W434" s="229"/>
      <c r="X434" s="229"/>
      <c r="Y434" s="136"/>
      <c r="Z434" s="166"/>
      <c r="AA434" s="166"/>
      <c r="AB434" s="71"/>
      <c r="AC434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  <c r="BA434" s="39"/>
      <c r="BB434" s="39"/>
      <c r="BC434" s="39"/>
      <c r="BD434" s="39"/>
      <c r="BE434" s="39"/>
      <c r="BF434" s="39"/>
      <c r="BG434" s="39"/>
      <c r="BH434" s="39"/>
      <c r="BI434" s="39"/>
      <c r="BJ434" s="39"/>
      <c r="BK434" s="39"/>
      <c r="BL434" s="39"/>
      <c r="BM434" s="39"/>
      <c r="BN434" s="39"/>
      <c r="BO434" s="39"/>
      <c r="BP434" s="39"/>
      <c r="BQ434" s="39"/>
      <c r="BR434" s="39"/>
      <c r="BS434" s="39"/>
      <c r="BT434" s="39"/>
      <c r="BU434" s="39"/>
      <c r="BV434" s="39"/>
      <c r="BW434" s="39"/>
      <c r="BX434" s="39"/>
      <c r="BY434" s="39"/>
      <c r="BZ434" s="39"/>
      <c r="CA434" s="39"/>
      <c r="CB434" s="39"/>
      <c r="CC434" s="39"/>
      <c r="CD434" s="39"/>
      <c r="CE434" s="39"/>
      <c r="CF434" s="39"/>
      <c r="CG434" s="39"/>
      <c r="CH434" s="39"/>
      <c r="CI434" s="39"/>
      <c r="CJ434" s="39"/>
      <c r="CK434" s="39"/>
      <c r="CL434" s="39"/>
      <c r="CM434" s="39"/>
      <c r="CN434" s="39"/>
      <c r="CO434" s="39"/>
      <c r="CP434" s="39"/>
      <c r="CQ434" s="39"/>
      <c r="CR434" s="39"/>
      <c r="CS434" s="39"/>
      <c r="CT434" s="39"/>
      <c r="CU434" s="39"/>
      <c r="CV434" s="39"/>
      <c r="CW434" s="39"/>
      <c r="CX434" s="39"/>
      <c r="CY434" s="39"/>
      <c r="CZ434" s="39"/>
      <c r="DA434" s="39"/>
      <c r="DB434" s="39"/>
      <c r="DC434" s="39"/>
    </row>
    <row r="435" spans="1:107" s="92" customFormat="1" ht="39.950000000000003" customHeight="1" x14ac:dyDescent="0.25">
      <c r="A435"/>
      <c r="B435"/>
      <c r="C435"/>
      <c r="D435"/>
      <c r="E435"/>
      <c r="F435"/>
      <c r="G435"/>
      <c r="H435"/>
      <c r="I435" s="68"/>
      <c r="J435" s="71"/>
      <c r="K435"/>
      <c r="L435"/>
      <c r="M435"/>
      <c r="N435"/>
      <c r="O435"/>
      <c r="P435"/>
      <c r="Q435" s="121"/>
      <c r="R435"/>
      <c r="S435"/>
      <c r="T435" s="229"/>
      <c r="U435" s="229"/>
      <c r="V435" s="229"/>
      <c r="W435" s="229"/>
      <c r="X435" s="229"/>
      <c r="Y435" s="136"/>
      <c r="Z435" s="166"/>
      <c r="AA435" s="166"/>
      <c r="AB435" s="71"/>
      <c r="AC435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  <c r="BA435" s="39"/>
      <c r="BB435" s="39"/>
      <c r="BC435" s="39"/>
      <c r="BD435" s="39"/>
      <c r="BE435" s="39"/>
      <c r="BF435" s="39"/>
      <c r="BG435" s="39"/>
      <c r="BH435" s="39"/>
      <c r="BI435" s="39"/>
      <c r="BJ435" s="39"/>
      <c r="BK435" s="39"/>
      <c r="BL435" s="39"/>
      <c r="BM435" s="39"/>
      <c r="BN435" s="39"/>
      <c r="BO435" s="39"/>
      <c r="BP435" s="39"/>
      <c r="BQ435" s="39"/>
      <c r="BR435" s="39"/>
      <c r="BS435" s="39"/>
      <c r="BT435" s="39"/>
      <c r="BU435" s="39"/>
      <c r="BV435" s="39"/>
      <c r="BW435" s="39"/>
      <c r="BX435" s="39"/>
      <c r="BY435" s="39"/>
      <c r="BZ435" s="39"/>
      <c r="CA435" s="39"/>
      <c r="CB435" s="39"/>
      <c r="CC435" s="39"/>
      <c r="CD435" s="39"/>
      <c r="CE435" s="39"/>
      <c r="CF435" s="39"/>
      <c r="CG435" s="39"/>
      <c r="CH435" s="39"/>
      <c r="CI435" s="39"/>
      <c r="CJ435" s="39"/>
      <c r="CK435" s="39"/>
      <c r="CL435" s="39"/>
      <c r="CM435" s="39"/>
      <c r="CN435" s="39"/>
      <c r="CO435" s="39"/>
      <c r="CP435" s="39"/>
      <c r="CQ435" s="39"/>
      <c r="CR435" s="39"/>
      <c r="CS435" s="39"/>
      <c r="CT435" s="39"/>
      <c r="CU435" s="39"/>
      <c r="CV435" s="39"/>
      <c r="CW435" s="39"/>
      <c r="CX435" s="39"/>
      <c r="CY435" s="39"/>
      <c r="CZ435" s="39"/>
      <c r="DA435" s="39"/>
      <c r="DB435" s="39"/>
      <c r="DC435" s="39"/>
    </row>
    <row r="436" spans="1:107" s="92" customFormat="1" ht="39.950000000000003" customHeight="1" x14ac:dyDescent="0.25">
      <c r="A436"/>
      <c r="B436"/>
      <c r="C436"/>
      <c r="D436"/>
      <c r="E436"/>
      <c r="F436"/>
      <c r="G436"/>
      <c r="H436"/>
      <c r="I436" s="68"/>
      <c r="J436" s="71"/>
      <c r="K436"/>
      <c r="L436"/>
      <c r="M436"/>
      <c r="N436"/>
      <c r="O436"/>
      <c r="P436"/>
      <c r="Q436" s="121"/>
      <c r="R436"/>
      <c r="S436"/>
      <c r="T436" s="229"/>
      <c r="U436" s="229"/>
      <c r="V436" s="229"/>
      <c r="W436" s="229"/>
      <c r="X436" s="229"/>
      <c r="Y436" s="136"/>
      <c r="Z436" s="166"/>
      <c r="AA436" s="166"/>
      <c r="AB436" s="71"/>
      <c r="AC436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  <c r="BA436" s="39"/>
      <c r="BB436" s="39"/>
      <c r="BC436" s="39"/>
      <c r="BD436" s="39"/>
      <c r="BE436" s="39"/>
      <c r="BF436" s="39"/>
      <c r="BG436" s="39"/>
      <c r="BH436" s="39"/>
      <c r="BI436" s="39"/>
      <c r="BJ436" s="39"/>
      <c r="BK436" s="39"/>
      <c r="BL436" s="39"/>
      <c r="BM436" s="39"/>
      <c r="BN436" s="39"/>
      <c r="BO436" s="39"/>
      <c r="BP436" s="39"/>
      <c r="BQ436" s="39"/>
      <c r="BR436" s="39"/>
      <c r="BS436" s="39"/>
      <c r="BT436" s="39"/>
      <c r="BU436" s="39"/>
      <c r="BV436" s="39"/>
      <c r="BW436" s="39"/>
      <c r="BX436" s="39"/>
      <c r="BY436" s="39"/>
      <c r="BZ436" s="39"/>
      <c r="CA436" s="39"/>
      <c r="CB436" s="39"/>
      <c r="CC436" s="39"/>
      <c r="CD436" s="39"/>
      <c r="CE436" s="39"/>
      <c r="CF436" s="39"/>
      <c r="CG436" s="39"/>
      <c r="CH436" s="39"/>
      <c r="CI436" s="39"/>
      <c r="CJ436" s="39"/>
      <c r="CK436" s="39"/>
      <c r="CL436" s="39"/>
      <c r="CM436" s="39"/>
      <c r="CN436" s="39"/>
      <c r="CO436" s="39"/>
      <c r="CP436" s="39"/>
      <c r="CQ436" s="39"/>
      <c r="CR436" s="39"/>
      <c r="CS436" s="39"/>
      <c r="CT436" s="39"/>
      <c r="CU436" s="39"/>
      <c r="CV436" s="39"/>
      <c r="CW436" s="39"/>
      <c r="CX436" s="39"/>
      <c r="CY436" s="39"/>
      <c r="CZ436" s="39"/>
      <c r="DA436" s="39"/>
      <c r="DB436" s="39"/>
      <c r="DC436" s="39"/>
    </row>
    <row r="437" spans="1:107" s="92" customFormat="1" ht="39.950000000000003" customHeight="1" x14ac:dyDescent="0.25">
      <c r="A437"/>
      <c r="B437"/>
      <c r="C437"/>
      <c r="D437"/>
      <c r="E437"/>
      <c r="F437"/>
      <c r="G437"/>
      <c r="H437"/>
      <c r="I437" s="68"/>
      <c r="J437" s="71"/>
      <c r="K437"/>
      <c r="L437"/>
      <c r="M437"/>
      <c r="N437"/>
      <c r="O437"/>
      <c r="P437"/>
      <c r="Q437" s="121"/>
      <c r="R437"/>
      <c r="S437"/>
      <c r="T437" s="229"/>
      <c r="U437" s="229"/>
      <c r="V437" s="229"/>
      <c r="W437" s="229"/>
      <c r="X437" s="229"/>
      <c r="Y437" s="136"/>
      <c r="Z437" s="166"/>
      <c r="AA437" s="166"/>
      <c r="AB437" s="71"/>
      <c r="AC437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  <c r="BA437" s="39"/>
      <c r="BB437" s="39"/>
      <c r="BC437" s="39"/>
      <c r="BD437" s="39"/>
      <c r="BE437" s="39"/>
      <c r="BF437" s="39"/>
      <c r="BG437" s="39"/>
      <c r="BH437" s="39"/>
      <c r="BI437" s="39"/>
      <c r="BJ437" s="39"/>
      <c r="BK437" s="39"/>
      <c r="BL437" s="39"/>
      <c r="BM437" s="39"/>
      <c r="BN437" s="39"/>
      <c r="BO437" s="39"/>
      <c r="BP437" s="39"/>
      <c r="BQ437" s="39"/>
      <c r="BR437" s="39"/>
      <c r="BS437" s="39"/>
      <c r="BT437" s="39"/>
      <c r="BU437" s="39"/>
      <c r="BV437" s="39"/>
      <c r="BW437" s="39"/>
      <c r="BX437" s="39"/>
      <c r="BY437" s="39"/>
      <c r="BZ437" s="39"/>
      <c r="CA437" s="39"/>
      <c r="CB437" s="39"/>
      <c r="CC437" s="39"/>
      <c r="CD437" s="39"/>
      <c r="CE437" s="39"/>
      <c r="CF437" s="39"/>
      <c r="CG437" s="39"/>
      <c r="CH437" s="39"/>
      <c r="CI437" s="39"/>
      <c r="CJ437" s="39"/>
      <c r="CK437" s="39"/>
      <c r="CL437" s="39"/>
      <c r="CM437" s="39"/>
      <c r="CN437" s="39"/>
      <c r="CO437" s="39"/>
      <c r="CP437" s="39"/>
      <c r="CQ437" s="39"/>
      <c r="CR437" s="39"/>
      <c r="CS437" s="39"/>
      <c r="CT437" s="39"/>
      <c r="CU437" s="39"/>
      <c r="CV437" s="39"/>
      <c r="CW437" s="39"/>
      <c r="CX437" s="39"/>
      <c r="CY437" s="39"/>
      <c r="CZ437" s="39"/>
      <c r="DA437" s="39"/>
      <c r="DB437" s="39"/>
      <c r="DC437" s="39"/>
    </row>
    <row r="438" spans="1:107" s="92" customFormat="1" ht="39.950000000000003" customHeight="1" x14ac:dyDescent="0.25">
      <c r="A438"/>
      <c r="B438"/>
      <c r="C438"/>
      <c r="D438"/>
      <c r="E438"/>
      <c r="F438"/>
      <c r="G438"/>
      <c r="H438"/>
      <c r="I438" s="68"/>
      <c r="J438" s="71"/>
      <c r="K438"/>
      <c r="L438"/>
      <c r="M438"/>
      <c r="N438"/>
      <c r="O438"/>
      <c r="P438"/>
      <c r="Q438" s="121"/>
      <c r="R438"/>
      <c r="S438"/>
      <c r="T438" s="229"/>
      <c r="U438" s="229"/>
      <c r="V438" s="229"/>
      <c r="W438" s="229"/>
      <c r="X438" s="229"/>
      <c r="Y438" s="136"/>
      <c r="Z438" s="166"/>
      <c r="AA438" s="166"/>
      <c r="AB438" s="71"/>
      <c r="AC438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  <c r="BA438" s="39"/>
      <c r="BB438" s="39"/>
      <c r="BC438" s="39"/>
      <c r="BD438" s="39"/>
      <c r="BE438" s="39"/>
      <c r="BF438" s="39"/>
      <c r="BG438" s="39"/>
      <c r="BH438" s="39"/>
      <c r="BI438" s="39"/>
      <c r="BJ438" s="39"/>
      <c r="BK438" s="39"/>
      <c r="BL438" s="39"/>
      <c r="BM438" s="39"/>
      <c r="BN438" s="39"/>
      <c r="BO438" s="39"/>
      <c r="BP438" s="39"/>
      <c r="BQ438" s="39"/>
      <c r="BR438" s="39"/>
      <c r="BS438" s="39"/>
      <c r="BT438" s="39"/>
      <c r="BU438" s="39"/>
      <c r="BV438" s="39"/>
      <c r="BW438" s="39"/>
      <c r="BX438" s="39"/>
      <c r="BY438" s="39"/>
      <c r="BZ438" s="39"/>
      <c r="CA438" s="39"/>
      <c r="CB438" s="39"/>
      <c r="CC438" s="39"/>
      <c r="CD438" s="39"/>
      <c r="CE438" s="39"/>
      <c r="CF438" s="39"/>
      <c r="CG438" s="39"/>
      <c r="CH438" s="39"/>
      <c r="CI438" s="39"/>
      <c r="CJ438" s="39"/>
      <c r="CK438" s="39"/>
      <c r="CL438" s="39"/>
      <c r="CM438" s="39"/>
      <c r="CN438" s="39"/>
      <c r="CO438" s="39"/>
      <c r="CP438" s="39"/>
      <c r="CQ438" s="39"/>
      <c r="CR438" s="39"/>
      <c r="CS438" s="39"/>
      <c r="CT438" s="39"/>
      <c r="CU438" s="39"/>
      <c r="CV438" s="39"/>
      <c r="CW438" s="39"/>
      <c r="CX438" s="39"/>
      <c r="CY438" s="39"/>
      <c r="CZ438" s="39"/>
      <c r="DA438" s="39"/>
      <c r="DB438" s="39"/>
      <c r="DC438" s="39"/>
    </row>
    <row r="439" spans="1:107" s="92" customFormat="1" ht="39.950000000000003" customHeight="1" x14ac:dyDescent="0.25">
      <c r="A439"/>
      <c r="B439"/>
      <c r="C439"/>
      <c r="D439"/>
      <c r="E439"/>
      <c r="F439"/>
      <c r="G439"/>
      <c r="H439"/>
      <c r="I439" s="68"/>
      <c r="J439" s="71"/>
      <c r="K439"/>
      <c r="L439"/>
      <c r="M439"/>
      <c r="N439"/>
      <c r="O439"/>
      <c r="P439"/>
      <c r="Q439" s="121"/>
      <c r="R439"/>
      <c r="S439"/>
      <c r="T439" s="229"/>
      <c r="U439" s="229"/>
      <c r="V439" s="229"/>
      <c r="W439" s="229"/>
      <c r="X439" s="229"/>
      <c r="Y439" s="136"/>
      <c r="Z439" s="166"/>
      <c r="AA439" s="166"/>
      <c r="AB439" s="71"/>
      <c r="AC4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  <c r="BA439" s="39"/>
      <c r="BB439" s="39"/>
      <c r="BC439" s="39"/>
      <c r="BD439" s="39"/>
      <c r="BE439" s="39"/>
      <c r="BF439" s="39"/>
      <c r="BG439" s="39"/>
      <c r="BH439" s="39"/>
      <c r="BI439" s="39"/>
      <c r="BJ439" s="39"/>
      <c r="BK439" s="39"/>
      <c r="BL439" s="39"/>
      <c r="BM439" s="39"/>
      <c r="BN439" s="39"/>
      <c r="BO439" s="39"/>
      <c r="BP439" s="39"/>
      <c r="BQ439" s="39"/>
      <c r="BR439" s="39"/>
      <c r="BS439" s="39"/>
      <c r="BT439" s="39"/>
      <c r="BU439" s="39"/>
      <c r="BV439" s="39"/>
      <c r="BW439" s="39"/>
      <c r="BX439" s="39"/>
      <c r="BY439" s="39"/>
      <c r="BZ439" s="39"/>
      <c r="CA439" s="39"/>
      <c r="CB439" s="39"/>
      <c r="CC439" s="39"/>
      <c r="CD439" s="39"/>
      <c r="CE439" s="39"/>
      <c r="CF439" s="39"/>
      <c r="CG439" s="39"/>
      <c r="CH439" s="39"/>
      <c r="CI439" s="39"/>
      <c r="CJ439" s="39"/>
      <c r="CK439" s="39"/>
      <c r="CL439" s="39"/>
      <c r="CM439" s="39"/>
      <c r="CN439" s="39"/>
      <c r="CO439" s="39"/>
      <c r="CP439" s="39"/>
      <c r="CQ439" s="39"/>
      <c r="CR439" s="39"/>
      <c r="CS439" s="39"/>
      <c r="CT439" s="39"/>
      <c r="CU439" s="39"/>
      <c r="CV439" s="39"/>
      <c r="CW439" s="39"/>
      <c r="CX439" s="39"/>
      <c r="CY439" s="39"/>
      <c r="CZ439" s="39"/>
      <c r="DA439" s="39"/>
      <c r="DB439" s="39"/>
      <c r="DC439" s="39"/>
    </row>
    <row r="440" spans="1:107" s="92" customFormat="1" ht="39.950000000000003" customHeight="1" x14ac:dyDescent="0.25">
      <c r="A440"/>
      <c r="B440"/>
      <c r="C440"/>
      <c r="D440"/>
      <c r="E440"/>
      <c r="F440"/>
      <c r="G440"/>
      <c r="H440"/>
      <c r="I440" s="68"/>
      <c r="J440" s="71"/>
      <c r="K440"/>
      <c r="L440"/>
      <c r="M440"/>
      <c r="N440"/>
      <c r="O440"/>
      <c r="P440"/>
      <c r="Q440" s="121"/>
      <c r="R440"/>
      <c r="S440"/>
      <c r="T440" s="229"/>
      <c r="U440" s="229"/>
      <c r="V440" s="229"/>
      <c r="W440" s="229"/>
      <c r="X440" s="229"/>
      <c r="Y440" s="136"/>
      <c r="Z440" s="166"/>
      <c r="AA440" s="166"/>
      <c r="AB440" s="71"/>
      <c r="AC440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  <c r="BA440" s="39"/>
      <c r="BB440" s="39"/>
      <c r="BC440" s="39"/>
      <c r="BD440" s="39"/>
      <c r="BE440" s="39"/>
      <c r="BF440" s="39"/>
      <c r="BG440" s="39"/>
      <c r="BH440" s="39"/>
      <c r="BI440" s="39"/>
      <c r="BJ440" s="39"/>
      <c r="BK440" s="39"/>
      <c r="BL440" s="39"/>
      <c r="BM440" s="39"/>
      <c r="BN440" s="39"/>
      <c r="BO440" s="39"/>
      <c r="BP440" s="39"/>
      <c r="BQ440" s="39"/>
      <c r="BR440" s="39"/>
      <c r="BS440" s="39"/>
      <c r="BT440" s="39"/>
      <c r="BU440" s="39"/>
      <c r="BV440" s="39"/>
      <c r="BW440" s="39"/>
      <c r="BX440" s="39"/>
      <c r="BY440" s="39"/>
      <c r="BZ440" s="39"/>
      <c r="CA440" s="39"/>
      <c r="CB440" s="39"/>
      <c r="CC440" s="39"/>
      <c r="CD440" s="39"/>
      <c r="CE440" s="39"/>
      <c r="CF440" s="39"/>
      <c r="CG440" s="39"/>
      <c r="CH440" s="39"/>
      <c r="CI440" s="39"/>
      <c r="CJ440" s="39"/>
      <c r="CK440" s="39"/>
      <c r="CL440" s="39"/>
      <c r="CM440" s="39"/>
      <c r="CN440" s="39"/>
      <c r="CO440" s="39"/>
      <c r="CP440" s="39"/>
      <c r="CQ440" s="39"/>
      <c r="CR440" s="39"/>
      <c r="CS440" s="39"/>
      <c r="CT440" s="39"/>
      <c r="CU440" s="39"/>
      <c r="CV440" s="39"/>
      <c r="CW440" s="39"/>
      <c r="CX440" s="39"/>
      <c r="CY440" s="39"/>
      <c r="CZ440" s="39"/>
      <c r="DA440" s="39"/>
      <c r="DB440" s="39"/>
      <c r="DC440" s="39"/>
    </row>
    <row r="441" spans="1:107" s="92" customFormat="1" ht="39.950000000000003" customHeight="1" x14ac:dyDescent="0.25">
      <c r="A441"/>
      <c r="B441"/>
      <c r="C441"/>
      <c r="D441"/>
      <c r="E441"/>
      <c r="F441"/>
      <c r="G441"/>
      <c r="H441"/>
      <c r="I441" s="68"/>
      <c r="J441" s="71"/>
      <c r="K441"/>
      <c r="L441"/>
      <c r="M441"/>
      <c r="N441"/>
      <c r="O441"/>
      <c r="P441"/>
      <c r="Q441" s="121"/>
      <c r="R441"/>
      <c r="S441"/>
      <c r="T441" s="229"/>
      <c r="U441" s="229"/>
      <c r="V441" s="229"/>
      <c r="W441" s="229"/>
      <c r="X441" s="229"/>
      <c r="Y441" s="136"/>
      <c r="Z441" s="166"/>
      <c r="AA441" s="166"/>
      <c r="AB441" s="71"/>
      <c r="AC441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  <c r="BA441" s="39"/>
      <c r="BB441" s="39"/>
      <c r="BC441" s="39"/>
      <c r="BD441" s="39"/>
      <c r="BE441" s="39"/>
      <c r="BF441" s="39"/>
      <c r="BG441" s="39"/>
      <c r="BH441" s="39"/>
      <c r="BI441" s="39"/>
      <c r="BJ441" s="39"/>
      <c r="BK441" s="39"/>
      <c r="BL441" s="39"/>
      <c r="BM441" s="39"/>
      <c r="BN441" s="39"/>
      <c r="BO441" s="39"/>
      <c r="BP441" s="39"/>
      <c r="BQ441" s="39"/>
      <c r="BR441" s="39"/>
      <c r="BS441" s="39"/>
      <c r="BT441" s="39"/>
      <c r="BU441" s="39"/>
      <c r="BV441" s="39"/>
      <c r="BW441" s="39"/>
      <c r="BX441" s="39"/>
      <c r="BY441" s="39"/>
      <c r="BZ441" s="39"/>
      <c r="CA441" s="39"/>
      <c r="CB441" s="39"/>
      <c r="CC441" s="39"/>
      <c r="CD441" s="39"/>
      <c r="CE441" s="39"/>
      <c r="CF441" s="39"/>
      <c r="CG441" s="39"/>
      <c r="CH441" s="39"/>
      <c r="CI441" s="39"/>
      <c r="CJ441" s="39"/>
      <c r="CK441" s="39"/>
      <c r="CL441" s="39"/>
      <c r="CM441" s="39"/>
      <c r="CN441" s="39"/>
      <c r="CO441" s="39"/>
      <c r="CP441" s="39"/>
      <c r="CQ441" s="39"/>
      <c r="CR441" s="39"/>
      <c r="CS441" s="39"/>
      <c r="CT441" s="39"/>
      <c r="CU441" s="39"/>
      <c r="CV441" s="39"/>
      <c r="CW441" s="39"/>
      <c r="CX441" s="39"/>
      <c r="CY441" s="39"/>
      <c r="CZ441" s="39"/>
      <c r="DA441" s="39"/>
      <c r="DB441" s="39"/>
      <c r="DC441" s="39"/>
    </row>
    <row r="442" spans="1:107" s="92" customFormat="1" ht="39.950000000000003" customHeight="1" x14ac:dyDescent="0.25">
      <c r="A442"/>
      <c r="B442"/>
      <c r="C442"/>
      <c r="D442"/>
      <c r="E442"/>
      <c r="F442"/>
      <c r="G442"/>
      <c r="H442"/>
      <c r="I442" s="68"/>
      <c r="J442" s="71"/>
      <c r="K442"/>
      <c r="L442"/>
      <c r="M442"/>
      <c r="N442"/>
      <c r="O442"/>
      <c r="P442"/>
      <c r="Q442" s="121"/>
      <c r="R442"/>
      <c r="S442"/>
      <c r="T442" s="229"/>
      <c r="U442" s="229"/>
      <c r="V442" s="229"/>
      <c r="W442" s="229"/>
      <c r="X442" s="229"/>
      <c r="Y442" s="136"/>
      <c r="Z442" s="166"/>
      <c r="AA442" s="166"/>
      <c r="AB442" s="71"/>
      <c r="AC442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  <c r="BA442" s="39"/>
      <c r="BB442" s="39"/>
      <c r="BC442" s="39"/>
      <c r="BD442" s="39"/>
      <c r="BE442" s="39"/>
      <c r="BF442" s="39"/>
      <c r="BG442" s="39"/>
      <c r="BH442" s="39"/>
      <c r="BI442" s="39"/>
      <c r="BJ442" s="39"/>
      <c r="BK442" s="39"/>
      <c r="BL442" s="39"/>
      <c r="BM442" s="39"/>
      <c r="BN442" s="39"/>
      <c r="BO442" s="39"/>
      <c r="BP442" s="39"/>
      <c r="BQ442" s="39"/>
      <c r="BR442" s="39"/>
      <c r="BS442" s="39"/>
      <c r="BT442" s="39"/>
      <c r="BU442" s="39"/>
      <c r="BV442" s="39"/>
      <c r="BW442" s="39"/>
      <c r="BX442" s="39"/>
      <c r="BY442" s="39"/>
      <c r="BZ442" s="39"/>
      <c r="CA442" s="39"/>
      <c r="CB442" s="39"/>
      <c r="CC442" s="39"/>
      <c r="CD442" s="39"/>
      <c r="CE442" s="39"/>
      <c r="CF442" s="39"/>
      <c r="CG442" s="39"/>
      <c r="CH442" s="39"/>
      <c r="CI442" s="39"/>
      <c r="CJ442" s="39"/>
      <c r="CK442" s="39"/>
      <c r="CL442" s="39"/>
      <c r="CM442" s="39"/>
      <c r="CN442" s="39"/>
      <c r="CO442" s="39"/>
      <c r="CP442" s="39"/>
      <c r="CQ442" s="39"/>
      <c r="CR442" s="39"/>
      <c r="CS442" s="39"/>
      <c r="CT442" s="39"/>
      <c r="CU442" s="39"/>
      <c r="CV442" s="39"/>
      <c r="CW442" s="39"/>
      <c r="CX442" s="39"/>
      <c r="CY442" s="39"/>
      <c r="CZ442" s="39"/>
      <c r="DA442" s="39"/>
      <c r="DB442" s="39"/>
      <c r="DC442" s="39"/>
    </row>
    <row r="443" spans="1:107" s="92" customFormat="1" ht="39.950000000000003" customHeight="1" x14ac:dyDescent="0.25">
      <c r="A443"/>
      <c r="B443"/>
      <c r="C443"/>
      <c r="D443"/>
      <c r="E443"/>
      <c r="F443"/>
      <c r="G443"/>
      <c r="H443"/>
      <c r="I443" s="68"/>
      <c r="J443" s="71"/>
      <c r="K443"/>
      <c r="L443"/>
      <c r="M443"/>
      <c r="N443"/>
      <c r="O443"/>
      <c r="P443"/>
      <c r="Q443" s="121"/>
      <c r="R443"/>
      <c r="S443"/>
      <c r="T443" s="229"/>
      <c r="U443" s="229"/>
      <c r="V443" s="229"/>
      <c r="W443" s="229"/>
      <c r="X443" s="229"/>
      <c r="Y443" s="136"/>
      <c r="Z443" s="166"/>
      <c r="AA443" s="166"/>
      <c r="AB443" s="71"/>
      <c r="AC443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  <c r="BA443" s="39"/>
      <c r="BB443" s="39"/>
      <c r="BC443" s="39"/>
      <c r="BD443" s="39"/>
      <c r="BE443" s="39"/>
      <c r="BF443" s="39"/>
      <c r="BG443" s="39"/>
      <c r="BH443" s="39"/>
      <c r="BI443" s="39"/>
      <c r="BJ443" s="39"/>
      <c r="BK443" s="39"/>
      <c r="BL443" s="39"/>
      <c r="BM443" s="39"/>
      <c r="BN443" s="39"/>
      <c r="BO443" s="39"/>
      <c r="BP443" s="39"/>
      <c r="BQ443" s="39"/>
      <c r="BR443" s="39"/>
      <c r="BS443" s="39"/>
      <c r="BT443" s="39"/>
      <c r="BU443" s="39"/>
      <c r="BV443" s="39"/>
      <c r="BW443" s="39"/>
      <c r="BX443" s="39"/>
      <c r="BY443" s="39"/>
      <c r="BZ443" s="39"/>
      <c r="CA443" s="39"/>
      <c r="CB443" s="39"/>
      <c r="CC443" s="39"/>
      <c r="CD443" s="39"/>
      <c r="CE443" s="39"/>
      <c r="CF443" s="39"/>
      <c r="CG443" s="39"/>
      <c r="CH443" s="39"/>
      <c r="CI443" s="39"/>
      <c r="CJ443" s="39"/>
      <c r="CK443" s="39"/>
      <c r="CL443" s="39"/>
      <c r="CM443" s="39"/>
      <c r="CN443" s="39"/>
      <c r="CO443" s="39"/>
      <c r="CP443" s="39"/>
      <c r="CQ443" s="39"/>
      <c r="CR443" s="39"/>
      <c r="CS443" s="39"/>
      <c r="CT443" s="39"/>
      <c r="CU443" s="39"/>
      <c r="CV443" s="39"/>
      <c r="CW443" s="39"/>
      <c r="CX443" s="39"/>
      <c r="CY443" s="39"/>
      <c r="CZ443" s="39"/>
      <c r="DA443" s="39"/>
      <c r="DB443" s="39"/>
      <c r="DC443" s="39"/>
    </row>
    <row r="444" spans="1:107" s="92" customFormat="1" ht="39.950000000000003" customHeight="1" x14ac:dyDescent="0.25">
      <c r="A444"/>
      <c r="B444"/>
      <c r="C444"/>
      <c r="D444"/>
      <c r="E444"/>
      <c r="F444"/>
      <c r="G444"/>
      <c r="H444"/>
      <c r="I444" s="68"/>
      <c r="J444" s="71"/>
      <c r="K444"/>
      <c r="L444"/>
      <c r="M444"/>
      <c r="N444"/>
      <c r="O444"/>
      <c r="P444"/>
      <c r="Q444" s="121"/>
      <c r="R444"/>
      <c r="S444"/>
      <c r="T444" s="229"/>
      <c r="U444" s="229"/>
      <c r="V444" s="229"/>
      <c r="W444" s="229"/>
      <c r="X444" s="229"/>
      <c r="Y444" s="136"/>
      <c r="Z444" s="166"/>
      <c r="AA444" s="166"/>
      <c r="AB444" s="71"/>
      <c r="AC444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  <c r="BA444" s="39"/>
      <c r="BB444" s="39"/>
      <c r="BC444" s="39"/>
      <c r="BD444" s="39"/>
      <c r="BE444" s="39"/>
      <c r="BF444" s="39"/>
      <c r="BG444" s="39"/>
      <c r="BH444" s="39"/>
      <c r="BI444" s="39"/>
      <c r="BJ444" s="39"/>
      <c r="BK444" s="39"/>
      <c r="BL444" s="39"/>
      <c r="BM444" s="39"/>
      <c r="BN444" s="39"/>
      <c r="BO444" s="39"/>
      <c r="BP444" s="39"/>
      <c r="BQ444" s="39"/>
      <c r="BR444" s="39"/>
      <c r="BS444" s="39"/>
      <c r="BT444" s="39"/>
      <c r="BU444" s="39"/>
      <c r="BV444" s="39"/>
      <c r="BW444" s="39"/>
      <c r="BX444" s="39"/>
      <c r="BY444" s="39"/>
      <c r="BZ444" s="39"/>
      <c r="CA444" s="39"/>
      <c r="CB444" s="39"/>
      <c r="CC444" s="39"/>
      <c r="CD444" s="39"/>
      <c r="CE444" s="39"/>
      <c r="CF444" s="39"/>
      <c r="CG444" s="39"/>
      <c r="CH444" s="39"/>
      <c r="CI444" s="39"/>
      <c r="CJ444" s="39"/>
      <c r="CK444" s="39"/>
      <c r="CL444" s="39"/>
      <c r="CM444" s="39"/>
      <c r="CN444" s="39"/>
      <c r="CO444" s="39"/>
      <c r="CP444" s="39"/>
      <c r="CQ444" s="39"/>
      <c r="CR444" s="39"/>
      <c r="CS444" s="39"/>
      <c r="CT444" s="39"/>
      <c r="CU444" s="39"/>
      <c r="CV444" s="39"/>
      <c r="CW444" s="39"/>
      <c r="CX444" s="39"/>
      <c r="CY444" s="39"/>
      <c r="CZ444" s="39"/>
      <c r="DA444" s="39"/>
      <c r="DB444" s="39"/>
      <c r="DC444" s="39"/>
    </row>
    <row r="445" spans="1:107" s="92" customFormat="1" ht="39.950000000000003" customHeight="1" x14ac:dyDescent="0.25">
      <c r="A445"/>
      <c r="B445"/>
      <c r="C445"/>
      <c r="D445"/>
      <c r="E445"/>
      <c r="F445"/>
      <c r="G445"/>
      <c r="H445"/>
      <c r="I445" s="68"/>
      <c r="J445" s="71"/>
      <c r="K445"/>
      <c r="L445"/>
      <c r="M445"/>
      <c r="N445"/>
      <c r="O445"/>
      <c r="P445"/>
      <c r="Q445" s="121"/>
      <c r="R445"/>
      <c r="S445"/>
      <c r="T445" s="229"/>
      <c r="U445" s="229"/>
      <c r="V445" s="229"/>
      <c r="W445" s="229"/>
      <c r="X445" s="229"/>
      <c r="Y445" s="136"/>
      <c r="Z445" s="166"/>
      <c r="AA445" s="166"/>
      <c r="AB445" s="71"/>
      <c r="AC445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  <c r="BA445" s="39"/>
      <c r="BB445" s="39"/>
      <c r="BC445" s="39"/>
      <c r="BD445" s="39"/>
      <c r="BE445" s="39"/>
      <c r="BF445" s="39"/>
      <c r="BG445" s="39"/>
      <c r="BH445" s="39"/>
      <c r="BI445" s="39"/>
      <c r="BJ445" s="39"/>
      <c r="BK445" s="39"/>
      <c r="BL445" s="39"/>
      <c r="BM445" s="39"/>
      <c r="BN445" s="39"/>
      <c r="BO445" s="39"/>
      <c r="BP445" s="39"/>
      <c r="BQ445" s="39"/>
      <c r="BR445" s="39"/>
      <c r="BS445" s="39"/>
      <c r="BT445" s="39"/>
      <c r="BU445" s="39"/>
      <c r="BV445" s="39"/>
      <c r="BW445" s="39"/>
      <c r="BX445" s="39"/>
      <c r="BY445" s="39"/>
      <c r="BZ445" s="39"/>
      <c r="CA445" s="39"/>
      <c r="CB445" s="39"/>
      <c r="CC445" s="39"/>
      <c r="CD445" s="39"/>
      <c r="CE445" s="39"/>
      <c r="CF445" s="39"/>
      <c r="CG445" s="39"/>
      <c r="CH445" s="39"/>
      <c r="CI445" s="39"/>
      <c r="CJ445" s="39"/>
      <c r="CK445" s="39"/>
      <c r="CL445" s="39"/>
      <c r="CM445" s="39"/>
      <c r="CN445" s="39"/>
      <c r="CO445" s="39"/>
      <c r="CP445" s="39"/>
      <c r="CQ445" s="39"/>
      <c r="CR445" s="39"/>
      <c r="CS445" s="39"/>
      <c r="CT445" s="39"/>
      <c r="CU445" s="39"/>
      <c r="CV445" s="39"/>
      <c r="CW445" s="39"/>
      <c r="CX445" s="39"/>
      <c r="CY445" s="39"/>
      <c r="CZ445" s="39"/>
      <c r="DA445" s="39"/>
      <c r="DB445" s="39"/>
      <c r="DC445" s="39"/>
    </row>
    <row r="446" spans="1:107" s="92" customFormat="1" ht="39.950000000000003" customHeight="1" x14ac:dyDescent="0.25">
      <c r="A446"/>
      <c r="B446"/>
      <c r="C446"/>
      <c r="D446"/>
      <c r="E446"/>
      <c r="F446"/>
      <c r="G446"/>
      <c r="H446"/>
      <c r="I446" s="68"/>
      <c r="J446" s="71"/>
      <c r="K446"/>
      <c r="L446"/>
      <c r="M446"/>
      <c r="N446"/>
      <c r="O446"/>
      <c r="P446"/>
      <c r="Q446" s="121"/>
      <c r="R446"/>
      <c r="S446"/>
      <c r="T446" s="229"/>
      <c r="U446" s="229"/>
      <c r="V446" s="229"/>
      <c r="W446" s="229"/>
      <c r="X446" s="229"/>
      <c r="Y446" s="136"/>
      <c r="Z446" s="166"/>
      <c r="AA446" s="166"/>
      <c r="AB446" s="71"/>
      <c r="AC446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  <c r="BA446" s="39"/>
      <c r="BB446" s="39"/>
      <c r="BC446" s="39"/>
      <c r="BD446" s="39"/>
      <c r="BE446" s="39"/>
      <c r="BF446" s="39"/>
      <c r="BG446" s="39"/>
      <c r="BH446" s="39"/>
      <c r="BI446" s="39"/>
      <c r="BJ446" s="39"/>
      <c r="BK446" s="39"/>
      <c r="BL446" s="39"/>
      <c r="BM446" s="39"/>
      <c r="BN446" s="39"/>
      <c r="BO446" s="39"/>
      <c r="BP446" s="39"/>
      <c r="BQ446" s="39"/>
      <c r="BR446" s="39"/>
      <c r="BS446" s="39"/>
      <c r="BT446" s="39"/>
      <c r="BU446" s="39"/>
      <c r="BV446" s="39"/>
      <c r="BW446" s="39"/>
      <c r="BX446" s="39"/>
      <c r="BY446" s="39"/>
      <c r="BZ446" s="39"/>
      <c r="CA446" s="39"/>
      <c r="CB446" s="39"/>
      <c r="CC446" s="39"/>
      <c r="CD446" s="39"/>
      <c r="CE446" s="39"/>
      <c r="CF446" s="39"/>
      <c r="CG446" s="39"/>
      <c r="CH446" s="39"/>
      <c r="CI446" s="39"/>
      <c r="CJ446" s="39"/>
      <c r="CK446" s="39"/>
      <c r="CL446" s="39"/>
      <c r="CM446" s="39"/>
      <c r="CN446" s="39"/>
      <c r="CO446" s="39"/>
      <c r="CP446" s="39"/>
      <c r="CQ446" s="39"/>
      <c r="CR446" s="39"/>
      <c r="CS446" s="39"/>
      <c r="CT446" s="39"/>
      <c r="CU446" s="39"/>
      <c r="CV446" s="39"/>
      <c r="CW446" s="39"/>
      <c r="CX446" s="39"/>
      <c r="CY446" s="39"/>
      <c r="CZ446" s="39"/>
      <c r="DA446" s="39"/>
      <c r="DB446" s="39"/>
      <c r="DC446" s="39"/>
    </row>
    <row r="447" spans="1:107" s="92" customFormat="1" ht="39.950000000000003" customHeight="1" x14ac:dyDescent="0.25">
      <c r="A447"/>
      <c r="B447"/>
      <c r="C447"/>
      <c r="D447"/>
      <c r="E447"/>
      <c r="F447"/>
      <c r="G447"/>
      <c r="H447"/>
      <c r="I447" s="68"/>
      <c r="J447" s="71"/>
      <c r="K447"/>
      <c r="L447"/>
      <c r="M447"/>
      <c r="N447"/>
      <c r="O447"/>
      <c r="P447"/>
      <c r="Q447" s="121"/>
      <c r="R447"/>
      <c r="S447"/>
      <c r="T447" s="229"/>
      <c r="U447" s="229"/>
      <c r="V447" s="229"/>
      <c r="W447" s="229"/>
      <c r="X447" s="229"/>
      <c r="Y447" s="136"/>
      <c r="Z447" s="166"/>
      <c r="AA447" s="166"/>
      <c r="AB447" s="71"/>
      <c r="AC447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  <c r="BA447" s="39"/>
      <c r="BB447" s="39"/>
      <c r="BC447" s="39"/>
      <c r="BD447" s="39"/>
      <c r="BE447" s="39"/>
      <c r="BF447" s="39"/>
      <c r="BG447" s="39"/>
      <c r="BH447" s="39"/>
      <c r="BI447" s="39"/>
      <c r="BJ447" s="39"/>
      <c r="BK447" s="39"/>
      <c r="BL447" s="39"/>
      <c r="BM447" s="39"/>
      <c r="BN447" s="39"/>
      <c r="BO447" s="39"/>
      <c r="BP447" s="39"/>
      <c r="BQ447" s="39"/>
      <c r="BR447" s="39"/>
      <c r="BS447" s="39"/>
      <c r="BT447" s="39"/>
      <c r="BU447" s="39"/>
      <c r="BV447" s="39"/>
      <c r="BW447" s="39"/>
      <c r="BX447" s="39"/>
      <c r="BY447" s="39"/>
      <c r="BZ447" s="39"/>
      <c r="CA447" s="39"/>
      <c r="CB447" s="39"/>
      <c r="CC447" s="39"/>
      <c r="CD447" s="39"/>
      <c r="CE447" s="39"/>
      <c r="CF447" s="39"/>
      <c r="CG447" s="39"/>
      <c r="CH447" s="39"/>
      <c r="CI447" s="39"/>
      <c r="CJ447" s="39"/>
      <c r="CK447" s="39"/>
      <c r="CL447" s="39"/>
      <c r="CM447" s="39"/>
      <c r="CN447" s="39"/>
      <c r="CO447" s="39"/>
      <c r="CP447" s="39"/>
      <c r="CQ447" s="39"/>
      <c r="CR447" s="39"/>
      <c r="CS447" s="39"/>
      <c r="CT447" s="39"/>
      <c r="CU447" s="39"/>
      <c r="CV447" s="39"/>
      <c r="CW447" s="39"/>
      <c r="CX447" s="39"/>
      <c r="CY447" s="39"/>
      <c r="CZ447" s="39"/>
      <c r="DA447" s="39"/>
      <c r="DB447" s="39"/>
      <c r="DC447" s="39"/>
    </row>
    <row r="448" spans="1:107" s="92" customFormat="1" ht="39.950000000000003" customHeight="1" x14ac:dyDescent="0.25">
      <c r="A448"/>
      <c r="B448"/>
      <c r="C448"/>
      <c r="D448"/>
      <c r="E448"/>
      <c r="F448"/>
      <c r="G448"/>
      <c r="H448"/>
      <c r="I448" s="68"/>
      <c r="J448" s="71"/>
      <c r="K448"/>
      <c r="L448"/>
      <c r="M448"/>
      <c r="N448"/>
      <c r="O448"/>
      <c r="P448"/>
      <c r="Q448" s="121"/>
      <c r="R448"/>
      <c r="S448"/>
      <c r="T448" s="229"/>
      <c r="U448" s="229"/>
      <c r="V448" s="229"/>
      <c r="W448" s="229"/>
      <c r="X448" s="229"/>
      <c r="Y448" s="136"/>
      <c r="Z448" s="166"/>
      <c r="AA448" s="166"/>
      <c r="AB448" s="71"/>
      <c r="AC448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  <c r="BA448" s="39"/>
      <c r="BB448" s="39"/>
      <c r="BC448" s="39"/>
      <c r="BD448" s="39"/>
      <c r="BE448" s="39"/>
      <c r="BF448" s="39"/>
      <c r="BG448" s="39"/>
      <c r="BH448" s="39"/>
      <c r="BI448" s="39"/>
      <c r="BJ448" s="39"/>
      <c r="BK448" s="39"/>
      <c r="BL448" s="39"/>
      <c r="BM448" s="39"/>
      <c r="BN448" s="39"/>
      <c r="BO448" s="39"/>
      <c r="BP448" s="39"/>
      <c r="BQ448" s="39"/>
      <c r="BR448" s="39"/>
      <c r="BS448" s="39"/>
      <c r="BT448" s="39"/>
      <c r="BU448" s="39"/>
      <c r="BV448" s="39"/>
      <c r="BW448" s="39"/>
      <c r="BX448" s="39"/>
      <c r="BY448" s="39"/>
      <c r="BZ448" s="39"/>
      <c r="CA448" s="39"/>
      <c r="CB448" s="39"/>
      <c r="CC448" s="39"/>
      <c r="CD448" s="39"/>
      <c r="CE448" s="39"/>
      <c r="CF448" s="39"/>
      <c r="CG448" s="39"/>
      <c r="CH448" s="39"/>
      <c r="CI448" s="39"/>
      <c r="CJ448" s="39"/>
      <c r="CK448" s="39"/>
      <c r="CL448" s="39"/>
      <c r="CM448" s="39"/>
      <c r="CN448" s="39"/>
      <c r="CO448" s="39"/>
      <c r="CP448" s="39"/>
      <c r="CQ448" s="39"/>
      <c r="CR448" s="39"/>
      <c r="CS448" s="39"/>
      <c r="CT448" s="39"/>
      <c r="CU448" s="39"/>
      <c r="CV448" s="39"/>
      <c r="CW448" s="39"/>
      <c r="CX448" s="39"/>
      <c r="CY448" s="39"/>
      <c r="CZ448" s="39"/>
      <c r="DA448" s="39"/>
      <c r="DB448" s="39"/>
      <c r="DC448" s="39"/>
    </row>
    <row r="449" spans="1:107" s="92" customFormat="1" ht="39.950000000000003" customHeight="1" x14ac:dyDescent="0.25">
      <c r="A449"/>
      <c r="B449"/>
      <c r="C449"/>
      <c r="D449"/>
      <c r="E449"/>
      <c r="F449"/>
      <c r="G449"/>
      <c r="H449"/>
      <c r="I449" s="68"/>
      <c r="J449" s="71"/>
      <c r="K449"/>
      <c r="L449"/>
      <c r="M449"/>
      <c r="N449"/>
      <c r="O449"/>
      <c r="P449"/>
      <c r="Q449" s="121"/>
      <c r="R449"/>
      <c r="S449"/>
      <c r="T449" s="229"/>
      <c r="U449" s="229"/>
      <c r="V449" s="229"/>
      <c r="W449" s="229"/>
      <c r="X449" s="229"/>
      <c r="Y449" s="136"/>
      <c r="Z449" s="166"/>
      <c r="AA449" s="166"/>
      <c r="AB449" s="71"/>
      <c r="AC44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  <c r="BA449" s="39"/>
      <c r="BB449" s="39"/>
      <c r="BC449" s="39"/>
      <c r="BD449" s="39"/>
      <c r="BE449" s="39"/>
      <c r="BF449" s="39"/>
      <c r="BG449" s="39"/>
      <c r="BH449" s="39"/>
      <c r="BI449" s="39"/>
      <c r="BJ449" s="39"/>
      <c r="BK449" s="39"/>
      <c r="BL449" s="39"/>
      <c r="BM449" s="39"/>
      <c r="BN449" s="39"/>
      <c r="BO449" s="39"/>
      <c r="BP449" s="39"/>
      <c r="BQ449" s="39"/>
      <c r="BR449" s="39"/>
      <c r="BS449" s="39"/>
      <c r="BT449" s="39"/>
      <c r="BU449" s="39"/>
      <c r="BV449" s="39"/>
      <c r="BW449" s="39"/>
      <c r="BX449" s="39"/>
      <c r="BY449" s="39"/>
      <c r="BZ449" s="39"/>
      <c r="CA449" s="39"/>
      <c r="CB449" s="39"/>
      <c r="CC449" s="39"/>
      <c r="CD449" s="39"/>
      <c r="CE449" s="39"/>
      <c r="CF449" s="39"/>
      <c r="CG449" s="39"/>
      <c r="CH449" s="39"/>
      <c r="CI449" s="39"/>
      <c r="CJ449" s="39"/>
      <c r="CK449" s="39"/>
      <c r="CL449" s="39"/>
      <c r="CM449" s="39"/>
      <c r="CN449" s="39"/>
      <c r="CO449" s="39"/>
      <c r="CP449" s="39"/>
      <c r="CQ449" s="39"/>
      <c r="CR449" s="39"/>
      <c r="CS449" s="39"/>
      <c r="CT449" s="39"/>
      <c r="CU449" s="39"/>
      <c r="CV449" s="39"/>
      <c r="CW449" s="39"/>
      <c r="CX449" s="39"/>
      <c r="CY449" s="39"/>
      <c r="CZ449" s="39"/>
      <c r="DA449" s="39"/>
      <c r="DB449" s="39"/>
      <c r="DC449" s="39"/>
    </row>
    <row r="450" spans="1:107" s="92" customFormat="1" ht="39.950000000000003" customHeight="1" x14ac:dyDescent="0.25">
      <c r="A450"/>
      <c r="B450"/>
      <c r="C450"/>
      <c r="D450"/>
      <c r="E450"/>
      <c r="F450"/>
      <c r="G450"/>
      <c r="H450"/>
      <c r="I450" s="68"/>
      <c r="J450" s="71"/>
      <c r="K450"/>
      <c r="L450"/>
      <c r="M450"/>
      <c r="N450"/>
      <c r="O450"/>
      <c r="P450"/>
      <c r="Q450" s="121"/>
      <c r="R450"/>
      <c r="S450"/>
      <c r="T450" s="229"/>
      <c r="U450" s="229"/>
      <c r="V450" s="229"/>
      <c r="W450" s="229"/>
      <c r="X450" s="229"/>
      <c r="Y450" s="136"/>
      <c r="Z450" s="166"/>
      <c r="AA450" s="166"/>
      <c r="AB450" s="71"/>
      <c r="AC450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  <c r="BA450" s="39"/>
      <c r="BB450" s="39"/>
      <c r="BC450" s="39"/>
      <c r="BD450" s="39"/>
      <c r="BE450" s="39"/>
      <c r="BF450" s="39"/>
      <c r="BG450" s="39"/>
      <c r="BH450" s="39"/>
      <c r="BI450" s="39"/>
      <c r="BJ450" s="39"/>
      <c r="BK450" s="39"/>
      <c r="BL450" s="39"/>
      <c r="BM450" s="39"/>
      <c r="BN450" s="39"/>
      <c r="BO450" s="39"/>
      <c r="BP450" s="39"/>
      <c r="BQ450" s="39"/>
      <c r="BR450" s="39"/>
      <c r="BS450" s="39"/>
      <c r="BT450" s="39"/>
      <c r="BU450" s="39"/>
      <c r="BV450" s="39"/>
      <c r="BW450" s="39"/>
      <c r="BX450" s="39"/>
      <c r="BY450" s="39"/>
      <c r="BZ450" s="39"/>
      <c r="CA450" s="39"/>
      <c r="CB450" s="39"/>
      <c r="CC450" s="39"/>
      <c r="CD450" s="39"/>
      <c r="CE450" s="39"/>
      <c r="CF450" s="39"/>
      <c r="CG450" s="39"/>
      <c r="CH450" s="39"/>
      <c r="CI450" s="39"/>
      <c r="CJ450" s="39"/>
      <c r="CK450" s="39"/>
      <c r="CL450" s="39"/>
      <c r="CM450" s="39"/>
      <c r="CN450" s="39"/>
      <c r="CO450" s="39"/>
      <c r="CP450" s="39"/>
      <c r="CQ450" s="39"/>
      <c r="CR450" s="39"/>
      <c r="CS450" s="39"/>
      <c r="CT450" s="39"/>
      <c r="CU450" s="39"/>
      <c r="CV450" s="39"/>
      <c r="CW450" s="39"/>
      <c r="CX450" s="39"/>
      <c r="CY450" s="39"/>
      <c r="CZ450" s="39"/>
      <c r="DA450" s="39"/>
      <c r="DB450" s="39"/>
      <c r="DC450" s="39"/>
    </row>
    <row r="451" spans="1:107" s="92" customFormat="1" ht="39.950000000000003" customHeight="1" x14ac:dyDescent="0.25">
      <c r="A451"/>
      <c r="B451"/>
      <c r="C451"/>
      <c r="D451"/>
      <c r="E451"/>
      <c r="F451"/>
      <c r="G451"/>
      <c r="H451"/>
      <c r="I451" s="68"/>
      <c r="J451" s="71"/>
      <c r="K451"/>
      <c r="L451"/>
      <c r="M451"/>
      <c r="N451"/>
      <c r="O451"/>
      <c r="P451"/>
      <c r="Q451" s="121"/>
      <c r="R451"/>
      <c r="S451"/>
      <c r="T451" s="229"/>
      <c r="U451" s="229"/>
      <c r="V451" s="229"/>
      <c r="W451" s="229"/>
      <c r="X451" s="229"/>
      <c r="Y451" s="136"/>
      <c r="Z451" s="166"/>
      <c r="AA451" s="166"/>
      <c r="AB451" s="71"/>
      <c r="AC451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  <c r="BA451" s="39"/>
      <c r="BB451" s="39"/>
      <c r="BC451" s="39"/>
      <c r="BD451" s="39"/>
      <c r="BE451" s="39"/>
      <c r="BF451" s="39"/>
      <c r="BG451" s="39"/>
      <c r="BH451" s="39"/>
      <c r="BI451" s="39"/>
      <c r="BJ451" s="39"/>
      <c r="BK451" s="39"/>
      <c r="BL451" s="39"/>
      <c r="BM451" s="39"/>
      <c r="BN451" s="39"/>
      <c r="BO451" s="39"/>
      <c r="BP451" s="39"/>
      <c r="BQ451" s="39"/>
      <c r="BR451" s="39"/>
      <c r="BS451" s="39"/>
      <c r="BT451" s="39"/>
      <c r="BU451" s="39"/>
      <c r="BV451" s="39"/>
      <c r="BW451" s="39"/>
      <c r="BX451" s="39"/>
      <c r="BY451" s="39"/>
      <c r="BZ451" s="39"/>
      <c r="CA451" s="39"/>
      <c r="CB451" s="39"/>
      <c r="CC451" s="39"/>
      <c r="CD451" s="39"/>
      <c r="CE451" s="39"/>
      <c r="CF451" s="39"/>
      <c r="CG451" s="39"/>
      <c r="CH451" s="39"/>
      <c r="CI451" s="39"/>
      <c r="CJ451" s="39"/>
      <c r="CK451" s="39"/>
      <c r="CL451" s="39"/>
      <c r="CM451" s="39"/>
      <c r="CN451" s="39"/>
      <c r="CO451" s="39"/>
      <c r="CP451" s="39"/>
      <c r="CQ451" s="39"/>
      <c r="CR451" s="39"/>
      <c r="CS451" s="39"/>
      <c r="CT451" s="39"/>
      <c r="CU451" s="39"/>
      <c r="CV451" s="39"/>
      <c r="CW451" s="39"/>
      <c r="CX451" s="39"/>
      <c r="CY451" s="39"/>
      <c r="CZ451" s="39"/>
      <c r="DA451" s="39"/>
      <c r="DB451" s="39"/>
      <c r="DC451" s="39"/>
    </row>
    <row r="452" spans="1:107" s="92" customFormat="1" ht="39.950000000000003" customHeight="1" x14ac:dyDescent="0.25">
      <c r="A452"/>
      <c r="B452"/>
      <c r="C452"/>
      <c r="D452"/>
      <c r="E452"/>
      <c r="F452"/>
      <c r="G452"/>
      <c r="H452"/>
      <c r="I452" s="68"/>
      <c r="J452" s="71"/>
      <c r="K452"/>
      <c r="L452"/>
      <c r="M452"/>
      <c r="N452"/>
      <c r="O452"/>
      <c r="P452"/>
      <c r="Q452" s="121"/>
      <c r="R452"/>
      <c r="S452"/>
      <c r="T452" s="229"/>
      <c r="U452" s="229"/>
      <c r="V452" s="229"/>
      <c r="W452" s="229"/>
      <c r="X452" s="229"/>
      <c r="Y452" s="136"/>
      <c r="Z452" s="166"/>
      <c r="AA452" s="166"/>
      <c r="AB452" s="71"/>
      <c r="AC452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  <c r="BA452" s="39"/>
      <c r="BB452" s="39"/>
      <c r="BC452" s="39"/>
      <c r="BD452" s="39"/>
      <c r="BE452" s="39"/>
      <c r="BF452" s="39"/>
      <c r="BG452" s="39"/>
      <c r="BH452" s="39"/>
      <c r="BI452" s="39"/>
      <c r="BJ452" s="39"/>
      <c r="BK452" s="39"/>
      <c r="BL452" s="39"/>
      <c r="BM452" s="39"/>
      <c r="BN452" s="39"/>
      <c r="BO452" s="39"/>
      <c r="BP452" s="39"/>
      <c r="BQ452" s="39"/>
      <c r="BR452" s="39"/>
      <c r="BS452" s="39"/>
      <c r="BT452" s="39"/>
      <c r="BU452" s="39"/>
      <c r="BV452" s="39"/>
      <c r="BW452" s="39"/>
      <c r="BX452" s="39"/>
      <c r="BY452" s="39"/>
      <c r="BZ452" s="39"/>
      <c r="CA452" s="39"/>
      <c r="CB452" s="39"/>
      <c r="CC452" s="39"/>
      <c r="CD452" s="39"/>
      <c r="CE452" s="39"/>
      <c r="CF452" s="39"/>
      <c r="CG452" s="39"/>
      <c r="CH452" s="39"/>
      <c r="CI452" s="39"/>
      <c r="CJ452" s="39"/>
      <c r="CK452" s="39"/>
      <c r="CL452" s="39"/>
      <c r="CM452" s="39"/>
      <c r="CN452" s="39"/>
      <c r="CO452" s="39"/>
      <c r="CP452" s="39"/>
      <c r="CQ452" s="39"/>
      <c r="CR452" s="39"/>
      <c r="CS452" s="39"/>
      <c r="CT452" s="39"/>
      <c r="CU452" s="39"/>
      <c r="CV452" s="39"/>
      <c r="CW452" s="39"/>
      <c r="CX452" s="39"/>
      <c r="CY452" s="39"/>
      <c r="CZ452" s="39"/>
      <c r="DA452" s="39"/>
      <c r="DB452" s="39"/>
      <c r="DC452" s="39"/>
    </row>
    <row r="453" spans="1:107" s="92" customFormat="1" ht="39.950000000000003" customHeight="1" x14ac:dyDescent="0.25">
      <c r="A453"/>
      <c r="B453"/>
      <c r="C453"/>
      <c r="D453"/>
      <c r="E453"/>
      <c r="F453"/>
      <c r="G453"/>
      <c r="H453"/>
      <c r="I453" s="68"/>
      <c r="J453" s="71"/>
      <c r="K453"/>
      <c r="L453"/>
      <c r="M453"/>
      <c r="N453"/>
      <c r="O453"/>
      <c r="P453"/>
      <c r="Q453" s="121"/>
      <c r="R453"/>
      <c r="S453"/>
      <c r="T453" s="229"/>
      <c r="U453" s="229"/>
      <c r="V453" s="229"/>
      <c r="W453" s="229"/>
      <c r="X453" s="229"/>
      <c r="Y453" s="136"/>
      <c r="Z453" s="166"/>
      <c r="AA453" s="166"/>
      <c r="AB453" s="71"/>
      <c r="AC453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  <c r="BA453" s="39"/>
      <c r="BB453" s="39"/>
      <c r="BC453" s="39"/>
      <c r="BD453" s="39"/>
      <c r="BE453" s="39"/>
      <c r="BF453" s="39"/>
      <c r="BG453" s="39"/>
      <c r="BH453" s="39"/>
      <c r="BI453" s="39"/>
      <c r="BJ453" s="39"/>
      <c r="BK453" s="39"/>
      <c r="BL453" s="39"/>
      <c r="BM453" s="39"/>
      <c r="BN453" s="39"/>
      <c r="BO453" s="39"/>
      <c r="BP453" s="39"/>
      <c r="BQ453" s="39"/>
      <c r="BR453" s="39"/>
      <c r="BS453" s="39"/>
      <c r="BT453" s="39"/>
      <c r="BU453" s="39"/>
      <c r="BV453" s="39"/>
      <c r="BW453" s="39"/>
      <c r="BX453" s="39"/>
      <c r="BY453" s="39"/>
      <c r="BZ453" s="39"/>
      <c r="CA453" s="39"/>
      <c r="CB453" s="39"/>
      <c r="CC453" s="39"/>
      <c r="CD453" s="39"/>
      <c r="CE453" s="39"/>
      <c r="CF453" s="39"/>
      <c r="CG453" s="39"/>
      <c r="CH453" s="39"/>
      <c r="CI453" s="39"/>
      <c r="CJ453" s="39"/>
      <c r="CK453" s="39"/>
      <c r="CL453" s="39"/>
      <c r="CM453" s="39"/>
      <c r="CN453" s="39"/>
      <c r="CO453" s="39"/>
      <c r="CP453" s="39"/>
      <c r="CQ453" s="39"/>
      <c r="CR453" s="39"/>
      <c r="CS453" s="39"/>
      <c r="CT453" s="39"/>
      <c r="CU453" s="39"/>
      <c r="CV453" s="39"/>
      <c r="CW453" s="39"/>
      <c r="CX453" s="39"/>
      <c r="CY453" s="39"/>
      <c r="CZ453" s="39"/>
      <c r="DA453" s="39"/>
      <c r="DB453" s="39"/>
      <c r="DC453" s="39"/>
    </row>
    <row r="454" spans="1:107" s="92" customFormat="1" ht="39.950000000000003" customHeight="1" x14ac:dyDescent="0.25">
      <c r="A454"/>
      <c r="B454"/>
      <c r="C454"/>
      <c r="D454"/>
      <c r="E454"/>
      <c r="F454"/>
      <c r="G454"/>
      <c r="H454"/>
      <c r="I454" s="68"/>
      <c r="J454" s="71"/>
      <c r="K454"/>
      <c r="L454"/>
      <c r="M454"/>
      <c r="N454"/>
      <c r="O454"/>
      <c r="P454"/>
      <c r="Q454" s="121"/>
      <c r="R454"/>
      <c r="S454"/>
      <c r="T454" s="229"/>
      <c r="U454" s="229"/>
      <c r="V454" s="229"/>
      <c r="W454" s="229"/>
      <c r="X454" s="229"/>
      <c r="Y454" s="136"/>
      <c r="Z454" s="166"/>
      <c r="AA454" s="166"/>
      <c r="AB454" s="71"/>
      <c r="AC454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  <c r="BA454" s="39"/>
      <c r="BB454" s="39"/>
      <c r="BC454" s="39"/>
      <c r="BD454" s="39"/>
      <c r="BE454" s="39"/>
      <c r="BF454" s="39"/>
      <c r="BG454" s="39"/>
      <c r="BH454" s="39"/>
      <c r="BI454" s="39"/>
      <c r="BJ454" s="39"/>
      <c r="BK454" s="39"/>
      <c r="BL454" s="39"/>
      <c r="BM454" s="39"/>
      <c r="BN454" s="39"/>
      <c r="BO454" s="39"/>
      <c r="BP454" s="39"/>
      <c r="BQ454" s="39"/>
      <c r="BR454" s="39"/>
      <c r="BS454" s="39"/>
      <c r="BT454" s="39"/>
      <c r="BU454" s="39"/>
      <c r="BV454" s="39"/>
      <c r="BW454" s="39"/>
      <c r="BX454" s="39"/>
      <c r="BY454" s="39"/>
      <c r="BZ454" s="39"/>
      <c r="CA454" s="39"/>
      <c r="CB454" s="39"/>
      <c r="CC454" s="39"/>
      <c r="CD454" s="39"/>
      <c r="CE454" s="39"/>
      <c r="CF454" s="39"/>
      <c r="CG454" s="39"/>
      <c r="CH454" s="39"/>
      <c r="CI454" s="39"/>
      <c r="CJ454" s="39"/>
      <c r="CK454" s="39"/>
      <c r="CL454" s="39"/>
      <c r="CM454" s="39"/>
      <c r="CN454" s="39"/>
      <c r="CO454" s="39"/>
      <c r="CP454" s="39"/>
      <c r="CQ454" s="39"/>
      <c r="CR454" s="39"/>
      <c r="CS454" s="39"/>
      <c r="CT454" s="39"/>
      <c r="CU454" s="39"/>
      <c r="CV454" s="39"/>
      <c r="CW454" s="39"/>
      <c r="CX454" s="39"/>
      <c r="CY454" s="39"/>
      <c r="CZ454" s="39"/>
      <c r="DA454" s="39"/>
      <c r="DB454" s="39"/>
      <c r="DC454" s="39"/>
    </row>
    <row r="455" spans="1:107" s="92" customFormat="1" ht="39.950000000000003" customHeight="1" x14ac:dyDescent="0.25">
      <c r="A455"/>
      <c r="B455"/>
      <c r="C455"/>
      <c r="D455"/>
      <c r="E455"/>
      <c r="F455"/>
      <c r="G455"/>
      <c r="H455"/>
      <c r="I455" s="68"/>
      <c r="J455" s="71"/>
      <c r="K455"/>
      <c r="L455"/>
      <c r="M455"/>
      <c r="N455"/>
      <c r="O455"/>
      <c r="P455"/>
      <c r="Q455" s="121"/>
      <c r="R455"/>
      <c r="S455"/>
      <c r="T455" s="229"/>
      <c r="U455" s="229"/>
      <c r="V455" s="229"/>
      <c r="W455" s="229"/>
      <c r="X455" s="229"/>
      <c r="Y455" s="136"/>
      <c r="Z455" s="166"/>
      <c r="AA455" s="166"/>
      <c r="AB455" s="71"/>
      <c r="AC455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  <c r="BA455" s="39"/>
      <c r="BB455" s="39"/>
      <c r="BC455" s="39"/>
      <c r="BD455" s="39"/>
      <c r="BE455" s="39"/>
      <c r="BF455" s="39"/>
      <c r="BG455" s="39"/>
      <c r="BH455" s="39"/>
      <c r="BI455" s="39"/>
      <c r="BJ455" s="39"/>
      <c r="BK455" s="39"/>
      <c r="BL455" s="39"/>
      <c r="BM455" s="39"/>
      <c r="BN455" s="39"/>
      <c r="BO455" s="39"/>
      <c r="BP455" s="39"/>
      <c r="BQ455" s="39"/>
      <c r="BR455" s="39"/>
      <c r="BS455" s="39"/>
      <c r="BT455" s="39"/>
      <c r="BU455" s="39"/>
      <c r="BV455" s="39"/>
      <c r="BW455" s="39"/>
      <c r="BX455" s="39"/>
      <c r="BY455" s="39"/>
      <c r="BZ455" s="39"/>
      <c r="CA455" s="39"/>
      <c r="CB455" s="39"/>
      <c r="CC455" s="39"/>
      <c r="CD455" s="39"/>
      <c r="CE455" s="39"/>
      <c r="CF455" s="39"/>
      <c r="CG455" s="39"/>
      <c r="CH455" s="39"/>
      <c r="CI455" s="39"/>
      <c r="CJ455" s="39"/>
      <c r="CK455" s="39"/>
      <c r="CL455" s="39"/>
      <c r="CM455" s="39"/>
      <c r="CN455" s="39"/>
      <c r="CO455" s="39"/>
      <c r="CP455" s="39"/>
      <c r="CQ455" s="39"/>
      <c r="CR455" s="39"/>
      <c r="CS455" s="39"/>
      <c r="CT455" s="39"/>
      <c r="CU455" s="39"/>
      <c r="CV455" s="39"/>
      <c r="CW455" s="39"/>
      <c r="CX455" s="39"/>
      <c r="CY455" s="39"/>
      <c r="CZ455" s="39"/>
      <c r="DA455" s="39"/>
      <c r="DB455" s="39"/>
      <c r="DC455" s="39"/>
    </row>
    <row r="456" spans="1:107" s="92" customFormat="1" ht="39.950000000000003" customHeight="1" x14ac:dyDescent="0.25">
      <c r="A456"/>
      <c r="B456"/>
      <c r="C456"/>
      <c r="D456"/>
      <c r="E456"/>
      <c r="F456"/>
      <c r="G456"/>
      <c r="H456"/>
      <c r="I456" s="68"/>
      <c r="J456" s="71"/>
      <c r="K456"/>
      <c r="L456"/>
      <c r="M456"/>
      <c r="N456"/>
      <c r="O456"/>
      <c r="P456"/>
      <c r="Q456" s="121"/>
      <c r="R456"/>
      <c r="S456"/>
      <c r="T456" s="229"/>
      <c r="U456" s="229"/>
      <c r="V456" s="229"/>
      <c r="W456" s="229"/>
      <c r="X456" s="229"/>
      <c r="Y456" s="136"/>
      <c r="Z456" s="166"/>
      <c r="AA456" s="166"/>
      <c r="AB456" s="71"/>
      <c r="AC456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  <c r="BA456" s="39"/>
      <c r="BB456" s="39"/>
      <c r="BC456" s="39"/>
      <c r="BD456" s="39"/>
      <c r="BE456" s="39"/>
      <c r="BF456" s="39"/>
      <c r="BG456" s="39"/>
      <c r="BH456" s="39"/>
      <c r="BI456" s="39"/>
      <c r="BJ456" s="39"/>
      <c r="BK456" s="39"/>
      <c r="BL456" s="39"/>
      <c r="BM456" s="39"/>
      <c r="BN456" s="39"/>
      <c r="BO456" s="39"/>
      <c r="BP456" s="39"/>
      <c r="BQ456" s="39"/>
      <c r="BR456" s="39"/>
      <c r="BS456" s="39"/>
      <c r="BT456" s="39"/>
      <c r="BU456" s="39"/>
      <c r="BV456" s="39"/>
      <c r="BW456" s="39"/>
      <c r="BX456" s="39"/>
      <c r="BY456" s="39"/>
      <c r="BZ456" s="39"/>
      <c r="CA456" s="39"/>
      <c r="CB456" s="39"/>
      <c r="CC456" s="39"/>
      <c r="CD456" s="39"/>
      <c r="CE456" s="39"/>
      <c r="CF456" s="39"/>
      <c r="CG456" s="39"/>
      <c r="CH456" s="39"/>
      <c r="CI456" s="39"/>
      <c r="CJ456" s="39"/>
      <c r="CK456" s="39"/>
      <c r="CL456" s="39"/>
      <c r="CM456" s="39"/>
      <c r="CN456" s="39"/>
      <c r="CO456" s="39"/>
      <c r="CP456" s="39"/>
      <c r="CQ456" s="39"/>
      <c r="CR456" s="39"/>
      <c r="CS456" s="39"/>
      <c r="CT456" s="39"/>
      <c r="CU456" s="39"/>
      <c r="CV456" s="39"/>
      <c r="CW456" s="39"/>
      <c r="CX456" s="39"/>
      <c r="CY456" s="39"/>
      <c r="CZ456" s="39"/>
      <c r="DA456" s="39"/>
      <c r="DB456" s="39"/>
      <c r="DC456" s="39"/>
    </row>
    <row r="457" spans="1:107" s="92" customFormat="1" ht="39.950000000000003" customHeight="1" x14ac:dyDescent="0.25">
      <c r="A457"/>
      <c r="B457"/>
      <c r="C457"/>
      <c r="D457"/>
      <c r="E457"/>
      <c r="F457"/>
      <c r="G457"/>
      <c r="H457"/>
      <c r="I457" s="68"/>
      <c r="J457" s="71"/>
      <c r="K457"/>
      <c r="L457"/>
      <c r="M457"/>
      <c r="N457"/>
      <c r="O457"/>
      <c r="P457"/>
      <c r="Q457" s="121"/>
      <c r="R457"/>
      <c r="S457"/>
      <c r="T457" s="229"/>
      <c r="U457" s="229"/>
      <c r="V457" s="229"/>
      <c r="W457" s="229"/>
      <c r="X457" s="229"/>
      <c r="Y457" s="136"/>
      <c r="Z457" s="166"/>
      <c r="AA457" s="166"/>
      <c r="AB457" s="71"/>
      <c r="AC457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  <c r="BA457" s="39"/>
      <c r="BB457" s="39"/>
      <c r="BC457" s="39"/>
      <c r="BD457" s="39"/>
      <c r="BE457" s="39"/>
      <c r="BF457" s="39"/>
      <c r="BG457" s="39"/>
      <c r="BH457" s="39"/>
      <c r="BI457" s="39"/>
      <c r="BJ457" s="39"/>
      <c r="BK457" s="39"/>
      <c r="BL457" s="39"/>
      <c r="BM457" s="39"/>
      <c r="BN457" s="39"/>
      <c r="BO457" s="39"/>
      <c r="BP457" s="39"/>
      <c r="BQ457" s="39"/>
      <c r="BR457" s="39"/>
      <c r="BS457" s="39"/>
      <c r="BT457" s="39"/>
      <c r="BU457" s="39"/>
      <c r="BV457" s="39"/>
      <c r="BW457" s="39"/>
      <c r="BX457" s="39"/>
      <c r="BY457" s="39"/>
      <c r="BZ457" s="39"/>
      <c r="CA457" s="39"/>
      <c r="CB457" s="39"/>
      <c r="CC457" s="39"/>
      <c r="CD457" s="39"/>
      <c r="CE457" s="39"/>
      <c r="CF457" s="39"/>
      <c r="CG457" s="39"/>
      <c r="CH457" s="39"/>
      <c r="CI457" s="39"/>
      <c r="CJ457" s="39"/>
      <c r="CK457" s="39"/>
      <c r="CL457" s="39"/>
      <c r="CM457" s="39"/>
      <c r="CN457" s="39"/>
      <c r="CO457" s="39"/>
      <c r="CP457" s="39"/>
      <c r="CQ457" s="39"/>
      <c r="CR457" s="39"/>
      <c r="CS457" s="39"/>
      <c r="CT457" s="39"/>
      <c r="CU457" s="39"/>
      <c r="CV457" s="39"/>
      <c r="CW457" s="39"/>
      <c r="CX457" s="39"/>
      <c r="CY457" s="39"/>
      <c r="CZ457" s="39"/>
      <c r="DA457" s="39"/>
      <c r="DB457" s="39"/>
      <c r="DC457" s="39"/>
    </row>
    <row r="458" spans="1:107" s="92" customFormat="1" ht="39.950000000000003" customHeight="1" x14ac:dyDescent="0.25">
      <c r="A458"/>
      <c r="B458"/>
      <c r="C458"/>
      <c r="D458"/>
      <c r="E458"/>
      <c r="F458"/>
      <c r="G458"/>
      <c r="H458"/>
      <c r="I458" s="68"/>
      <c r="J458" s="71"/>
      <c r="K458"/>
      <c r="L458"/>
      <c r="M458"/>
      <c r="N458"/>
      <c r="O458"/>
      <c r="P458"/>
      <c r="Q458" s="121"/>
      <c r="R458"/>
      <c r="S458"/>
      <c r="T458" s="229"/>
      <c r="U458" s="229"/>
      <c r="V458" s="229"/>
      <c r="W458" s="229"/>
      <c r="X458" s="229"/>
      <c r="Y458" s="136"/>
      <c r="Z458" s="166"/>
      <c r="AA458" s="166"/>
      <c r="AB458" s="71"/>
      <c r="AC458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  <c r="BA458" s="39"/>
      <c r="BB458" s="39"/>
      <c r="BC458" s="39"/>
      <c r="BD458" s="39"/>
      <c r="BE458" s="39"/>
      <c r="BF458" s="39"/>
      <c r="BG458" s="39"/>
      <c r="BH458" s="39"/>
      <c r="BI458" s="39"/>
      <c r="BJ458" s="39"/>
      <c r="BK458" s="39"/>
      <c r="BL458" s="39"/>
      <c r="BM458" s="39"/>
      <c r="BN458" s="39"/>
      <c r="BO458" s="39"/>
      <c r="BP458" s="39"/>
      <c r="BQ458" s="39"/>
      <c r="BR458" s="39"/>
      <c r="BS458" s="39"/>
      <c r="BT458" s="39"/>
      <c r="BU458" s="39"/>
      <c r="BV458" s="39"/>
      <c r="BW458" s="39"/>
      <c r="BX458" s="39"/>
      <c r="BY458" s="39"/>
      <c r="BZ458" s="39"/>
      <c r="CA458" s="39"/>
      <c r="CB458" s="39"/>
      <c r="CC458" s="39"/>
      <c r="CD458" s="39"/>
      <c r="CE458" s="39"/>
      <c r="CF458" s="39"/>
      <c r="CG458" s="39"/>
      <c r="CH458" s="39"/>
      <c r="CI458" s="39"/>
      <c r="CJ458" s="39"/>
      <c r="CK458" s="39"/>
      <c r="CL458" s="39"/>
      <c r="CM458" s="39"/>
      <c r="CN458" s="39"/>
      <c r="CO458" s="39"/>
      <c r="CP458" s="39"/>
      <c r="CQ458" s="39"/>
      <c r="CR458" s="39"/>
      <c r="CS458" s="39"/>
      <c r="CT458" s="39"/>
      <c r="CU458" s="39"/>
      <c r="CV458" s="39"/>
      <c r="CW458" s="39"/>
      <c r="CX458" s="39"/>
      <c r="CY458" s="39"/>
      <c r="CZ458" s="39"/>
      <c r="DA458" s="39"/>
      <c r="DB458" s="39"/>
      <c r="DC458" s="39"/>
    </row>
    <row r="459" spans="1:107" s="92" customFormat="1" ht="39.950000000000003" customHeight="1" x14ac:dyDescent="0.25">
      <c r="A459"/>
      <c r="B459"/>
      <c r="C459"/>
      <c r="D459"/>
      <c r="E459"/>
      <c r="F459"/>
      <c r="G459"/>
      <c r="H459"/>
      <c r="I459" s="68"/>
      <c r="J459" s="71"/>
      <c r="K459"/>
      <c r="L459"/>
      <c r="M459"/>
      <c r="N459"/>
      <c r="O459"/>
      <c r="P459"/>
      <c r="Q459" s="121"/>
      <c r="R459"/>
      <c r="S459"/>
      <c r="T459" s="229"/>
      <c r="U459" s="229"/>
      <c r="V459" s="229"/>
      <c r="W459" s="229"/>
      <c r="X459" s="229"/>
      <c r="Y459" s="136"/>
      <c r="Z459" s="166"/>
      <c r="AA459" s="166"/>
      <c r="AB459" s="71"/>
      <c r="AC45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  <c r="BA459" s="39"/>
      <c r="BB459" s="39"/>
      <c r="BC459" s="39"/>
      <c r="BD459" s="39"/>
      <c r="BE459" s="39"/>
      <c r="BF459" s="39"/>
      <c r="BG459" s="39"/>
      <c r="BH459" s="39"/>
      <c r="BI459" s="39"/>
      <c r="BJ459" s="39"/>
      <c r="BK459" s="39"/>
      <c r="BL459" s="39"/>
      <c r="BM459" s="39"/>
      <c r="BN459" s="39"/>
      <c r="BO459" s="39"/>
      <c r="BP459" s="39"/>
      <c r="BQ459" s="39"/>
      <c r="BR459" s="39"/>
      <c r="BS459" s="39"/>
      <c r="BT459" s="39"/>
      <c r="BU459" s="39"/>
      <c r="BV459" s="39"/>
      <c r="BW459" s="39"/>
      <c r="BX459" s="39"/>
      <c r="BY459" s="39"/>
      <c r="BZ459" s="39"/>
      <c r="CA459" s="39"/>
      <c r="CB459" s="39"/>
      <c r="CC459" s="39"/>
      <c r="CD459" s="39"/>
      <c r="CE459" s="39"/>
      <c r="CF459" s="39"/>
      <c r="CG459" s="39"/>
      <c r="CH459" s="39"/>
      <c r="CI459" s="39"/>
      <c r="CJ459" s="39"/>
      <c r="CK459" s="39"/>
      <c r="CL459" s="39"/>
      <c r="CM459" s="39"/>
      <c r="CN459" s="39"/>
      <c r="CO459" s="39"/>
      <c r="CP459" s="39"/>
      <c r="CQ459" s="39"/>
      <c r="CR459" s="39"/>
      <c r="CS459" s="39"/>
      <c r="CT459" s="39"/>
      <c r="CU459" s="39"/>
      <c r="CV459" s="39"/>
      <c r="CW459" s="39"/>
      <c r="CX459" s="39"/>
      <c r="CY459" s="39"/>
      <c r="CZ459" s="39"/>
      <c r="DA459" s="39"/>
      <c r="DB459" s="39"/>
      <c r="DC459" s="39"/>
    </row>
    <row r="460" spans="1:107" s="92" customFormat="1" ht="39.950000000000003" customHeight="1" x14ac:dyDescent="0.25">
      <c r="A460"/>
      <c r="B460"/>
      <c r="C460"/>
      <c r="D460"/>
      <c r="E460"/>
      <c r="F460"/>
      <c r="G460"/>
      <c r="H460"/>
      <c r="I460" s="68"/>
      <c r="J460" s="71"/>
      <c r="K460"/>
      <c r="L460"/>
      <c r="M460"/>
      <c r="N460"/>
      <c r="O460"/>
      <c r="P460"/>
      <c r="Q460" s="121"/>
      <c r="R460"/>
      <c r="S460"/>
      <c r="T460" s="229"/>
      <c r="U460" s="229"/>
      <c r="V460" s="229"/>
      <c r="W460" s="229"/>
      <c r="X460" s="229"/>
      <c r="Y460" s="136"/>
      <c r="Z460" s="166"/>
      <c r="AA460" s="166"/>
      <c r="AB460" s="71"/>
      <c r="AC460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  <c r="BA460" s="39"/>
      <c r="BB460" s="39"/>
      <c r="BC460" s="39"/>
      <c r="BD460" s="39"/>
      <c r="BE460" s="39"/>
      <c r="BF460" s="39"/>
      <c r="BG460" s="39"/>
      <c r="BH460" s="39"/>
      <c r="BI460" s="39"/>
      <c r="BJ460" s="39"/>
      <c r="BK460" s="39"/>
      <c r="BL460" s="39"/>
      <c r="BM460" s="39"/>
      <c r="BN460" s="39"/>
      <c r="BO460" s="39"/>
      <c r="BP460" s="39"/>
      <c r="BQ460" s="39"/>
      <c r="BR460" s="39"/>
      <c r="BS460" s="39"/>
      <c r="BT460" s="39"/>
      <c r="BU460" s="39"/>
      <c r="BV460" s="39"/>
      <c r="BW460" s="39"/>
      <c r="BX460" s="39"/>
      <c r="BY460" s="39"/>
      <c r="BZ460" s="39"/>
      <c r="CA460" s="39"/>
      <c r="CB460" s="39"/>
      <c r="CC460" s="39"/>
      <c r="CD460" s="39"/>
      <c r="CE460" s="39"/>
      <c r="CF460" s="39"/>
      <c r="CG460" s="39"/>
      <c r="CH460" s="39"/>
      <c r="CI460" s="39"/>
      <c r="CJ460" s="39"/>
      <c r="CK460" s="39"/>
      <c r="CL460" s="39"/>
      <c r="CM460" s="39"/>
      <c r="CN460" s="39"/>
      <c r="CO460" s="39"/>
      <c r="CP460" s="39"/>
      <c r="CQ460" s="39"/>
      <c r="CR460" s="39"/>
      <c r="CS460" s="39"/>
      <c r="CT460" s="39"/>
      <c r="CU460" s="39"/>
      <c r="CV460" s="39"/>
      <c r="CW460" s="39"/>
      <c r="CX460" s="39"/>
      <c r="CY460" s="39"/>
      <c r="CZ460" s="39"/>
      <c r="DA460" s="39"/>
      <c r="DB460" s="39"/>
      <c r="DC460" s="39"/>
    </row>
    <row r="461" spans="1:107" s="92" customFormat="1" ht="39.950000000000003" customHeight="1" x14ac:dyDescent="0.25">
      <c r="A461"/>
      <c r="B461"/>
      <c r="C461"/>
      <c r="D461"/>
      <c r="E461"/>
      <c r="F461"/>
      <c r="G461"/>
      <c r="H461"/>
      <c r="I461" s="68"/>
      <c r="J461" s="71"/>
      <c r="K461"/>
      <c r="L461"/>
      <c r="M461"/>
      <c r="N461"/>
      <c r="O461"/>
      <c r="P461"/>
      <c r="Q461" s="121"/>
      <c r="R461"/>
      <c r="S461"/>
      <c r="T461" s="229"/>
      <c r="U461" s="229"/>
      <c r="V461" s="229"/>
      <c r="W461" s="229"/>
      <c r="X461" s="229"/>
      <c r="Y461" s="136"/>
      <c r="Z461" s="166"/>
      <c r="AA461" s="166"/>
      <c r="AB461" s="71"/>
      <c r="AC461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  <c r="BA461" s="39"/>
      <c r="BB461" s="39"/>
      <c r="BC461" s="39"/>
      <c r="BD461" s="39"/>
      <c r="BE461" s="39"/>
      <c r="BF461" s="39"/>
      <c r="BG461" s="39"/>
      <c r="BH461" s="39"/>
      <c r="BI461" s="39"/>
      <c r="BJ461" s="39"/>
      <c r="BK461" s="39"/>
      <c r="BL461" s="39"/>
      <c r="BM461" s="39"/>
      <c r="BN461" s="39"/>
      <c r="BO461" s="39"/>
      <c r="BP461" s="39"/>
      <c r="BQ461" s="39"/>
      <c r="BR461" s="39"/>
      <c r="BS461" s="39"/>
      <c r="BT461" s="39"/>
      <c r="BU461" s="39"/>
      <c r="BV461" s="39"/>
      <c r="BW461" s="39"/>
      <c r="BX461" s="39"/>
      <c r="BY461" s="39"/>
      <c r="BZ461" s="39"/>
      <c r="CA461" s="39"/>
      <c r="CB461" s="39"/>
      <c r="CC461" s="39"/>
      <c r="CD461" s="39"/>
      <c r="CE461" s="39"/>
      <c r="CF461" s="39"/>
      <c r="CG461" s="39"/>
      <c r="CH461" s="39"/>
      <c r="CI461" s="39"/>
      <c r="CJ461" s="39"/>
      <c r="CK461" s="39"/>
      <c r="CL461" s="39"/>
      <c r="CM461" s="39"/>
      <c r="CN461" s="39"/>
      <c r="CO461" s="39"/>
      <c r="CP461" s="39"/>
      <c r="CQ461" s="39"/>
      <c r="CR461" s="39"/>
      <c r="CS461" s="39"/>
      <c r="CT461" s="39"/>
      <c r="CU461" s="39"/>
      <c r="CV461" s="39"/>
      <c r="CW461" s="39"/>
      <c r="CX461" s="39"/>
      <c r="CY461" s="39"/>
      <c r="CZ461" s="39"/>
      <c r="DA461" s="39"/>
      <c r="DB461" s="39"/>
      <c r="DC461" s="39"/>
    </row>
    <row r="462" spans="1:107" s="92" customFormat="1" ht="39.950000000000003" customHeight="1" x14ac:dyDescent="0.25">
      <c r="A462"/>
      <c r="B462"/>
      <c r="C462"/>
      <c r="D462"/>
      <c r="E462"/>
      <c r="F462"/>
      <c r="G462"/>
      <c r="H462"/>
      <c r="I462" s="68"/>
      <c r="J462" s="71"/>
      <c r="K462"/>
      <c r="L462"/>
      <c r="M462"/>
      <c r="N462"/>
      <c r="O462"/>
      <c r="P462"/>
      <c r="Q462" s="121"/>
      <c r="R462"/>
      <c r="S462"/>
      <c r="T462" s="229"/>
      <c r="U462" s="229"/>
      <c r="V462" s="229"/>
      <c r="W462" s="229"/>
      <c r="X462" s="229"/>
      <c r="Y462" s="136"/>
      <c r="Z462" s="166"/>
      <c r="AA462" s="166"/>
      <c r="AB462" s="71"/>
      <c r="AC462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  <c r="BA462" s="39"/>
      <c r="BB462" s="39"/>
      <c r="BC462" s="39"/>
      <c r="BD462" s="39"/>
      <c r="BE462" s="39"/>
      <c r="BF462" s="39"/>
      <c r="BG462" s="39"/>
      <c r="BH462" s="39"/>
      <c r="BI462" s="39"/>
      <c r="BJ462" s="39"/>
      <c r="BK462" s="39"/>
      <c r="BL462" s="39"/>
      <c r="BM462" s="39"/>
      <c r="BN462" s="39"/>
      <c r="BO462" s="39"/>
      <c r="BP462" s="39"/>
      <c r="BQ462" s="39"/>
      <c r="BR462" s="39"/>
      <c r="BS462" s="39"/>
      <c r="BT462" s="39"/>
      <c r="BU462" s="39"/>
      <c r="BV462" s="39"/>
      <c r="BW462" s="39"/>
      <c r="BX462" s="39"/>
      <c r="BY462" s="39"/>
      <c r="BZ462" s="39"/>
      <c r="CA462" s="39"/>
      <c r="CB462" s="39"/>
      <c r="CC462" s="39"/>
      <c r="CD462" s="39"/>
      <c r="CE462" s="39"/>
      <c r="CF462" s="39"/>
      <c r="CG462" s="39"/>
      <c r="CH462" s="39"/>
      <c r="CI462" s="39"/>
      <c r="CJ462" s="39"/>
      <c r="CK462" s="39"/>
      <c r="CL462" s="39"/>
      <c r="CM462" s="39"/>
      <c r="CN462" s="39"/>
      <c r="CO462" s="39"/>
      <c r="CP462" s="39"/>
      <c r="CQ462" s="39"/>
      <c r="CR462" s="39"/>
      <c r="CS462" s="39"/>
      <c r="CT462" s="39"/>
      <c r="CU462" s="39"/>
      <c r="CV462" s="39"/>
      <c r="CW462" s="39"/>
      <c r="CX462" s="39"/>
      <c r="CY462" s="39"/>
      <c r="CZ462" s="39"/>
      <c r="DA462" s="39"/>
      <c r="DB462" s="39"/>
      <c r="DC462" s="39"/>
    </row>
    <row r="463" spans="1:107" s="92" customFormat="1" ht="33" customHeight="1" x14ac:dyDescent="0.25">
      <c r="A463"/>
      <c r="B463"/>
      <c r="C463"/>
      <c r="D463"/>
      <c r="E463"/>
      <c r="F463"/>
      <c r="G463"/>
      <c r="H463"/>
      <c r="I463" s="68"/>
      <c r="J463" s="71"/>
      <c r="K463"/>
      <c r="L463"/>
      <c r="M463"/>
      <c r="N463"/>
      <c r="O463"/>
      <c r="P463"/>
      <c r="Q463" s="121"/>
      <c r="R463"/>
      <c r="S463"/>
      <c r="T463" s="229"/>
      <c r="U463" s="229"/>
      <c r="V463" s="229"/>
      <c r="W463" s="229"/>
      <c r="X463" s="229"/>
      <c r="Y463" s="136"/>
      <c r="Z463" s="166"/>
      <c r="AA463" s="166"/>
      <c r="AB463" s="71"/>
      <c r="AC463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  <c r="BA463" s="39"/>
      <c r="BB463" s="39"/>
      <c r="BC463" s="39"/>
      <c r="BD463" s="39"/>
      <c r="BE463" s="39"/>
      <c r="BF463" s="39"/>
      <c r="BG463" s="39"/>
      <c r="BH463" s="39"/>
      <c r="BI463" s="39"/>
      <c r="BJ463" s="39"/>
      <c r="BK463" s="39"/>
      <c r="BL463" s="39"/>
      <c r="BM463" s="39"/>
      <c r="BN463" s="39"/>
      <c r="BO463" s="39"/>
      <c r="BP463" s="39"/>
      <c r="BQ463" s="39"/>
      <c r="BR463" s="39"/>
      <c r="BS463" s="39"/>
      <c r="BT463" s="39"/>
      <c r="BU463" s="39"/>
      <c r="BV463" s="39"/>
      <c r="BW463" s="39"/>
      <c r="BX463" s="39"/>
      <c r="BY463" s="39"/>
      <c r="BZ463" s="39"/>
      <c r="CA463" s="39"/>
      <c r="CB463" s="39"/>
      <c r="CC463" s="39"/>
      <c r="CD463" s="39"/>
      <c r="CE463" s="39"/>
      <c r="CF463" s="39"/>
      <c r="CG463" s="39"/>
      <c r="CH463" s="39"/>
      <c r="CI463" s="39"/>
      <c r="CJ463" s="39"/>
      <c r="CK463" s="39"/>
      <c r="CL463" s="39"/>
      <c r="CM463" s="39"/>
      <c r="CN463" s="39"/>
      <c r="CO463" s="39"/>
      <c r="CP463" s="39"/>
      <c r="CQ463" s="39"/>
      <c r="CR463" s="39"/>
      <c r="CS463" s="39"/>
      <c r="CT463" s="39"/>
      <c r="CU463" s="39"/>
      <c r="CV463" s="39"/>
      <c r="CW463" s="39"/>
      <c r="CX463" s="39"/>
      <c r="CY463" s="39"/>
      <c r="CZ463" s="39"/>
      <c r="DA463" s="39"/>
      <c r="DB463" s="39"/>
      <c r="DC463" s="39"/>
    </row>
    <row r="464" spans="1:107" s="92" customFormat="1" ht="33" customHeight="1" x14ac:dyDescent="0.25">
      <c r="A464"/>
      <c r="B464"/>
      <c r="C464"/>
      <c r="D464"/>
      <c r="E464"/>
      <c r="F464"/>
      <c r="G464"/>
      <c r="H464"/>
      <c r="I464" s="68"/>
      <c r="J464" s="71"/>
      <c r="K464"/>
      <c r="L464"/>
      <c r="M464"/>
      <c r="N464"/>
      <c r="O464"/>
      <c r="P464"/>
      <c r="Q464" s="121"/>
      <c r="R464"/>
      <c r="S464"/>
      <c r="T464" s="229"/>
      <c r="U464" s="229"/>
      <c r="V464" s="229"/>
      <c r="W464" s="229"/>
      <c r="X464" s="229"/>
      <c r="Y464" s="136"/>
      <c r="Z464" s="166"/>
      <c r="AA464" s="166"/>
      <c r="AB464" s="71"/>
      <c r="AC464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  <c r="BA464" s="39"/>
      <c r="BB464" s="39"/>
      <c r="BC464" s="39"/>
      <c r="BD464" s="39"/>
      <c r="BE464" s="39"/>
      <c r="BF464" s="39"/>
      <c r="BG464" s="39"/>
      <c r="BH464" s="39"/>
      <c r="BI464" s="39"/>
      <c r="BJ464" s="39"/>
      <c r="BK464" s="39"/>
      <c r="BL464" s="39"/>
      <c r="BM464" s="39"/>
      <c r="BN464" s="39"/>
      <c r="BO464" s="39"/>
      <c r="BP464" s="39"/>
      <c r="BQ464" s="39"/>
      <c r="BR464" s="39"/>
      <c r="BS464" s="39"/>
      <c r="BT464" s="39"/>
      <c r="BU464" s="39"/>
      <c r="BV464" s="39"/>
      <c r="BW464" s="39"/>
      <c r="BX464" s="39"/>
      <c r="BY464" s="39"/>
      <c r="BZ464" s="39"/>
      <c r="CA464" s="39"/>
      <c r="CB464" s="39"/>
      <c r="CC464" s="39"/>
      <c r="CD464" s="39"/>
      <c r="CE464" s="39"/>
      <c r="CF464" s="39"/>
      <c r="CG464" s="39"/>
      <c r="CH464" s="39"/>
      <c r="CI464" s="39"/>
      <c r="CJ464" s="39"/>
      <c r="CK464" s="39"/>
      <c r="CL464" s="39"/>
      <c r="CM464" s="39"/>
      <c r="CN464" s="39"/>
      <c r="CO464" s="39"/>
      <c r="CP464" s="39"/>
      <c r="CQ464" s="39"/>
      <c r="CR464" s="39"/>
      <c r="CS464" s="39"/>
      <c r="CT464" s="39"/>
      <c r="CU464" s="39"/>
      <c r="CV464" s="39"/>
      <c r="CW464" s="39"/>
      <c r="CX464" s="39"/>
      <c r="CY464" s="39"/>
      <c r="CZ464" s="39"/>
      <c r="DA464" s="39"/>
      <c r="DB464" s="39"/>
      <c r="DC464" s="39"/>
    </row>
    <row r="465" spans="1:107" s="92" customFormat="1" ht="33" customHeight="1" x14ac:dyDescent="0.25">
      <c r="A465"/>
      <c r="B465"/>
      <c r="C465"/>
      <c r="D465"/>
      <c r="E465"/>
      <c r="F465"/>
      <c r="G465"/>
      <c r="H465"/>
      <c r="I465" s="68"/>
      <c r="J465" s="71"/>
      <c r="K465"/>
      <c r="L465"/>
      <c r="M465"/>
      <c r="N465"/>
      <c r="O465"/>
      <c r="P465"/>
      <c r="Q465" s="121"/>
      <c r="R465"/>
      <c r="S465"/>
      <c r="T465" s="229"/>
      <c r="U465" s="229"/>
      <c r="V465" s="229"/>
      <c r="W465" s="229"/>
      <c r="X465" s="229"/>
      <c r="Y465" s="136"/>
      <c r="Z465" s="166"/>
      <c r="AA465" s="166"/>
      <c r="AB465" s="71"/>
      <c r="AC465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  <c r="BA465" s="39"/>
      <c r="BB465" s="39"/>
      <c r="BC465" s="39"/>
      <c r="BD465" s="39"/>
      <c r="BE465" s="39"/>
      <c r="BF465" s="39"/>
      <c r="BG465" s="39"/>
      <c r="BH465" s="39"/>
      <c r="BI465" s="39"/>
      <c r="BJ465" s="39"/>
      <c r="BK465" s="39"/>
      <c r="BL465" s="39"/>
      <c r="BM465" s="39"/>
      <c r="BN465" s="39"/>
      <c r="BO465" s="39"/>
      <c r="BP465" s="39"/>
      <c r="BQ465" s="39"/>
      <c r="BR465" s="39"/>
      <c r="BS465" s="39"/>
      <c r="BT465" s="39"/>
      <c r="BU465" s="39"/>
      <c r="BV465" s="39"/>
      <c r="BW465" s="39"/>
      <c r="BX465" s="39"/>
      <c r="BY465" s="39"/>
      <c r="BZ465" s="39"/>
      <c r="CA465" s="39"/>
      <c r="CB465" s="39"/>
      <c r="CC465" s="39"/>
      <c r="CD465" s="39"/>
      <c r="CE465" s="39"/>
      <c r="CF465" s="39"/>
      <c r="CG465" s="39"/>
      <c r="CH465" s="39"/>
      <c r="CI465" s="39"/>
      <c r="CJ465" s="39"/>
      <c r="CK465" s="39"/>
      <c r="CL465" s="39"/>
      <c r="CM465" s="39"/>
      <c r="CN465" s="39"/>
      <c r="CO465" s="39"/>
      <c r="CP465" s="39"/>
      <c r="CQ465" s="39"/>
      <c r="CR465" s="39"/>
      <c r="CS465" s="39"/>
      <c r="CT465" s="39"/>
      <c r="CU465" s="39"/>
      <c r="CV465" s="39"/>
      <c r="CW465" s="39"/>
      <c r="CX465" s="39"/>
      <c r="CY465" s="39"/>
      <c r="CZ465" s="39"/>
      <c r="DA465" s="39"/>
      <c r="DB465" s="39"/>
      <c r="DC465" s="39"/>
    </row>
    <row r="466" spans="1:107" s="92" customFormat="1" ht="33" hidden="1" customHeight="1" x14ac:dyDescent="0.25">
      <c r="A466"/>
      <c r="B466"/>
      <c r="C466"/>
      <c r="D466"/>
      <c r="E466"/>
      <c r="F466"/>
      <c r="G466"/>
      <c r="H466"/>
      <c r="I466" s="68"/>
      <c r="J466" s="71"/>
      <c r="K466"/>
      <c r="L466"/>
      <c r="M466"/>
      <c r="N466"/>
      <c r="O466"/>
      <c r="P466"/>
      <c r="Q466" s="121"/>
      <c r="R466"/>
      <c r="S466"/>
      <c r="T466" s="229"/>
      <c r="U466" s="229"/>
      <c r="V466" s="229"/>
      <c r="W466" s="229"/>
      <c r="X466" s="229"/>
      <c r="Y466" s="136"/>
      <c r="Z466" s="166"/>
      <c r="AA466" s="166"/>
      <c r="AB466" s="71"/>
      <c r="AC466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  <c r="BA466" s="39"/>
      <c r="BB466" s="39"/>
      <c r="BC466" s="39"/>
      <c r="BD466" s="39"/>
      <c r="BE466" s="39"/>
      <c r="BF466" s="39"/>
      <c r="BG466" s="39"/>
      <c r="BH466" s="39"/>
      <c r="BI466" s="39"/>
      <c r="BJ466" s="39"/>
      <c r="BK466" s="39"/>
      <c r="BL466" s="39"/>
      <c r="BM466" s="39"/>
      <c r="BN466" s="39"/>
      <c r="BO466" s="39"/>
      <c r="BP466" s="39"/>
      <c r="BQ466" s="39"/>
      <c r="BR466" s="39"/>
      <c r="BS466" s="39"/>
      <c r="BT466" s="39"/>
      <c r="BU466" s="39"/>
      <c r="BV466" s="39"/>
      <c r="BW466" s="39"/>
      <c r="BX466" s="39"/>
      <c r="BY466" s="39"/>
      <c r="BZ466" s="39"/>
      <c r="CA466" s="39"/>
      <c r="CB466" s="39"/>
      <c r="CC466" s="39"/>
      <c r="CD466" s="39"/>
      <c r="CE466" s="39"/>
      <c r="CF466" s="39"/>
      <c r="CG466" s="39"/>
      <c r="CH466" s="39"/>
      <c r="CI466" s="39"/>
      <c r="CJ466" s="39"/>
      <c r="CK466" s="39"/>
      <c r="CL466" s="39"/>
      <c r="CM466" s="39"/>
      <c r="CN466" s="39"/>
      <c r="CO466" s="39"/>
      <c r="CP466" s="39"/>
      <c r="CQ466" s="39"/>
      <c r="CR466" s="39"/>
      <c r="CS466" s="39"/>
      <c r="CT466" s="39"/>
      <c r="CU466" s="39"/>
      <c r="CV466" s="39"/>
      <c r="CW466" s="39"/>
      <c r="CX466" s="39"/>
      <c r="CY466" s="39"/>
      <c r="CZ466" s="39"/>
      <c r="DA466" s="39"/>
      <c r="DB466" s="39"/>
      <c r="DC466" s="39"/>
    </row>
    <row r="467" spans="1:107" s="92" customFormat="1" ht="33" hidden="1" customHeight="1" x14ac:dyDescent="0.25">
      <c r="A467"/>
      <c r="B467"/>
      <c r="C467"/>
      <c r="D467"/>
      <c r="E467"/>
      <c r="F467"/>
      <c r="G467"/>
      <c r="H467"/>
      <c r="I467" s="68"/>
      <c r="J467" s="71"/>
      <c r="K467"/>
      <c r="L467"/>
      <c r="M467"/>
      <c r="N467"/>
      <c r="O467"/>
      <c r="P467"/>
      <c r="Q467" s="121"/>
      <c r="R467"/>
      <c r="S467"/>
      <c r="T467" s="229"/>
      <c r="U467" s="229"/>
      <c r="V467" s="229"/>
      <c r="W467" s="229"/>
      <c r="X467" s="229"/>
      <c r="Y467" s="136"/>
      <c r="Z467" s="166"/>
      <c r="AA467" s="166"/>
      <c r="AB467" s="71"/>
      <c r="AC467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  <c r="BA467" s="39"/>
      <c r="BB467" s="39"/>
      <c r="BC467" s="39"/>
      <c r="BD467" s="39"/>
      <c r="BE467" s="39"/>
      <c r="BF467" s="39"/>
      <c r="BG467" s="39"/>
      <c r="BH467" s="39"/>
      <c r="BI467" s="39"/>
      <c r="BJ467" s="39"/>
      <c r="BK467" s="39"/>
      <c r="BL467" s="39"/>
      <c r="BM467" s="39"/>
      <c r="BN467" s="39"/>
      <c r="BO467" s="39"/>
      <c r="BP467" s="39"/>
      <c r="BQ467" s="39"/>
      <c r="BR467" s="39"/>
      <c r="BS467" s="39"/>
      <c r="BT467" s="39"/>
      <c r="BU467" s="39"/>
      <c r="BV467" s="39"/>
      <c r="BW467" s="39"/>
      <c r="BX467" s="39"/>
      <c r="BY467" s="39"/>
      <c r="BZ467" s="39"/>
      <c r="CA467" s="39"/>
      <c r="CB467" s="39"/>
      <c r="CC467" s="39"/>
      <c r="CD467" s="39"/>
      <c r="CE467" s="39"/>
      <c r="CF467" s="39"/>
      <c r="CG467" s="39"/>
      <c r="CH467" s="39"/>
      <c r="CI467" s="39"/>
      <c r="CJ467" s="39"/>
      <c r="CK467" s="39"/>
      <c r="CL467" s="39"/>
      <c r="CM467" s="39"/>
      <c r="CN467" s="39"/>
      <c r="CO467" s="39"/>
      <c r="CP467" s="39"/>
      <c r="CQ467" s="39"/>
      <c r="CR467" s="39"/>
      <c r="CS467" s="39"/>
      <c r="CT467" s="39"/>
      <c r="CU467" s="39"/>
      <c r="CV467" s="39"/>
      <c r="CW467" s="39"/>
      <c r="CX467" s="39"/>
      <c r="CY467" s="39"/>
      <c r="CZ467" s="39"/>
      <c r="DA467" s="39"/>
      <c r="DB467" s="39"/>
      <c r="DC467" s="39"/>
    </row>
    <row r="468" spans="1:107" s="92" customFormat="1" ht="33" hidden="1" customHeight="1" x14ac:dyDescent="0.25">
      <c r="A468"/>
      <c r="B468"/>
      <c r="C468"/>
      <c r="D468"/>
      <c r="E468"/>
      <c r="F468"/>
      <c r="G468"/>
      <c r="H468"/>
      <c r="I468" s="68"/>
      <c r="J468" s="71"/>
      <c r="K468"/>
      <c r="L468"/>
      <c r="M468"/>
      <c r="N468"/>
      <c r="O468"/>
      <c r="P468"/>
      <c r="Q468" s="121"/>
      <c r="R468"/>
      <c r="S468"/>
      <c r="T468" s="229"/>
      <c r="U468" s="229"/>
      <c r="V468" s="229"/>
      <c r="W468" s="229"/>
      <c r="X468" s="229"/>
      <c r="Y468" s="136"/>
      <c r="Z468" s="166"/>
      <c r="AA468" s="166"/>
      <c r="AB468" s="71"/>
      <c r="AC468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  <c r="BA468" s="39"/>
      <c r="BB468" s="39"/>
      <c r="BC468" s="39"/>
      <c r="BD468" s="39"/>
      <c r="BE468" s="39"/>
      <c r="BF468" s="39"/>
      <c r="BG468" s="39"/>
      <c r="BH468" s="39"/>
      <c r="BI468" s="39"/>
      <c r="BJ468" s="39"/>
      <c r="BK468" s="39"/>
      <c r="BL468" s="39"/>
      <c r="BM468" s="39"/>
      <c r="BN468" s="39"/>
      <c r="BO468" s="39"/>
      <c r="BP468" s="39"/>
      <c r="BQ468" s="39"/>
      <c r="BR468" s="39"/>
      <c r="BS468" s="39"/>
      <c r="BT468" s="39"/>
      <c r="BU468" s="39"/>
      <c r="BV468" s="39"/>
      <c r="BW468" s="39"/>
      <c r="BX468" s="39"/>
      <c r="BY468" s="39"/>
      <c r="BZ468" s="39"/>
      <c r="CA468" s="39"/>
      <c r="CB468" s="39"/>
      <c r="CC468" s="39"/>
      <c r="CD468" s="39"/>
      <c r="CE468" s="39"/>
      <c r="CF468" s="39"/>
      <c r="CG468" s="39"/>
      <c r="CH468" s="39"/>
      <c r="CI468" s="39"/>
      <c r="CJ468" s="39"/>
      <c r="CK468" s="39"/>
      <c r="CL468" s="39"/>
      <c r="CM468" s="39"/>
      <c r="CN468" s="39"/>
      <c r="CO468" s="39"/>
      <c r="CP468" s="39"/>
      <c r="CQ468" s="39"/>
      <c r="CR468" s="39"/>
      <c r="CS468" s="39"/>
      <c r="CT468" s="39"/>
      <c r="CU468" s="39"/>
      <c r="CV468" s="39"/>
      <c r="CW468" s="39"/>
      <c r="CX468" s="39"/>
      <c r="CY468" s="39"/>
      <c r="CZ468" s="39"/>
      <c r="DA468" s="39"/>
      <c r="DB468" s="39"/>
      <c r="DC468" s="39"/>
    </row>
    <row r="469" spans="1:107" s="92" customFormat="1" ht="33" hidden="1" customHeight="1" x14ac:dyDescent="0.25">
      <c r="A469"/>
      <c r="B469"/>
      <c r="C469"/>
      <c r="D469"/>
      <c r="E469"/>
      <c r="F469"/>
      <c r="G469"/>
      <c r="H469"/>
      <c r="I469" s="68"/>
      <c r="J469" s="71"/>
      <c r="K469"/>
      <c r="L469"/>
      <c r="M469"/>
      <c r="N469"/>
      <c r="O469"/>
      <c r="P469"/>
      <c r="Q469" s="121"/>
      <c r="R469"/>
      <c r="S469"/>
      <c r="T469" s="229"/>
      <c r="U469" s="229"/>
      <c r="V469" s="229"/>
      <c r="W469" s="229"/>
      <c r="X469" s="229"/>
      <c r="Y469" s="136"/>
      <c r="Z469" s="166"/>
      <c r="AA469" s="166"/>
      <c r="AB469" s="71"/>
      <c r="AC46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  <c r="BA469" s="39"/>
      <c r="BB469" s="39"/>
      <c r="BC469" s="39"/>
      <c r="BD469" s="39"/>
      <c r="BE469" s="39"/>
      <c r="BF469" s="39"/>
      <c r="BG469" s="39"/>
      <c r="BH469" s="39"/>
      <c r="BI469" s="39"/>
      <c r="BJ469" s="39"/>
      <c r="BK469" s="39"/>
      <c r="BL469" s="39"/>
      <c r="BM469" s="39"/>
      <c r="BN469" s="39"/>
      <c r="BO469" s="39"/>
      <c r="BP469" s="39"/>
      <c r="BQ469" s="39"/>
      <c r="BR469" s="39"/>
      <c r="BS469" s="39"/>
      <c r="BT469" s="39"/>
      <c r="BU469" s="39"/>
      <c r="BV469" s="39"/>
      <c r="BW469" s="39"/>
      <c r="BX469" s="39"/>
      <c r="BY469" s="39"/>
      <c r="BZ469" s="39"/>
      <c r="CA469" s="39"/>
      <c r="CB469" s="39"/>
      <c r="CC469" s="39"/>
      <c r="CD469" s="39"/>
      <c r="CE469" s="39"/>
      <c r="CF469" s="39"/>
      <c r="CG469" s="39"/>
      <c r="CH469" s="39"/>
      <c r="CI469" s="39"/>
      <c r="CJ469" s="39"/>
      <c r="CK469" s="39"/>
      <c r="CL469" s="39"/>
      <c r="CM469" s="39"/>
      <c r="CN469" s="39"/>
      <c r="CO469" s="39"/>
      <c r="CP469" s="39"/>
      <c r="CQ469" s="39"/>
      <c r="CR469" s="39"/>
      <c r="CS469" s="39"/>
      <c r="CT469" s="39"/>
      <c r="CU469" s="39"/>
      <c r="CV469" s="39"/>
      <c r="CW469" s="39"/>
      <c r="CX469" s="39"/>
      <c r="CY469" s="39"/>
      <c r="CZ469" s="39"/>
      <c r="DA469" s="39"/>
      <c r="DB469" s="39"/>
      <c r="DC469" s="39"/>
    </row>
    <row r="470" spans="1:107" s="92" customFormat="1" ht="33" hidden="1" customHeight="1" x14ac:dyDescent="0.25">
      <c r="A470"/>
      <c r="B470"/>
      <c r="C470"/>
      <c r="D470"/>
      <c r="E470"/>
      <c r="F470"/>
      <c r="G470"/>
      <c r="H470"/>
      <c r="I470" s="68"/>
      <c r="J470" s="71"/>
      <c r="K470"/>
      <c r="L470"/>
      <c r="M470"/>
      <c r="N470"/>
      <c r="O470"/>
      <c r="P470"/>
      <c r="Q470" s="121"/>
      <c r="R470"/>
      <c r="S470"/>
      <c r="T470" s="229"/>
      <c r="U470" s="229"/>
      <c r="V470" s="229"/>
      <c r="W470" s="229"/>
      <c r="X470" s="229"/>
      <c r="Y470" s="136"/>
      <c r="Z470" s="166"/>
      <c r="AA470" s="166"/>
      <c r="AB470" s="71"/>
      <c r="AC470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  <c r="BA470" s="39"/>
      <c r="BB470" s="39"/>
      <c r="BC470" s="39"/>
      <c r="BD470" s="39"/>
      <c r="BE470" s="39"/>
      <c r="BF470" s="39"/>
      <c r="BG470" s="39"/>
      <c r="BH470" s="39"/>
      <c r="BI470" s="39"/>
      <c r="BJ470" s="39"/>
      <c r="BK470" s="39"/>
      <c r="BL470" s="39"/>
      <c r="BM470" s="39"/>
      <c r="BN470" s="39"/>
      <c r="BO470" s="39"/>
      <c r="BP470" s="39"/>
      <c r="BQ470" s="39"/>
      <c r="BR470" s="39"/>
      <c r="BS470" s="39"/>
      <c r="BT470" s="39"/>
      <c r="BU470" s="39"/>
      <c r="BV470" s="39"/>
      <c r="BW470" s="39"/>
      <c r="BX470" s="39"/>
      <c r="BY470" s="39"/>
      <c r="BZ470" s="39"/>
      <c r="CA470" s="39"/>
      <c r="CB470" s="39"/>
      <c r="CC470" s="39"/>
      <c r="CD470" s="39"/>
      <c r="CE470" s="39"/>
      <c r="CF470" s="39"/>
      <c r="CG470" s="39"/>
      <c r="CH470" s="39"/>
      <c r="CI470" s="39"/>
      <c r="CJ470" s="39"/>
      <c r="CK470" s="39"/>
      <c r="CL470" s="39"/>
      <c r="CM470" s="39"/>
      <c r="CN470" s="39"/>
      <c r="CO470" s="39"/>
      <c r="CP470" s="39"/>
      <c r="CQ470" s="39"/>
      <c r="CR470" s="39"/>
      <c r="CS470" s="39"/>
      <c r="CT470" s="39"/>
      <c r="CU470" s="39"/>
      <c r="CV470" s="39"/>
      <c r="CW470" s="39"/>
      <c r="CX470" s="39"/>
      <c r="CY470" s="39"/>
      <c r="CZ470" s="39"/>
      <c r="DA470" s="39"/>
      <c r="DB470" s="39"/>
      <c r="DC470" s="39"/>
    </row>
    <row r="471" spans="1:107" s="92" customFormat="1" ht="33" hidden="1" customHeight="1" x14ac:dyDescent="0.25">
      <c r="A471"/>
      <c r="B471"/>
      <c r="C471"/>
      <c r="D471"/>
      <c r="E471"/>
      <c r="F471"/>
      <c r="G471"/>
      <c r="H471"/>
      <c r="I471" s="68"/>
      <c r="J471" s="71"/>
      <c r="K471"/>
      <c r="L471"/>
      <c r="M471"/>
      <c r="N471"/>
      <c r="O471"/>
      <c r="P471"/>
      <c r="Q471" s="121"/>
      <c r="R471"/>
      <c r="S471"/>
      <c r="T471" s="229"/>
      <c r="U471" s="229"/>
      <c r="V471" s="229"/>
      <c r="W471" s="229"/>
      <c r="X471" s="229"/>
      <c r="Y471" s="136"/>
      <c r="Z471" s="166"/>
      <c r="AA471" s="166"/>
      <c r="AB471" s="71"/>
      <c r="AC471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  <c r="BA471" s="39"/>
      <c r="BB471" s="39"/>
      <c r="BC471" s="39"/>
      <c r="BD471" s="39"/>
      <c r="BE471" s="39"/>
      <c r="BF471" s="39"/>
      <c r="BG471" s="39"/>
      <c r="BH471" s="39"/>
      <c r="BI471" s="39"/>
      <c r="BJ471" s="39"/>
      <c r="BK471" s="39"/>
      <c r="BL471" s="39"/>
      <c r="BM471" s="39"/>
      <c r="BN471" s="39"/>
      <c r="BO471" s="39"/>
      <c r="BP471" s="39"/>
      <c r="BQ471" s="39"/>
      <c r="BR471" s="39"/>
      <c r="BS471" s="39"/>
      <c r="BT471" s="39"/>
      <c r="BU471" s="39"/>
      <c r="BV471" s="39"/>
      <c r="BW471" s="39"/>
      <c r="BX471" s="39"/>
      <c r="BY471" s="39"/>
      <c r="BZ471" s="39"/>
      <c r="CA471" s="39"/>
      <c r="CB471" s="39"/>
      <c r="CC471" s="39"/>
      <c r="CD471" s="39"/>
      <c r="CE471" s="39"/>
      <c r="CF471" s="39"/>
      <c r="CG471" s="39"/>
      <c r="CH471" s="39"/>
      <c r="CI471" s="39"/>
      <c r="CJ471" s="39"/>
      <c r="CK471" s="39"/>
      <c r="CL471" s="39"/>
      <c r="CM471" s="39"/>
      <c r="CN471" s="39"/>
      <c r="CO471" s="39"/>
      <c r="CP471" s="39"/>
      <c r="CQ471" s="39"/>
      <c r="CR471" s="39"/>
      <c r="CS471" s="39"/>
      <c r="CT471" s="39"/>
      <c r="CU471" s="39"/>
      <c r="CV471" s="39"/>
      <c r="CW471" s="39"/>
      <c r="CX471" s="39"/>
      <c r="CY471" s="39"/>
      <c r="CZ471" s="39"/>
      <c r="DA471" s="39"/>
      <c r="DB471" s="39"/>
      <c r="DC471" s="39"/>
    </row>
    <row r="472" spans="1:107" s="92" customFormat="1" ht="33" hidden="1" customHeight="1" x14ac:dyDescent="0.25">
      <c r="A472"/>
      <c r="B472"/>
      <c r="C472"/>
      <c r="D472"/>
      <c r="E472"/>
      <c r="F472"/>
      <c r="G472"/>
      <c r="H472"/>
      <c r="I472" s="68"/>
      <c r="J472" s="71"/>
      <c r="K472"/>
      <c r="L472"/>
      <c r="M472"/>
      <c r="N472"/>
      <c r="O472"/>
      <c r="P472"/>
      <c r="Q472" s="121"/>
      <c r="R472"/>
      <c r="S472"/>
      <c r="T472" s="229"/>
      <c r="U472" s="229"/>
      <c r="V472" s="229"/>
      <c r="W472" s="229"/>
      <c r="X472" s="229"/>
      <c r="Y472" s="136"/>
      <c r="Z472" s="166"/>
      <c r="AA472" s="166"/>
      <c r="AB472" s="71"/>
      <c r="AC472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  <c r="BA472" s="39"/>
      <c r="BB472" s="39"/>
      <c r="BC472" s="39"/>
      <c r="BD472" s="39"/>
      <c r="BE472" s="39"/>
      <c r="BF472" s="39"/>
      <c r="BG472" s="39"/>
      <c r="BH472" s="39"/>
      <c r="BI472" s="39"/>
      <c r="BJ472" s="39"/>
      <c r="BK472" s="39"/>
      <c r="BL472" s="39"/>
      <c r="BM472" s="39"/>
      <c r="BN472" s="39"/>
      <c r="BO472" s="39"/>
      <c r="BP472" s="39"/>
      <c r="BQ472" s="39"/>
      <c r="BR472" s="39"/>
      <c r="BS472" s="39"/>
      <c r="BT472" s="39"/>
      <c r="BU472" s="39"/>
      <c r="BV472" s="39"/>
      <c r="BW472" s="39"/>
      <c r="BX472" s="39"/>
      <c r="BY472" s="39"/>
      <c r="BZ472" s="39"/>
      <c r="CA472" s="39"/>
      <c r="CB472" s="39"/>
      <c r="CC472" s="39"/>
      <c r="CD472" s="39"/>
      <c r="CE472" s="39"/>
      <c r="CF472" s="39"/>
      <c r="CG472" s="39"/>
      <c r="CH472" s="39"/>
      <c r="CI472" s="39"/>
      <c r="CJ472" s="39"/>
      <c r="CK472" s="39"/>
      <c r="CL472" s="39"/>
      <c r="CM472" s="39"/>
      <c r="CN472" s="39"/>
      <c r="CO472" s="39"/>
      <c r="CP472" s="39"/>
      <c r="CQ472" s="39"/>
      <c r="CR472" s="39"/>
      <c r="CS472" s="39"/>
      <c r="CT472" s="39"/>
      <c r="CU472" s="39"/>
      <c r="CV472" s="39"/>
      <c r="CW472" s="39"/>
      <c r="CX472" s="39"/>
      <c r="CY472" s="39"/>
      <c r="CZ472" s="39"/>
      <c r="DA472" s="39"/>
      <c r="DB472" s="39"/>
      <c r="DC472" s="39"/>
    </row>
    <row r="473" spans="1:107" s="92" customFormat="1" ht="33" hidden="1" customHeight="1" x14ac:dyDescent="0.25">
      <c r="A473"/>
      <c r="B473"/>
      <c r="C473"/>
      <c r="D473"/>
      <c r="E473"/>
      <c r="F473"/>
      <c r="G473"/>
      <c r="H473"/>
      <c r="I473" s="68"/>
      <c r="J473" s="71"/>
      <c r="K473"/>
      <c r="L473"/>
      <c r="M473"/>
      <c r="N473"/>
      <c r="O473"/>
      <c r="P473"/>
      <c r="Q473" s="121"/>
      <c r="R473"/>
      <c r="S473"/>
      <c r="T473" s="229"/>
      <c r="U473" s="229"/>
      <c r="V473" s="229"/>
      <c r="W473" s="229"/>
      <c r="X473" s="229"/>
      <c r="Y473" s="136"/>
      <c r="Z473" s="166"/>
      <c r="AA473" s="166"/>
      <c r="AB473" s="71"/>
      <c r="AC473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  <c r="BA473" s="39"/>
      <c r="BB473" s="39"/>
      <c r="BC473" s="39"/>
      <c r="BD473" s="39"/>
      <c r="BE473" s="39"/>
      <c r="BF473" s="39"/>
      <c r="BG473" s="39"/>
      <c r="BH473" s="39"/>
      <c r="BI473" s="39"/>
      <c r="BJ473" s="39"/>
      <c r="BK473" s="39"/>
      <c r="BL473" s="39"/>
      <c r="BM473" s="39"/>
      <c r="BN473" s="39"/>
      <c r="BO473" s="39"/>
      <c r="BP473" s="39"/>
      <c r="BQ473" s="39"/>
      <c r="BR473" s="39"/>
      <c r="BS473" s="39"/>
      <c r="BT473" s="39"/>
      <c r="BU473" s="39"/>
      <c r="BV473" s="39"/>
      <c r="BW473" s="39"/>
      <c r="BX473" s="39"/>
      <c r="BY473" s="39"/>
      <c r="BZ473" s="39"/>
      <c r="CA473" s="39"/>
      <c r="CB473" s="39"/>
      <c r="CC473" s="39"/>
      <c r="CD473" s="39"/>
      <c r="CE473" s="39"/>
      <c r="CF473" s="39"/>
      <c r="CG473" s="39"/>
      <c r="CH473" s="39"/>
      <c r="CI473" s="39"/>
      <c r="CJ473" s="39"/>
      <c r="CK473" s="39"/>
      <c r="CL473" s="39"/>
      <c r="CM473" s="39"/>
      <c r="CN473" s="39"/>
      <c r="CO473" s="39"/>
      <c r="CP473" s="39"/>
      <c r="CQ473" s="39"/>
      <c r="CR473" s="39"/>
      <c r="CS473" s="39"/>
      <c r="CT473" s="39"/>
      <c r="CU473" s="39"/>
      <c r="CV473" s="39"/>
      <c r="CW473" s="39"/>
      <c r="CX473" s="39"/>
      <c r="CY473" s="39"/>
      <c r="CZ473" s="39"/>
      <c r="DA473" s="39"/>
      <c r="DB473" s="39"/>
      <c r="DC473" s="39"/>
    </row>
    <row r="474" spans="1:107" s="92" customFormat="1" ht="33" customHeight="1" x14ac:dyDescent="0.25">
      <c r="A474"/>
      <c r="B474"/>
      <c r="C474"/>
      <c r="D474"/>
      <c r="E474"/>
      <c r="F474"/>
      <c r="G474"/>
      <c r="H474"/>
      <c r="I474" s="68"/>
      <c r="J474" s="71"/>
      <c r="K474"/>
      <c r="L474"/>
      <c r="M474"/>
      <c r="N474"/>
      <c r="O474"/>
      <c r="P474"/>
      <c r="Q474" s="121"/>
      <c r="R474"/>
      <c r="S474"/>
      <c r="T474" s="229"/>
      <c r="U474" s="229"/>
      <c r="V474" s="229"/>
      <c r="W474" s="229"/>
      <c r="X474" s="229"/>
      <c r="Y474" s="136"/>
      <c r="Z474" s="166"/>
      <c r="AA474" s="166"/>
      <c r="AB474" s="71"/>
      <c r="AC474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  <c r="BA474" s="39"/>
      <c r="BB474" s="39"/>
      <c r="BC474" s="39"/>
      <c r="BD474" s="39"/>
      <c r="BE474" s="39"/>
      <c r="BF474" s="39"/>
      <c r="BG474" s="39"/>
      <c r="BH474" s="39"/>
      <c r="BI474" s="39"/>
      <c r="BJ474" s="39"/>
      <c r="BK474" s="39"/>
      <c r="BL474" s="39"/>
      <c r="BM474" s="39"/>
      <c r="BN474" s="39"/>
      <c r="BO474" s="39"/>
      <c r="BP474" s="39"/>
      <c r="BQ474" s="39"/>
      <c r="BR474" s="39"/>
      <c r="BS474" s="39"/>
      <c r="BT474" s="39"/>
      <c r="BU474" s="39"/>
      <c r="BV474" s="39"/>
      <c r="BW474" s="39"/>
      <c r="BX474" s="39"/>
      <c r="BY474" s="39"/>
      <c r="BZ474" s="39"/>
      <c r="CA474" s="39"/>
      <c r="CB474" s="39"/>
      <c r="CC474" s="39"/>
      <c r="CD474" s="39"/>
      <c r="CE474" s="39"/>
      <c r="CF474" s="39"/>
      <c r="CG474" s="39"/>
      <c r="CH474" s="39"/>
      <c r="CI474" s="39"/>
      <c r="CJ474" s="39"/>
      <c r="CK474" s="39"/>
      <c r="CL474" s="39"/>
      <c r="CM474" s="39"/>
      <c r="CN474" s="39"/>
      <c r="CO474" s="39"/>
      <c r="CP474" s="39"/>
      <c r="CQ474" s="39"/>
      <c r="CR474" s="39"/>
      <c r="CS474" s="39"/>
      <c r="CT474" s="39"/>
      <c r="CU474" s="39"/>
      <c r="CV474" s="39"/>
      <c r="CW474" s="39"/>
      <c r="CX474" s="39"/>
      <c r="CY474" s="39"/>
      <c r="CZ474" s="39"/>
      <c r="DA474" s="39"/>
      <c r="DB474" s="39"/>
      <c r="DC474" s="39"/>
    </row>
    <row r="475" spans="1:107" s="92" customFormat="1" ht="33" hidden="1" customHeight="1" x14ac:dyDescent="0.25">
      <c r="A475"/>
      <c r="B475"/>
      <c r="C475"/>
      <c r="D475"/>
      <c r="E475"/>
      <c r="F475"/>
      <c r="G475"/>
      <c r="H475"/>
      <c r="I475" s="68"/>
      <c r="J475" s="71"/>
      <c r="K475"/>
      <c r="L475"/>
      <c r="M475"/>
      <c r="N475"/>
      <c r="O475"/>
      <c r="P475"/>
      <c r="Q475" s="121"/>
      <c r="R475"/>
      <c r="S475"/>
      <c r="T475" s="229"/>
      <c r="U475" s="229"/>
      <c r="V475" s="229"/>
      <c r="W475" s="229"/>
      <c r="X475" s="229"/>
      <c r="Y475" s="136"/>
      <c r="Z475" s="166"/>
      <c r="AA475" s="166"/>
      <c r="AB475" s="71"/>
      <c r="AC475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  <c r="BA475" s="39"/>
      <c r="BB475" s="39"/>
      <c r="BC475" s="39"/>
      <c r="BD475" s="39"/>
      <c r="BE475" s="39"/>
      <c r="BF475" s="39"/>
      <c r="BG475" s="39"/>
      <c r="BH475" s="39"/>
      <c r="BI475" s="39"/>
      <c r="BJ475" s="39"/>
      <c r="BK475" s="39"/>
      <c r="BL475" s="39"/>
      <c r="BM475" s="39"/>
      <c r="BN475" s="39"/>
      <c r="BO475" s="39"/>
      <c r="BP475" s="39"/>
      <c r="BQ475" s="39"/>
      <c r="BR475" s="39"/>
      <c r="BS475" s="39"/>
      <c r="BT475" s="39"/>
      <c r="BU475" s="39"/>
      <c r="BV475" s="39"/>
      <c r="BW475" s="39"/>
      <c r="BX475" s="39"/>
      <c r="BY475" s="39"/>
      <c r="BZ475" s="39"/>
      <c r="CA475" s="39"/>
      <c r="CB475" s="39"/>
      <c r="CC475" s="39"/>
      <c r="CD475" s="39"/>
      <c r="CE475" s="39"/>
      <c r="CF475" s="39"/>
      <c r="CG475" s="39"/>
      <c r="CH475" s="39"/>
      <c r="CI475" s="39"/>
      <c r="CJ475" s="39"/>
      <c r="CK475" s="39"/>
      <c r="CL475" s="39"/>
      <c r="CM475" s="39"/>
      <c r="CN475" s="39"/>
      <c r="CO475" s="39"/>
      <c r="CP475" s="39"/>
      <c r="CQ475" s="39"/>
      <c r="CR475" s="39"/>
      <c r="CS475" s="39"/>
      <c r="CT475" s="39"/>
      <c r="CU475" s="39"/>
      <c r="CV475" s="39"/>
      <c r="CW475" s="39"/>
      <c r="CX475" s="39"/>
      <c r="CY475" s="39"/>
      <c r="CZ475" s="39"/>
      <c r="DA475" s="39"/>
      <c r="DB475" s="39"/>
      <c r="DC475" s="39"/>
    </row>
    <row r="476" spans="1:107" s="92" customFormat="1" ht="33" customHeight="1" x14ac:dyDescent="0.25">
      <c r="A476"/>
      <c r="B476"/>
      <c r="C476"/>
      <c r="D476"/>
      <c r="E476"/>
      <c r="F476"/>
      <c r="G476"/>
      <c r="H476"/>
      <c r="I476" s="68"/>
      <c r="J476" s="71"/>
      <c r="K476"/>
      <c r="L476"/>
      <c r="M476"/>
      <c r="N476"/>
      <c r="O476"/>
      <c r="P476"/>
      <c r="Q476" s="121"/>
      <c r="R476"/>
      <c r="S476"/>
      <c r="T476" s="229"/>
      <c r="U476" s="229"/>
      <c r="V476" s="229"/>
      <c r="W476" s="229"/>
      <c r="X476" s="229"/>
      <c r="Y476" s="136"/>
      <c r="Z476" s="166"/>
      <c r="AA476" s="166"/>
      <c r="AB476" s="71"/>
      <c r="AC476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  <c r="BA476" s="39"/>
      <c r="BB476" s="39"/>
      <c r="BC476" s="39"/>
      <c r="BD476" s="39"/>
      <c r="BE476" s="39"/>
      <c r="BF476" s="39"/>
      <c r="BG476" s="39"/>
      <c r="BH476" s="39"/>
      <c r="BI476" s="39"/>
      <c r="BJ476" s="39"/>
      <c r="BK476" s="39"/>
      <c r="BL476" s="39"/>
      <c r="BM476" s="39"/>
      <c r="BN476" s="39"/>
      <c r="BO476" s="39"/>
      <c r="BP476" s="39"/>
      <c r="BQ476" s="39"/>
      <c r="BR476" s="39"/>
      <c r="BS476" s="39"/>
      <c r="BT476" s="39"/>
      <c r="BU476" s="39"/>
      <c r="BV476" s="39"/>
      <c r="BW476" s="39"/>
      <c r="BX476" s="39"/>
      <c r="BY476" s="39"/>
      <c r="BZ476" s="39"/>
      <c r="CA476" s="39"/>
      <c r="CB476" s="39"/>
      <c r="CC476" s="39"/>
      <c r="CD476" s="39"/>
      <c r="CE476" s="39"/>
      <c r="CF476" s="39"/>
      <c r="CG476" s="39"/>
      <c r="CH476" s="39"/>
      <c r="CI476" s="39"/>
      <c r="CJ476" s="39"/>
      <c r="CK476" s="39"/>
      <c r="CL476" s="39"/>
      <c r="CM476" s="39"/>
      <c r="CN476" s="39"/>
      <c r="CO476" s="39"/>
      <c r="CP476" s="39"/>
      <c r="CQ476" s="39"/>
      <c r="CR476" s="39"/>
      <c r="CS476" s="39"/>
      <c r="CT476" s="39"/>
      <c r="CU476" s="39"/>
      <c r="CV476" s="39"/>
      <c r="CW476" s="39"/>
      <c r="CX476" s="39"/>
      <c r="CY476" s="39"/>
      <c r="CZ476" s="39"/>
      <c r="DA476" s="39"/>
      <c r="DB476" s="39"/>
      <c r="DC476" s="39"/>
    </row>
    <row r="477" spans="1:107" s="92" customFormat="1" ht="33" hidden="1" customHeight="1" x14ac:dyDescent="0.25">
      <c r="A477"/>
      <c r="B477"/>
      <c r="C477"/>
      <c r="D477"/>
      <c r="E477"/>
      <c r="F477"/>
      <c r="G477"/>
      <c r="H477"/>
      <c r="I477" s="68"/>
      <c r="J477" s="71"/>
      <c r="K477"/>
      <c r="L477"/>
      <c r="M477"/>
      <c r="N477"/>
      <c r="O477"/>
      <c r="P477"/>
      <c r="Q477" s="121"/>
      <c r="R477"/>
      <c r="S477"/>
      <c r="T477" s="229"/>
      <c r="U477" s="229"/>
      <c r="V477" s="229"/>
      <c r="W477" s="229"/>
      <c r="X477" s="229"/>
      <c r="Y477" s="136"/>
      <c r="Z477" s="166"/>
      <c r="AA477" s="166"/>
      <c r="AB477" s="71"/>
      <c r="AC477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  <c r="BA477" s="39"/>
      <c r="BB477" s="39"/>
      <c r="BC477" s="39"/>
      <c r="BD477" s="39"/>
      <c r="BE477" s="39"/>
      <c r="BF477" s="39"/>
      <c r="BG477" s="39"/>
      <c r="BH477" s="39"/>
      <c r="BI477" s="39"/>
      <c r="BJ477" s="39"/>
      <c r="BK477" s="39"/>
      <c r="BL477" s="39"/>
      <c r="BM477" s="39"/>
      <c r="BN477" s="39"/>
      <c r="BO477" s="39"/>
      <c r="BP477" s="39"/>
      <c r="BQ477" s="39"/>
      <c r="BR477" s="39"/>
      <c r="BS477" s="39"/>
      <c r="BT477" s="39"/>
      <c r="BU477" s="39"/>
      <c r="BV477" s="39"/>
      <c r="BW477" s="39"/>
      <c r="BX477" s="39"/>
      <c r="BY477" s="39"/>
      <c r="BZ477" s="39"/>
      <c r="CA477" s="39"/>
      <c r="CB477" s="39"/>
      <c r="CC477" s="39"/>
      <c r="CD477" s="39"/>
      <c r="CE477" s="39"/>
      <c r="CF477" s="39"/>
      <c r="CG477" s="39"/>
      <c r="CH477" s="39"/>
      <c r="CI477" s="39"/>
      <c r="CJ477" s="39"/>
      <c r="CK477" s="39"/>
      <c r="CL477" s="39"/>
      <c r="CM477" s="39"/>
      <c r="CN477" s="39"/>
      <c r="CO477" s="39"/>
      <c r="CP477" s="39"/>
      <c r="CQ477" s="39"/>
      <c r="CR477" s="39"/>
      <c r="CS477" s="39"/>
      <c r="CT477" s="39"/>
      <c r="CU477" s="39"/>
      <c r="CV477" s="39"/>
      <c r="CW477" s="39"/>
      <c r="CX477" s="39"/>
      <c r="CY477" s="39"/>
      <c r="CZ477" s="39"/>
      <c r="DA477" s="39"/>
      <c r="DB477" s="39"/>
      <c r="DC477" s="39"/>
    </row>
    <row r="478" spans="1:107" s="92" customFormat="1" ht="33" customHeight="1" x14ac:dyDescent="0.25">
      <c r="A478"/>
      <c r="B478"/>
      <c r="C478"/>
      <c r="D478"/>
      <c r="E478"/>
      <c r="F478"/>
      <c r="G478"/>
      <c r="H478"/>
      <c r="I478" s="68"/>
      <c r="J478" s="71"/>
      <c r="K478"/>
      <c r="L478"/>
      <c r="M478"/>
      <c r="N478"/>
      <c r="O478"/>
      <c r="P478"/>
      <c r="Q478" s="121"/>
      <c r="R478"/>
      <c r="S478"/>
      <c r="T478" s="229"/>
      <c r="U478" s="229"/>
      <c r="V478" s="229"/>
      <c r="W478" s="229"/>
      <c r="X478" s="229"/>
      <c r="Y478" s="136"/>
      <c r="Z478" s="166"/>
      <c r="AA478" s="166"/>
      <c r="AB478" s="71"/>
      <c r="AC478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  <c r="BA478" s="39"/>
      <c r="BB478" s="39"/>
      <c r="BC478" s="39"/>
      <c r="BD478" s="39"/>
      <c r="BE478" s="39"/>
      <c r="BF478" s="39"/>
      <c r="BG478" s="39"/>
      <c r="BH478" s="39"/>
      <c r="BI478" s="39"/>
      <c r="BJ478" s="39"/>
      <c r="BK478" s="39"/>
      <c r="BL478" s="39"/>
      <c r="BM478" s="39"/>
      <c r="BN478" s="39"/>
      <c r="BO478" s="39"/>
      <c r="BP478" s="39"/>
      <c r="BQ478" s="39"/>
      <c r="BR478" s="39"/>
      <c r="BS478" s="39"/>
      <c r="BT478" s="39"/>
      <c r="BU478" s="39"/>
      <c r="BV478" s="39"/>
      <c r="BW478" s="39"/>
      <c r="BX478" s="39"/>
      <c r="BY478" s="39"/>
      <c r="BZ478" s="39"/>
      <c r="CA478" s="39"/>
      <c r="CB478" s="39"/>
      <c r="CC478" s="39"/>
      <c r="CD478" s="39"/>
      <c r="CE478" s="39"/>
      <c r="CF478" s="39"/>
      <c r="CG478" s="39"/>
      <c r="CH478" s="39"/>
      <c r="CI478" s="39"/>
      <c r="CJ478" s="39"/>
      <c r="CK478" s="39"/>
      <c r="CL478" s="39"/>
      <c r="CM478" s="39"/>
      <c r="CN478" s="39"/>
      <c r="CO478" s="39"/>
      <c r="CP478" s="39"/>
      <c r="CQ478" s="39"/>
      <c r="CR478" s="39"/>
      <c r="CS478" s="39"/>
      <c r="CT478" s="39"/>
      <c r="CU478" s="39"/>
      <c r="CV478" s="39"/>
      <c r="CW478" s="39"/>
      <c r="CX478" s="39"/>
      <c r="CY478" s="39"/>
      <c r="CZ478" s="39"/>
      <c r="DA478" s="39"/>
      <c r="DB478" s="39"/>
      <c r="DC478" s="39"/>
    </row>
    <row r="479" spans="1:107" s="92" customFormat="1" ht="33" customHeight="1" x14ac:dyDescent="0.25">
      <c r="A479"/>
      <c r="B479"/>
      <c r="C479"/>
      <c r="D479"/>
      <c r="E479"/>
      <c r="F479"/>
      <c r="G479"/>
      <c r="H479"/>
      <c r="I479" s="68"/>
      <c r="J479" s="71"/>
      <c r="K479"/>
      <c r="L479"/>
      <c r="M479"/>
      <c r="N479"/>
      <c r="O479"/>
      <c r="P479"/>
      <c r="Q479" s="121"/>
      <c r="R479"/>
      <c r="S479"/>
      <c r="T479" s="229"/>
      <c r="U479" s="229"/>
      <c r="V479" s="229"/>
      <c r="W479" s="229"/>
      <c r="X479" s="229"/>
      <c r="Y479" s="136"/>
      <c r="Z479" s="166"/>
      <c r="AA479" s="166"/>
      <c r="AB479" s="71"/>
      <c r="AC47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  <c r="BA479" s="39"/>
      <c r="BB479" s="39"/>
      <c r="BC479" s="39"/>
      <c r="BD479" s="39"/>
      <c r="BE479" s="39"/>
      <c r="BF479" s="39"/>
      <c r="BG479" s="39"/>
      <c r="BH479" s="39"/>
      <c r="BI479" s="39"/>
      <c r="BJ479" s="39"/>
      <c r="BK479" s="39"/>
      <c r="BL479" s="39"/>
      <c r="BM479" s="39"/>
      <c r="BN479" s="39"/>
      <c r="BO479" s="39"/>
      <c r="BP479" s="39"/>
      <c r="BQ479" s="39"/>
      <c r="BR479" s="39"/>
      <c r="BS479" s="39"/>
      <c r="BT479" s="39"/>
      <c r="BU479" s="39"/>
      <c r="BV479" s="39"/>
      <c r="BW479" s="39"/>
      <c r="BX479" s="39"/>
      <c r="BY479" s="39"/>
      <c r="BZ479" s="39"/>
      <c r="CA479" s="39"/>
      <c r="CB479" s="39"/>
      <c r="CC479" s="39"/>
      <c r="CD479" s="39"/>
      <c r="CE479" s="39"/>
      <c r="CF479" s="39"/>
      <c r="CG479" s="39"/>
      <c r="CH479" s="39"/>
      <c r="CI479" s="39"/>
      <c r="CJ479" s="39"/>
      <c r="CK479" s="39"/>
      <c r="CL479" s="39"/>
      <c r="CM479" s="39"/>
      <c r="CN479" s="39"/>
      <c r="CO479" s="39"/>
      <c r="CP479" s="39"/>
      <c r="CQ479" s="39"/>
      <c r="CR479" s="39"/>
      <c r="CS479" s="39"/>
      <c r="CT479" s="39"/>
      <c r="CU479" s="39"/>
      <c r="CV479" s="39"/>
      <c r="CW479" s="39"/>
      <c r="CX479" s="39"/>
      <c r="CY479" s="39"/>
      <c r="CZ479" s="39"/>
      <c r="DA479" s="39"/>
      <c r="DB479" s="39"/>
      <c r="DC479" s="39"/>
    </row>
    <row r="480" spans="1:107" s="92" customFormat="1" ht="33" customHeight="1" x14ac:dyDescent="0.25">
      <c r="A480"/>
      <c r="B480"/>
      <c r="C480"/>
      <c r="D480"/>
      <c r="E480"/>
      <c r="F480"/>
      <c r="G480"/>
      <c r="H480"/>
      <c r="I480" s="68"/>
      <c r="J480" s="71"/>
      <c r="K480"/>
      <c r="L480"/>
      <c r="M480"/>
      <c r="N480"/>
      <c r="O480"/>
      <c r="P480"/>
      <c r="Q480" s="121"/>
      <c r="R480"/>
      <c r="S480"/>
      <c r="T480" s="229"/>
      <c r="U480" s="229"/>
      <c r="V480" s="229"/>
      <c r="W480" s="229"/>
      <c r="X480" s="229"/>
      <c r="Y480" s="136"/>
      <c r="Z480" s="166"/>
      <c r="AA480" s="166"/>
      <c r="AB480" s="71"/>
      <c r="AC480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  <c r="BA480" s="39"/>
      <c r="BB480" s="39"/>
      <c r="BC480" s="39"/>
      <c r="BD480" s="39"/>
      <c r="BE480" s="39"/>
      <c r="BF480" s="39"/>
      <c r="BG480" s="39"/>
      <c r="BH480" s="39"/>
      <c r="BI480" s="39"/>
      <c r="BJ480" s="39"/>
      <c r="BK480" s="39"/>
      <c r="BL480" s="39"/>
      <c r="BM480" s="39"/>
      <c r="BN480" s="39"/>
      <c r="BO480" s="39"/>
      <c r="BP480" s="39"/>
      <c r="BQ480" s="39"/>
      <c r="BR480" s="39"/>
      <c r="BS480" s="39"/>
      <c r="BT480" s="39"/>
      <c r="BU480" s="39"/>
      <c r="BV480" s="39"/>
      <c r="BW480" s="39"/>
      <c r="BX480" s="39"/>
      <c r="BY480" s="39"/>
      <c r="BZ480" s="39"/>
      <c r="CA480" s="39"/>
      <c r="CB480" s="39"/>
      <c r="CC480" s="39"/>
      <c r="CD480" s="39"/>
      <c r="CE480" s="39"/>
      <c r="CF480" s="39"/>
      <c r="CG480" s="39"/>
      <c r="CH480" s="39"/>
      <c r="CI480" s="39"/>
      <c r="CJ480" s="39"/>
      <c r="CK480" s="39"/>
      <c r="CL480" s="39"/>
      <c r="CM480" s="39"/>
      <c r="CN480" s="39"/>
      <c r="CO480" s="39"/>
      <c r="CP480" s="39"/>
      <c r="CQ480" s="39"/>
      <c r="CR480" s="39"/>
      <c r="CS480" s="39"/>
      <c r="CT480" s="39"/>
      <c r="CU480" s="39"/>
      <c r="CV480" s="39"/>
      <c r="CW480" s="39"/>
      <c r="CX480" s="39"/>
      <c r="CY480" s="39"/>
      <c r="CZ480" s="39"/>
      <c r="DA480" s="39"/>
      <c r="DB480" s="39"/>
      <c r="DC480" s="39"/>
    </row>
    <row r="481" spans="1:107" s="92" customFormat="1" ht="33" customHeight="1" x14ac:dyDescent="0.25">
      <c r="A481"/>
      <c r="B481"/>
      <c r="C481"/>
      <c r="D481"/>
      <c r="E481"/>
      <c r="F481"/>
      <c r="G481"/>
      <c r="H481"/>
      <c r="I481" s="68"/>
      <c r="J481" s="71"/>
      <c r="K481"/>
      <c r="L481"/>
      <c r="M481"/>
      <c r="N481"/>
      <c r="O481"/>
      <c r="P481"/>
      <c r="Q481" s="121"/>
      <c r="R481"/>
      <c r="S481"/>
      <c r="T481" s="229"/>
      <c r="U481" s="229"/>
      <c r="V481" s="229"/>
      <c r="W481" s="229"/>
      <c r="X481" s="229"/>
      <c r="Y481" s="136"/>
      <c r="Z481" s="166"/>
      <c r="AA481" s="166"/>
      <c r="AB481" s="71"/>
      <c r="AC481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  <c r="BA481" s="39"/>
      <c r="BB481" s="39"/>
      <c r="BC481" s="39"/>
      <c r="BD481" s="39"/>
      <c r="BE481" s="39"/>
      <c r="BF481" s="39"/>
      <c r="BG481" s="39"/>
      <c r="BH481" s="39"/>
      <c r="BI481" s="39"/>
      <c r="BJ481" s="39"/>
      <c r="BK481" s="39"/>
      <c r="BL481" s="39"/>
      <c r="BM481" s="39"/>
      <c r="BN481" s="39"/>
      <c r="BO481" s="39"/>
      <c r="BP481" s="39"/>
      <c r="BQ481" s="39"/>
      <c r="BR481" s="39"/>
      <c r="BS481" s="39"/>
      <c r="BT481" s="39"/>
      <c r="BU481" s="39"/>
      <c r="BV481" s="39"/>
      <c r="BW481" s="39"/>
      <c r="BX481" s="39"/>
      <c r="BY481" s="39"/>
      <c r="BZ481" s="39"/>
      <c r="CA481" s="39"/>
      <c r="CB481" s="39"/>
      <c r="CC481" s="39"/>
      <c r="CD481" s="39"/>
      <c r="CE481" s="39"/>
      <c r="CF481" s="39"/>
      <c r="CG481" s="39"/>
      <c r="CH481" s="39"/>
      <c r="CI481" s="39"/>
      <c r="CJ481" s="39"/>
      <c r="CK481" s="39"/>
      <c r="CL481" s="39"/>
      <c r="CM481" s="39"/>
      <c r="CN481" s="39"/>
      <c r="CO481" s="39"/>
      <c r="CP481" s="39"/>
      <c r="CQ481" s="39"/>
      <c r="CR481" s="39"/>
      <c r="CS481" s="39"/>
      <c r="CT481" s="39"/>
      <c r="CU481" s="39"/>
      <c r="CV481" s="39"/>
      <c r="CW481" s="39"/>
      <c r="CX481" s="39"/>
      <c r="CY481" s="39"/>
      <c r="CZ481" s="39"/>
      <c r="DA481" s="39"/>
      <c r="DB481" s="39"/>
      <c r="DC481" s="39"/>
    </row>
    <row r="482" spans="1:107" s="92" customFormat="1" ht="33" customHeight="1" x14ac:dyDescent="0.25">
      <c r="A482"/>
      <c r="B482"/>
      <c r="C482"/>
      <c r="D482"/>
      <c r="E482"/>
      <c r="F482"/>
      <c r="G482"/>
      <c r="H482"/>
      <c r="I482" s="68"/>
      <c r="J482" s="71"/>
      <c r="K482"/>
      <c r="L482"/>
      <c r="M482"/>
      <c r="N482"/>
      <c r="O482"/>
      <c r="P482"/>
      <c r="Q482" s="121"/>
      <c r="R482"/>
      <c r="S482"/>
      <c r="T482" s="229"/>
      <c r="U482" s="229"/>
      <c r="V482" s="229"/>
      <c r="W482" s="229"/>
      <c r="X482" s="229"/>
      <c r="Y482" s="136"/>
      <c r="Z482" s="166"/>
      <c r="AA482" s="166"/>
      <c r="AB482" s="71"/>
      <c r="AC482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  <c r="BA482" s="39"/>
      <c r="BB482" s="39"/>
      <c r="BC482" s="39"/>
      <c r="BD482" s="39"/>
      <c r="BE482" s="39"/>
      <c r="BF482" s="39"/>
      <c r="BG482" s="39"/>
      <c r="BH482" s="39"/>
      <c r="BI482" s="39"/>
      <c r="BJ482" s="39"/>
      <c r="BK482" s="39"/>
      <c r="BL482" s="39"/>
      <c r="BM482" s="39"/>
      <c r="BN482" s="39"/>
      <c r="BO482" s="39"/>
      <c r="BP482" s="39"/>
      <c r="BQ482" s="39"/>
      <c r="BR482" s="39"/>
      <c r="BS482" s="39"/>
      <c r="BT482" s="39"/>
      <c r="BU482" s="39"/>
      <c r="BV482" s="39"/>
      <c r="BW482" s="39"/>
      <c r="BX482" s="39"/>
      <c r="BY482" s="39"/>
      <c r="BZ482" s="39"/>
      <c r="CA482" s="39"/>
      <c r="CB482" s="39"/>
      <c r="CC482" s="39"/>
      <c r="CD482" s="39"/>
      <c r="CE482" s="39"/>
      <c r="CF482" s="39"/>
      <c r="CG482" s="39"/>
      <c r="CH482" s="39"/>
      <c r="CI482" s="39"/>
      <c r="CJ482" s="39"/>
      <c r="CK482" s="39"/>
      <c r="CL482" s="39"/>
      <c r="CM482" s="39"/>
      <c r="CN482" s="39"/>
      <c r="CO482" s="39"/>
      <c r="CP482" s="39"/>
      <c r="CQ482" s="39"/>
      <c r="CR482" s="39"/>
      <c r="CS482" s="39"/>
      <c r="CT482" s="39"/>
      <c r="CU482" s="39"/>
      <c r="CV482" s="39"/>
      <c r="CW482" s="39"/>
      <c r="CX482" s="39"/>
      <c r="CY482" s="39"/>
      <c r="CZ482" s="39"/>
      <c r="DA482" s="39"/>
      <c r="DB482" s="39"/>
      <c r="DC482" s="39"/>
    </row>
    <row r="483" spans="1:107" s="92" customFormat="1" ht="33" customHeight="1" x14ac:dyDescent="0.25">
      <c r="A483"/>
      <c r="B483"/>
      <c r="C483"/>
      <c r="D483"/>
      <c r="E483"/>
      <c r="F483"/>
      <c r="G483"/>
      <c r="H483"/>
      <c r="I483" s="68"/>
      <c r="J483" s="71"/>
      <c r="K483"/>
      <c r="L483"/>
      <c r="M483"/>
      <c r="N483"/>
      <c r="O483"/>
      <c r="P483"/>
      <c r="Q483" s="121"/>
      <c r="R483"/>
      <c r="S483"/>
      <c r="T483" s="229"/>
      <c r="U483" s="229"/>
      <c r="V483" s="229"/>
      <c r="W483" s="229"/>
      <c r="X483" s="229"/>
      <c r="Y483" s="136"/>
      <c r="Z483" s="166"/>
      <c r="AA483" s="166"/>
      <c r="AB483" s="71"/>
      <c r="AC483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  <c r="BA483" s="39"/>
      <c r="BB483" s="39"/>
      <c r="BC483" s="39"/>
      <c r="BD483" s="39"/>
      <c r="BE483" s="39"/>
      <c r="BF483" s="39"/>
      <c r="BG483" s="39"/>
      <c r="BH483" s="39"/>
      <c r="BI483" s="39"/>
      <c r="BJ483" s="39"/>
      <c r="BK483" s="39"/>
      <c r="BL483" s="39"/>
      <c r="BM483" s="39"/>
      <c r="BN483" s="39"/>
      <c r="BO483" s="39"/>
      <c r="BP483" s="39"/>
      <c r="BQ483" s="39"/>
      <c r="BR483" s="39"/>
      <c r="BS483" s="39"/>
      <c r="BT483" s="39"/>
      <c r="BU483" s="39"/>
      <c r="BV483" s="39"/>
      <c r="BW483" s="39"/>
      <c r="BX483" s="39"/>
      <c r="BY483" s="39"/>
      <c r="BZ483" s="39"/>
      <c r="CA483" s="39"/>
      <c r="CB483" s="39"/>
      <c r="CC483" s="39"/>
      <c r="CD483" s="39"/>
      <c r="CE483" s="39"/>
      <c r="CF483" s="39"/>
      <c r="CG483" s="39"/>
      <c r="CH483" s="39"/>
      <c r="CI483" s="39"/>
      <c r="CJ483" s="39"/>
      <c r="CK483" s="39"/>
      <c r="CL483" s="39"/>
      <c r="CM483" s="39"/>
      <c r="CN483" s="39"/>
      <c r="CO483" s="39"/>
      <c r="CP483" s="39"/>
      <c r="CQ483" s="39"/>
      <c r="CR483" s="39"/>
      <c r="CS483" s="39"/>
      <c r="CT483" s="39"/>
      <c r="CU483" s="39"/>
      <c r="CV483" s="39"/>
      <c r="CW483" s="39"/>
      <c r="CX483" s="39"/>
      <c r="CY483" s="39"/>
      <c r="CZ483" s="39"/>
      <c r="DA483" s="39"/>
      <c r="DB483" s="39"/>
      <c r="DC483" s="39"/>
    </row>
    <row r="484" spans="1:107" s="92" customFormat="1" ht="33" customHeight="1" x14ac:dyDescent="0.25">
      <c r="A484"/>
      <c r="B484"/>
      <c r="C484"/>
      <c r="D484"/>
      <c r="E484"/>
      <c r="F484"/>
      <c r="G484"/>
      <c r="H484"/>
      <c r="I484" s="68"/>
      <c r="J484" s="71"/>
      <c r="K484"/>
      <c r="L484"/>
      <c r="M484"/>
      <c r="N484"/>
      <c r="O484"/>
      <c r="P484"/>
      <c r="Q484" s="121"/>
      <c r="R484"/>
      <c r="S484"/>
      <c r="T484" s="229"/>
      <c r="U484" s="229"/>
      <c r="V484" s="229"/>
      <c r="W484" s="229"/>
      <c r="X484" s="229"/>
      <c r="Y484" s="136"/>
      <c r="Z484" s="166"/>
      <c r="AA484" s="166"/>
      <c r="AB484" s="71"/>
      <c r="AC484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  <c r="BA484" s="39"/>
      <c r="BB484" s="39"/>
      <c r="BC484" s="39"/>
      <c r="BD484" s="39"/>
      <c r="BE484" s="39"/>
      <c r="BF484" s="39"/>
      <c r="BG484" s="39"/>
      <c r="BH484" s="39"/>
      <c r="BI484" s="39"/>
      <c r="BJ484" s="39"/>
      <c r="BK484" s="39"/>
      <c r="BL484" s="39"/>
      <c r="BM484" s="39"/>
      <c r="BN484" s="39"/>
      <c r="BO484" s="39"/>
      <c r="BP484" s="39"/>
      <c r="BQ484" s="39"/>
      <c r="BR484" s="39"/>
      <c r="BS484" s="39"/>
      <c r="BT484" s="39"/>
      <c r="BU484" s="39"/>
      <c r="BV484" s="39"/>
      <c r="BW484" s="39"/>
      <c r="BX484" s="39"/>
      <c r="BY484" s="39"/>
      <c r="BZ484" s="39"/>
      <c r="CA484" s="39"/>
      <c r="CB484" s="39"/>
      <c r="CC484" s="39"/>
      <c r="CD484" s="39"/>
      <c r="CE484" s="39"/>
      <c r="CF484" s="39"/>
      <c r="CG484" s="39"/>
      <c r="CH484" s="39"/>
      <c r="CI484" s="39"/>
      <c r="CJ484" s="39"/>
      <c r="CK484" s="39"/>
      <c r="CL484" s="39"/>
      <c r="CM484" s="39"/>
      <c r="CN484" s="39"/>
      <c r="CO484" s="39"/>
      <c r="CP484" s="39"/>
      <c r="CQ484" s="39"/>
      <c r="CR484" s="39"/>
      <c r="CS484" s="39"/>
      <c r="CT484" s="39"/>
      <c r="CU484" s="39"/>
      <c r="CV484" s="39"/>
      <c r="CW484" s="39"/>
      <c r="CX484" s="39"/>
      <c r="CY484" s="39"/>
      <c r="CZ484" s="39"/>
      <c r="DA484" s="39"/>
      <c r="DB484" s="39"/>
      <c r="DC484" s="39"/>
    </row>
    <row r="485" spans="1:107" s="92" customFormat="1" ht="33" customHeight="1" x14ac:dyDescent="0.25">
      <c r="A485"/>
      <c r="B485"/>
      <c r="C485"/>
      <c r="D485"/>
      <c r="E485"/>
      <c r="F485"/>
      <c r="G485"/>
      <c r="H485"/>
      <c r="I485" s="68"/>
      <c r="J485" s="71"/>
      <c r="K485"/>
      <c r="L485"/>
      <c r="M485"/>
      <c r="N485"/>
      <c r="O485"/>
      <c r="P485"/>
      <c r="Q485" s="121"/>
      <c r="R485"/>
      <c r="S485"/>
      <c r="T485" s="229"/>
      <c r="U485" s="229"/>
      <c r="V485" s="229"/>
      <c r="W485" s="229"/>
      <c r="X485" s="229"/>
      <c r="Y485" s="136"/>
      <c r="Z485" s="166"/>
      <c r="AA485" s="166"/>
      <c r="AB485" s="71"/>
      <c r="AC485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  <c r="BA485" s="39"/>
      <c r="BB485" s="39"/>
      <c r="BC485" s="39"/>
      <c r="BD485" s="39"/>
      <c r="BE485" s="39"/>
      <c r="BF485" s="39"/>
      <c r="BG485" s="39"/>
      <c r="BH485" s="39"/>
      <c r="BI485" s="39"/>
      <c r="BJ485" s="39"/>
      <c r="BK485" s="39"/>
      <c r="BL485" s="39"/>
      <c r="BM485" s="39"/>
      <c r="BN485" s="39"/>
      <c r="BO485" s="39"/>
      <c r="BP485" s="39"/>
      <c r="BQ485" s="39"/>
      <c r="BR485" s="39"/>
      <c r="BS485" s="39"/>
      <c r="BT485" s="39"/>
      <c r="BU485" s="39"/>
      <c r="BV485" s="39"/>
      <c r="BW485" s="39"/>
      <c r="BX485" s="39"/>
      <c r="BY485" s="39"/>
      <c r="BZ485" s="39"/>
      <c r="CA485" s="39"/>
      <c r="CB485" s="39"/>
      <c r="CC485" s="39"/>
      <c r="CD485" s="39"/>
      <c r="CE485" s="39"/>
      <c r="CF485" s="39"/>
      <c r="CG485" s="39"/>
      <c r="CH485" s="39"/>
      <c r="CI485" s="39"/>
      <c r="CJ485" s="39"/>
      <c r="CK485" s="39"/>
      <c r="CL485" s="39"/>
      <c r="CM485" s="39"/>
      <c r="CN485" s="39"/>
      <c r="CO485" s="39"/>
      <c r="CP485" s="39"/>
      <c r="CQ485" s="39"/>
      <c r="CR485" s="39"/>
      <c r="CS485" s="39"/>
      <c r="CT485" s="39"/>
      <c r="CU485" s="39"/>
      <c r="CV485" s="39"/>
      <c r="CW485" s="39"/>
      <c r="CX485" s="39"/>
      <c r="CY485" s="39"/>
      <c r="CZ485" s="39"/>
      <c r="DA485" s="39"/>
      <c r="DB485" s="39"/>
      <c r="DC485" s="39"/>
    </row>
    <row r="486" spans="1:107" s="92" customFormat="1" ht="33" customHeight="1" x14ac:dyDescent="0.25">
      <c r="A486"/>
      <c r="B486"/>
      <c r="C486"/>
      <c r="D486"/>
      <c r="E486"/>
      <c r="F486"/>
      <c r="G486"/>
      <c r="H486"/>
      <c r="I486" s="68"/>
      <c r="J486" s="71"/>
      <c r="K486"/>
      <c r="L486"/>
      <c r="M486"/>
      <c r="N486"/>
      <c r="O486"/>
      <c r="P486"/>
      <c r="Q486" s="121"/>
      <c r="R486"/>
      <c r="S486"/>
      <c r="T486" s="229"/>
      <c r="U486" s="229"/>
      <c r="V486" s="229"/>
      <c r="W486" s="229"/>
      <c r="X486" s="229"/>
      <c r="Y486" s="136"/>
      <c r="Z486" s="166"/>
      <c r="AA486" s="166"/>
      <c r="AB486" s="71"/>
      <c r="AC486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  <c r="BA486" s="39"/>
      <c r="BB486" s="39"/>
      <c r="BC486" s="39"/>
      <c r="BD486" s="39"/>
      <c r="BE486" s="39"/>
      <c r="BF486" s="39"/>
      <c r="BG486" s="39"/>
      <c r="BH486" s="39"/>
      <c r="BI486" s="39"/>
      <c r="BJ486" s="39"/>
      <c r="BK486" s="39"/>
      <c r="BL486" s="39"/>
      <c r="BM486" s="39"/>
      <c r="BN486" s="39"/>
      <c r="BO486" s="39"/>
      <c r="BP486" s="39"/>
      <c r="BQ486" s="39"/>
      <c r="BR486" s="39"/>
      <c r="BS486" s="39"/>
      <c r="BT486" s="39"/>
      <c r="BU486" s="39"/>
      <c r="BV486" s="39"/>
      <c r="BW486" s="39"/>
      <c r="BX486" s="39"/>
      <c r="BY486" s="39"/>
      <c r="BZ486" s="39"/>
      <c r="CA486" s="39"/>
      <c r="CB486" s="39"/>
      <c r="CC486" s="39"/>
      <c r="CD486" s="39"/>
      <c r="CE486" s="39"/>
      <c r="CF486" s="39"/>
      <c r="CG486" s="39"/>
      <c r="CH486" s="39"/>
      <c r="CI486" s="39"/>
      <c r="CJ486" s="39"/>
      <c r="CK486" s="39"/>
      <c r="CL486" s="39"/>
      <c r="CM486" s="39"/>
      <c r="CN486" s="39"/>
      <c r="CO486" s="39"/>
      <c r="CP486" s="39"/>
      <c r="CQ486" s="39"/>
      <c r="CR486" s="39"/>
      <c r="CS486" s="39"/>
      <c r="CT486" s="39"/>
      <c r="CU486" s="39"/>
      <c r="CV486" s="39"/>
      <c r="CW486" s="39"/>
      <c r="CX486" s="39"/>
      <c r="CY486" s="39"/>
      <c r="CZ486" s="39"/>
      <c r="DA486" s="39"/>
      <c r="DB486" s="39"/>
      <c r="DC486" s="39"/>
    </row>
    <row r="487" spans="1:107" s="92" customFormat="1" ht="33" customHeight="1" x14ac:dyDescent="0.25">
      <c r="A487"/>
      <c r="B487"/>
      <c r="C487"/>
      <c r="D487"/>
      <c r="E487"/>
      <c r="F487"/>
      <c r="G487"/>
      <c r="H487"/>
      <c r="I487" s="68"/>
      <c r="J487" s="71"/>
      <c r="K487"/>
      <c r="L487"/>
      <c r="M487"/>
      <c r="N487"/>
      <c r="O487"/>
      <c r="P487"/>
      <c r="Q487" s="121"/>
      <c r="R487"/>
      <c r="S487"/>
      <c r="T487" s="229"/>
      <c r="U487" s="229"/>
      <c r="V487" s="229"/>
      <c r="W487" s="229"/>
      <c r="X487" s="229"/>
      <c r="Y487" s="136"/>
      <c r="Z487" s="166"/>
      <c r="AA487" s="166"/>
      <c r="AB487" s="71"/>
      <c r="AC487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  <c r="BA487" s="39"/>
      <c r="BB487" s="39"/>
      <c r="BC487" s="39"/>
      <c r="BD487" s="39"/>
      <c r="BE487" s="39"/>
      <c r="BF487" s="39"/>
      <c r="BG487" s="39"/>
      <c r="BH487" s="39"/>
      <c r="BI487" s="39"/>
      <c r="BJ487" s="39"/>
      <c r="BK487" s="39"/>
      <c r="BL487" s="39"/>
      <c r="BM487" s="39"/>
      <c r="BN487" s="39"/>
      <c r="BO487" s="39"/>
      <c r="BP487" s="39"/>
      <c r="BQ487" s="39"/>
      <c r="BR487" s="39"/>
      <c r="BS487" s="39"/>
      <c r="BT487" s="39"/>
      <c r="BU487" s="39"/>
      <c r="BV487" s="39"/>
      <c r="BW487" s="39"/>
      <c r="BX487" s="39"/>
      <c r="BY487" s="39"/>
      <c r="BZ487" s="39"/>
      <c r="CA487" s="39"/>
      <c r="CB487" s="39"/>
      <c r="CC487" s="39"/>
      <c r="CD487" s="39"/>
      <c r="CE487" s="39"/>
      <c r="CF487" s="39"/>
      <c r="CG487" s="39"/>
      <c r="CH487" s="39"/>
      <c r="CI487" s="39"/>
      <c r="CJ487" s="39"/>
      <c r="CK487" s="39"/>
      <c r="CL487" s="39"/>
      <c r="CM487" s="39"/>
      <c r="CN487" s="39"/>
      <c r="CO487" s="39"/>
      <c r="CP487" s="39"/>
      <c r="CQ487" s="39"/>
      <c r="CR487" s="39"/>
      <c r="CS487" s="39"/>
      <c r="CT487" s="39"/>
      <c r="CU487" s="39"/>
      <c r="CV487" s="39"/>
      <c r="CW487" s="39"/>
      <c r="CX487" s="39"/>
      <c r="CY487" s="39"/>
      <c r="CZ487" s="39"/>
      <c r="DA487" s="39"/>
      <c r="DB487" s="39"/>
      <c r="DC487" s="39"/>
    </row>
    <row r="488" spans="1:107" s="92" customFormat="1" ht="33" customHeight="1" x14ac:dyDescent="0.25">
      <c r="A488"/>
      <c r="B488"/>
      <c r="C488"/>
      <c r="D488"/>
      <c r="E488"/>
      <c r="F488"/>
      <c r="G488"/>
      <c r="H488"/>
      <c r="I488" s="68"/>
      <c r="J488" s="71"/>
      <c r="K488"/>
      <c r="L488"/>
      <c r="M488"/>
      <c r="N488"/>
      <c r="O488"/>
      <c r="P488"/>
      <c r="Q488" s="121"/>
      <c r="R488"/>
      <c r="S488"/>
      <c r="T488" s="229"/>
      <c r="U488" s="229"/>
      <c r="V488" s="229"/>
      <c r="W488" s="229"/>
      <c r="X488" s="229"/>
      <c r="Y488" s="136"/>
      <c r="Z488" s="166"/>
      <c r="AA488" s="166"/>
      <c r="AB488" s="71"/>
      <c r="AC488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  <c r="BA488" s="39"/>
      <c r="BB488" s="39"/>
      <c r="BC488" s="39"/>
      <c r="BD488" s="39"/>
      <c r="BE488" s="39"/>
      <c r="BF488" s="39"/>
      <c r="BG488" s="39"/>
      <c r="BH488" s="39"/>
      <c r="BI488" s="39"/>
      <c r="BJ488" s="39"/>
      <c r="BK488" s="39"/>
      <c r="BL488" s="39"/>
      <c r="BM488" s="39"/>
      <c r="BN488" s="39"/>
      <c r="BO488" s="39"/>
      <c r="BP488" s="39"/>
      <c r="BQ488" s="39"/>
      <c r="BR488" s="39"/>
      <c r="BS488" s="39"/>
      <c r="BT488" s="39"/>
      <c r="BU488" s="39"/>
      <c r="BV488" s="39"/>
      <c r="BW488" s="39"/>
      <c r="BX488" s="39"/>
      <c r="BY488" s="39"/>
      <c r="BZ488" s="39"/>
      <c r="CA488" s="39"/>
      <c r="CB488" s="39"/>
      <c r="CC488" s="39"/>
      <c r="CD488" s="39"/>
      <c r="CE488" s="39"/>
      <c r="CF488" s="39"/>
      <c r="CG488" s="39"/>
      <c r="CH488" s="39"/>
      <c r="CI488" s="39"/>
      <c r="CJ488" s="39"/>
      <c r="CK488" s="39"/>
      <c r="CL488" s="39"/>
      <c r="CM488" s="39"/>
      <c r="CN488" s="39"/>
      <c r="CO488" s="39"/>
      <c r="CP488" s="39"/>
      <c r="CQ488" s="39"/>
      <c r="CR488" s="39"/>
      <c r="CS488" s="39"/>
      <c r="CT488" s="39"/>
      <c r="CU488" s="39"/>
      <c r="CV488" s="39"/>
      <c r="CW488" s="39"/>
      <c r="CX488" s="39"/>
      <c r="CY488" s="39"/>
      <c r="CZ488" s="39"/>
      <c r="DA488" s="39"/>
      <c r="DB488" s="39"/>
      <c r="DC488" s="39"/>
    </row>
    <row r="489" spans="1:107" s="92" customFormat="1" ht="33" customHeight="1" x14ac:dyDescent="0.25">
      <c r="A489"/>
      <c r="B489"/>
      <c r="C489"/>
      <c r="D489"/>
      <c r="E489"/>
      <c r="F489"/>
      <c r="G489"/>
      <c r="H489"/>
      <c r="I489" s="68"/>
      <c r="J489" s="71"/>
      <c r="K489"/>
      <c r="L489"/>
      <c r="M489"/>
      <c r="N489"/>
      <c r="O489"/>
      <c r="P489"/>
      <c r="Q489" s="121"/>
      <c r="R489"/>
      <c r="S489"/>
      <c r="T489" s="229"/>
      <c r="U489" s="229"/>
      <c r="V489" s="229"/>
      <c r="W489" s="229"/>
      <c r="X489" s="229"/>
      <c r="Y489" s="136"/>
      <c r="Z489" s="166"/>
      <c r="AA489" s="166"/>
      <c r="AB489" s="71"/>
      <c r="AC48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  <c r="BA489" s="39"/>
      <c r="BB489" s="39"/>
      <c r="BC489" s="39"/>
      <c r="BD489" s="39"/>
      <c r="BE489" s="39"/>
      <c r="BF489" s="39"/>
      <c r="BG489" s="39"/>
      <c r="BH489" s="39"/>
      <c r="BI489" s="39"/>
      <c r="BJ489" s="39"/>
      <c r="BK489" s="39"/>
      <c r="BL489" s="39"/>
      <c r="BM489" s="39"/>
      <c r="BN489" s="39"/>
      <c r="BO489" s="39"/>
      <c r="BP489" s="39"/>
      <c r="BQ489" s="39"/>
      <c r="BR489" s="39"/>
      <c r="BS489" s="39"/>
      <c r="BT489" s="39"/>
      <c r="BU489" s="39"/>
      <c r="BV489" s="39"/>
      <c r="BW489" s="39"/>
      <c r="BX489" s="39"/>
      <c r="BY489" s="39"/>
      <c r="BZ489" s="39"/>
      <c r="CA489" s="39"/>
      <c r="CB489" s="39"/>
      <c r="CC489" s="39"/>
      <c r="CD489" s="39"/>
      <c r="CE489" s="39"/>
      <c r="CF489" s="39"/>
      <c r="CG489" s="39"/>
      <c r="CH489" s="39"/>
      <c r="CI489" s="39"/>
      <c r="CJ489" s="39"/>
      <c r="CK489" s="39"/>
      <c r="CL489" s="39"/>
      <c r="CM489" s="39"/>
      <c r="CN489" s="39"/>
      <c r="CO489" s="39"/>
      <c r="CP489" s="39"/>
      <c r="CQ489" s="39"/>
      <c r="CR489" s="39"/>
      <c r="CS489" s="39"/>
      <c r="CT489" s="39"/>
      <c r="CU489" s="39"/>
      <c r="CV489" s="39"/>
      <c r="CW489" s="39"/>
      <c r="CX489" s="39"/>
      <c r="CY489" s="39"/>
      <c r="CZ489" s="39"/>
      <c r="DA489" s="39"/>
      <c r="DB489" s="39"/>
      <c r="DC489" s="39"/>
    </row>
    <row r="490" spans="1:107" s="92" customFormat="1" ht="33" customHeight="1" x14ac:dyDescent="0.25">
      <c r="A490"/>
      <c r="B490"/>
      <c r="C490"/>
      <c r="D490"/>
      <c r="E490"/>
      <c r="F490"/>
      <c r="G490"/>
      <c r="H490"/>
      <c r="I490" s="68"/>
      <c r="J490" s="71"/>
      <c r="K490"/>
      <c r="L490"/>
      <c r="M490"/>
      <c r="N490"/>
      <c r="O490"/>
      <c r="P490"/>
      <c r="Q490" s="121"/>
      <c r="R490"/>
      <c r="S490"/>
      <c r="T490" s="229"/>
      <c r="U490" s="229"/>
      <c r="V490" s="229"/>
      <c r="W490" s="229"/>
      <c r="X490" s="229"/>
      <c r="Y490" s="136"/>
      <c r="Z490" s="166"/>
      <c r="AA490" s="166"/>
      <c r="AB490" s="71"/>
      <c r="AC490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  <c r="BA490" s="39"/>
      <c r="BB490" s="39"/>
      <c r="BC490" s="39"/>
      <c r="BD490" s="39"/>
      <c r="BE490" s="39"/>
      <c r="BF490" s="39"/>
      <c r="BG490" s="39"/>
      <c r="BH490" s="39"/>
      <c r="BI490" s="39"/>
      <c r="BJ490" s="39"/>
      <c r="BK490" s="39"/>
      <c r="BL490" s="39"/>
      <c r="BM490" s="39"/>
      <c r="BN490" s="39"/>
      <c r="BO490" s="39"/>
      <c r="BP490" s="39"/>
      <c r="BQ490" s="39"/>
      <c r="BR490" s="39"/>
      <c r="BS490" s="39"/>
      <c r="BT490" s="39"/>
      <c r="BU490" s="39"/>
      <c r="BV490" s="39"/>
      <c r="BW490" s="39"/>
      <c r="BX490" s="39"/>
      <c r="BY490" s="39"/>
      <c r="BZ490" s="39"/>
      <c r="CA490" s="39"/>
      <c r="CB490" s="39"/>
      <c r="CC490" s="39"/>
      <c r="CD490" s="39"/>
      <c r="CE490" s="39"/>
      <c r="CF490" s="39"/>
      <c r="CG490" s="39"/>
      <c r="CH490" s="39"/>
      <c r="CI490" s="39"/>
      <c r="CJ490" s="39"/>
      <c r="CK490" s="39"/>
      <c r="CL490" s="39"/>
      <c r="CM490" s="39"/>
      <c r="CN490" s="39"/>
      <c r="CO490" s="39"/>
      <c r="CP490" s="39"/>
      <c r="CQ490" s="39"/>
      <c r="CR490" s="39"/>
      <c r="CS490" s="39"/>
      <c r="CT490" s="39"/>
      <c r="CU490" s="39"/>
      <c r="CV490" s="39"/>
      <c r="CW490" s="39"/>
      <c r="CX490" s="39"/>
      <c r="CY490" s="39"/>
      <c r="CZ490" s="39"/>
      <c r="DA490" s="39"/>
      <c r="DB490" s="39"/>
      <c r="DC490" s="39"/>
    </row>
    <row r="491" spans="1:107" s="92" customFormat="1" ht="33" customHeight="1" x14ac:dyDescent="0.25">
      <c r="A491"/>
      <c r="B491"/>
      <c r="C491"/>
      <c r="D491"/>
      <c r="E491"/>
      <c r="F491"/>
      <c r="G491"/>
      <c r="H491"/>
      <c r="I491" s="68"/>
      <c r="J491" s="71"/>
      <c r="K491"/>
      <c r="L491"/>
      <c r="M491"/>
      <c r="N491"/>
      <c r="O491"/>
      <c r="P491"/>
      <c r="Q491" s="121"/>
      <c r="R491"/>
      <c r="S491"/>
      <c r="T491" s="229"/>
      <c r="U491" s="229"/>
      <c r="V491" s="229"/>
      <c r="W491" s="229"/>
      <c r="X491" s="229"/>
      <c r="Y491" s="136"/>
      <c r="Z491" s="166"/>
      <c r="AA491" s="166"/>
      <c r="AB491" s="71"/>
      <c r="AC491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  <c r="BA491" s="39"/>
      <c r="BB491" s="39"/>
      <c r="BC491" s="39"/>
      <c r="BD491" s="39"/>
      <c r="BE491" s="39"/>
      <c r="BF491" s="39"/>
      <c r="BG491" s="39"/>
      <c r="BH491" s="39"/>
      <c r="BI491" s="39"/>
      <c r="BJ491" s="39"/>
      <c r="BK491" s="39"/>
      <c r="BL491" s="39"/>
      <c r="BM491" s="39"/>
      <c r="BN491" s="39"/>
      <c r="BO491" s="39"/>
      <c r="BP491" s="39"/>
      <c r="BQ491" s="39"/>
      <c r="BR491" s="39"/>
      <c r="BS491" s="39"/>
      <c r="BT491" s="39"/>
      <c r="BU491" s="39"/>
      <c r="BV491" s="39"/>
      <c r="BW491" s="39"/>
      <c r="BX491" s="39"/>
      <c r="BY491" s="39"/>
      <c r="BZ491" s="39"/>
      <c r="CA491" s="39"/>
      <c r="CB491" s="39"/>
      <c r="CC491" s="39"/>
      <c r="CD491" s="39"/>
      <c r="CE491" s="39"/>
      <c r="CF491" s="39"/>
      <c r="CG491" s="39"/>
      <c r="CH491" s="39"/>
      <c r="CI491" s="39"/>
      <c r="CJ491" s="39"/>
      <c r="CK491" s="39"/>
      <c r="CL491" s="39"/>
      <c r="CM491" s="39"/>
      <c r="CN491" s="39"/>
      <c r="CO491" s="39"/>
      <c r="CP491" s="39"/>
      <c r="CQ491" s="39"/>
      <c r="CR491" s="39"/>
      <c r="CS491" s="39"/>
      <c r="CT491" s="39"/>
      <c r="CU491" s="39"/>
      <c r="CV491" s="39"/>
      <c r="CW491" s="39"/>
      <c r="CX491" s="39"/>
      <c r="CY491" s="39"/>
      <c r="CZ491" s="39"/>
      <c r="DA491" s="39"/>
      <c r="DB491" s="39"/>
      <c r="DC491" s="39"/>
    </row>
    <row r="492" spans="1:107" s="92" customFormat="1" ht="33" customHeight="1" x14ac:dyDescent="0.25">
      <c r="A492"/>
      <c r="B492"/>
      <c r="C492"/>
      <c r="D492"/>
      <c r="E492"/>
      <c r="F492"/>
      <c r="G492"/>
      <c r="H492"/>
      <c r="I492" s="68"/>
      <c r="J492" s="71"/>
      <c r="K492"/>
      <c r="L492"/>
      <c r="M492"/>
      <c r="N492"/>
      <c r="O492"/>
      <c r="P492"/>
      <c r="Q492" s="121"/>
      <c r="R492"/>
      <c r="S492"/>
      <c r="T492" s="229"/>
      <c r="U492" s="229"/>
      <c r="V492" s="229"/>
      <c r="W492" s="229"/>
      <c r="X492" s="229"/>
      <c r="Y492" s="136"/>
      <c r="Z492" s="166"/>
      <c r="AA492" s="166"/>
      <c r="AB492" s="71"/>
      <c r="AC492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  <c r="BA492" s="39"/>
      <c r="BB492" s="39"/>
      <c r="BC492" s="39"/>
      <c r="BD492" s="39"/>
      <c r="BE492" s="39"/>
      <c r="BF492" s="39"/>
      <c r="BG492" s="39"/>
      <c r="BH492" s="39"/>
      <c r="BI492" s="39"/>
      <c r="BJ492" s="39"/>
      <c r="BK492" s="39"/>
      <c r="BL492" s="39"/>
      <c r="BM492" s="39"/>
      <c r="BN492" s="39"/>
      <c r="BO492" s="39"/>
      <c r="BP492" s="39"/>
      <c r="BQ492" s="39"/>
      <c r="BR492" s="39"/>
      <c r="BS492" s="39"/>
      <c r="BT492" s="39"/>
      <c r="BU492" s="39"/>
      <c r="BV492" s="39"/>
      <c r="BW492" s="39"/>
      <c r="BX492" s="39"/>
      <c r="BY492" s="39"/>
      <c r="BZ492" s="39"/>
      <c r="CA492" s="39"/>
      <c r="CB492" s="39"/>
      <c r="CC492" s="39"/>
      <c r="CD492" s="39"/>
      <c r="CE492" s="39"/>
      <c r="CF492" s="39"/>
      <c r="CG492" s="39"/>
      <c r="CH492" s="39"/>
      <c r="CI492" s="39"/>
      <c r="CJ492" s="39"/>
      <c r="CK492" s="39"/>
      <c r="CL492" s="39"/>
      <c r="CM492" s="39"/>
      <c r="CN492" s="39"/>
      <c r="CO492" s="39"/>
      <c r="CP492" s="39"/>
      <c r="CQ492" s="39"/>
      <c r="CR492" s="39"/>
      <c r="CS492" s="39"/>
      <c r="CT492" s="39"/>
      <c r="CU492" s="39"/>
      <c r="CV492" s="39"/>
      <c r="CW492" s="39"/>
      <c r="CX492" s="39"/>
      <c r="CY492" s="39"/>
      <c r="CZ492" s="39"/>
      <c r="DA492" s="39"/>
      <c r="DB492" s="39"/>
      <c r="DC492" s="39"/>
    </row>
    <row r="493" spans="1:107" s="92" customFormat="1" ht="33" customHeight="1" x14ac:dyDescent="0.25">
      <c r="A493"/>
      <c r="B493"/>
      <c r="C493"/>
      <c r="D493"/>
      <c r="E493"/>
      <c r="F493"/>
      <c r="G493"/>
      <c r="H493"/>
      <c r="I493" s="68"/>
      <c r="J493" s="71"/>
      <c r="K493"/>
      <c r="L493"/>
      <c r="M493"/>
      <c r="N493"/>
      <c r="O493"/>
      <c r="P493"/>
      <c r="Q493" s="121"/>
      <c r="R493"/>
      <c r="S493"/>
      <c r="T493" s="229"/>
      <c r="U493" s="229"/>
      <c r="V493" s="229"/>
      <c r="W493" s="229"/>
      <c r="X493" s="229"/>
      <c r="Y493" s="136"/>
      <c r="Z493" s="166"/>
      <c r="AA493" s="166"/>
      <c r="AB493" s="71"/>
      <c r="AC493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  <c r="BA493" s="39"/>
      <c r="BB493" s="39"/>
      <c r="BC493" s="39"/>
      <c r="BD493" s="39"/>
      <c r="BE493" s="39"/>
      <c r="BF493" s="39"/>
      <c r="BG493" s="39"/>
      <c r="BH493" s="39"/>
      <c r="BI493" s="39"/>
      <c r="BJ493" s="39"/>
      <c r="BK493" s="39"/>
      <c r="BL493" s="39"/>
      <c r="BM493" s="39"/>
      <c r="BN493" s="39"/>
      <c r="BO493" s="39"/>
      <c r="BP493" s="39"/>
      <c r="BQ493" s="39"/>
      <c r="BR493" s="39"/>
      <c r="BS493" s="39"/>
      <c r="BT493" s="39"/>
      <c r="BU493" s="39"/>
      <c r="BV493" s="39"/>
      <c r="BW493" s="39"/>
      <c r="BX493" s="39"/>
      <c r="BY493" s="39"/>
      <c r="BZ493" s="39"/>
      <c r="CA493" s="39"/>
      <c r="CB493" s="39"/>
      <c r="CC493" s="39"/>
      <c r="CD493" s="39"/>
      <c r="CE493" s="39"/>
      <c r="CF493" s="39"/>
      <c r="CG493" s="39"/>
      <c r="CH493" s="39"/>
      <c r="CI493" s="39"/>
      <c r="CJ493" s="39"/>
      <c r="CK493" s="39"/>
      <c r="CL493" s="39"/>
      <c r="CM493" s="39"/>
      <c r="CN493" s="39"/>
      <c r="CO493" s="39"/>
      <c r="CP493" s="39"/>
      <c r="CQ493" s="39"/>
      <c r="CR493" s="39"/>
      <c r="CS493" s="39"/>
      <c r="CT493" s="39"/>
      <c r="CU493" s="39"/>
      <c r="CV493" s="39"/>
      <c r="CW493" s="39"/>
      <c r="CX493" s="39"/>
      <c r="CY493" s="39"/>
      <c r="CZ493" s="39"/>
      <c r="DA493" s="39"/>
      <c r="DB493" s="39"/>
      <c r="DC493" s="39"/>
    </row>
    <row r="494" spans="1:107" s="92" customFormat="1" ht="33" customHeight="1" x14ac:dyDescent="0.25">
      <c r="A494"/>
      <c r="B494"/>
      <c r="C494"/>
      <c r="D494"/>
      <c r="E494"/>
      <c r="F494"/>
      <c r="G494"/>
      <c r="H494"/>
      <c r="I494" s="68"/>
      <c r="J494" s="71"/>
      <c r="K494"/>
      <c r="L494"/>
      <c r="M494"/>
      <c r="N494"/>
      <c r="O494"/>
      <c r="P494"/>
      <c r="Q494" s="121"/>
      <c r="R494"/>
      <c r="S494"/>
      <c r="T494" s="229"/>
      <c r="U494" s="229"/>
      <c r="V494" s="229"/>
      <c r="W494" s="229"/>
      <c r="X494" s="229"/>
      <c r="Y494" s="136"/>
      <c r="Z494" s="166"/>
      <c r="AA494" s="166"/>
      <c r="AB494" s="71"/>
      <c r="AC494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  <c r="BA494" s="39"/>
      <c r="BB494" s="39"/>
      <c r="BC494" s="39"/>
      <c r="BD494" s="39"/>
      <c r="BE494" s="39"/>
      <c r="BF494" s="39"/>
      <c r="BG494" s="39"/>
      <c r="BH494" s="39"/>
      <c r="BI494" s="39"/>
      <c r="BJ494" s="39"/>
      <c r="BK494" s="39"/>
      <c r="BL494" s="39"/>
      <c r="BM494" s="39"/>
      <c r="BN494" s="39"/>
      <c r="BO494" s="39"/>
      <c r="BP494" s="39"/>
      <c r="BQ494" s="39"/>
      <c r="BR494" s="39"/>
      <c r="BS494" s="39"/>
      <c r="BT494" s="39"/>
      <c r="BU494" s="39"/>
      <c r="BV494" s="39"/>
      <c r="BW494" s="39"/>
      <c r="BX494" s="39"/>
      <c r="BY494" s="39"/>
      <c r="BZ494" s="39"/>
      <c r="CA494" s="39"/>
      <c r="CB494" s="39"/>
      <c r="CC494" s="39"/>
      <c r="CD494" s="39"/>
      <c r="CE494" s="39"/>
      <c r="CF494" s="39"/>
      <c r="CG494" s="39"/>
      <c r="CH494" s="39"/>
      <c r="CI494" s="39"/>
      <c r="CJ494" s="39"/>
      <c r="CK494" s="39"/>
      <c r="CL494" s="39"/>
      <c r="CM494" s="39"/>
      <c r="CN494" s="39"/>
      <c r="CO494" s="39"/>
      <c r="CP494" s="39"/>
      <c r="CQ494" s="39"/>
      <c r="CR494" s="39"/>
      <c r="CS494" s="39"/>
      <c r="CT494" s="39"/>
      <c r="CU494" s="39"/>
      <c r="CV494" s="39"/>
      <c r="CW494" s="39"/>
      <c r="CX494" s="39"/>
      <c r="CY494" s="39"/>
      <c r="CZ494" s="39"/>
      <c r="DA494" s="39"/>
      <c r="DB494" s="39"/>
      <c r="DC494" s="39"/>
    </row>
    <row r="495" spans="1:107" s="92" customFormat="1" ht="33" customHeight="1" x14ac:dyDescent="0.25">
      <c r="A495"/>
      <c r="B495"/>
      <c r="C495"/>
      <c r="D495"/>
      <c r="E495"/>
      <c r="F495"/>
      <c r="G495"/>
      <c r="H495"/>
      <c r="I495" s="68"/>
      <c r="J495" s="71"/>
      <c r="K495"/>
      <c r="L495"/>
      <c r="M495"/>
      <c r="N495"/>
      <c r="O495"/>
      <c r="P495"/>
      <c r="Q495" s="121"/>
      <c r="R495"/>
      <c r="S495"/>
      <c r="T495" s="229"/>
      <c r="U495" s="229"/>
      <c r="V495" s="229"/>
      <c r="W495" s="229"/>
      <c r="X495" s="229"/>
      <c r="Y495" s="136"/>
      <c r="Z495" s="166"/>
      <c r="AA495" s="166"/>
      <c r="AB495" s="71"/>
      <c r="AC495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  <c r="BA495" s="39"/>
      <c r="BB495" s="39"/>
      <c r="BC495" s="39"/>
      <c r="BD495" s="39"/>
      <c r="BE495" s="39"/>
      <c r="BF495" s="39"/>
      <c r="BG495" s="39"/>
      <c r="BH495" s="39"/>
      <c r="BI495" s="39"/>
      <c r="BJ495" s="39"/>
      <c r="BK495" s="39"/>
      <c r="BL495" s="39"/>
      <c r="BM495" s="39"/>
      <c r="BN495" s="39"/>
      <c r="BO495" s="39"/>
      <c r="BP495" s="39"/>
      <c r="BQ495" s="39"/>
      <c r="BR495" s="39"/>
      <c r="BS495" s="39"/>
      <c r="BT495" s="39"/>
      <c r="BU495" s="39"/>
      <c r="BV495" s="39"/>
      <c r="BW495" s="39"/>
      <c r="BX495" s="39"/>
      <c r="BY495" s="39"/>
      <c r="BZ495" s="39"/>
      <c r="CA495" s="39"/>
      <c r="CB495" s="39"/>
      <c r="CC495" s="39"/>
      <c r="CD495" s="39"/>
      <c r="CE495" s="39"/>
      <c r="CF495" s="39"/>
      <c r="CG495" s="39"/>
      <c r="CH495" s="39"/>
      <c r="CI495" s="39"/>
      <c r="CJ495" s="39"/>
      <c r="CK495" s="39"/>
      <c r="CL495" s="39"/>
      <c r="CM495" s="39"/>
      <c r="CN495" s="39"/>
      <c r="CO495" s="39"/>
      <c r="CP495" s="39"/>
      <c r="CQ495" s="39"/>
      <c r="CR495" s="39"/>
      <c r="CS495" s="39"/>
      <c r="CT495" s="39"/>
      <c r="CU495" s="39"/>
      <c r="CV495" s="39"/>
      <c r="CW495" s="39"/>
      <c r="CX495" s="39"/>
      <c r="CY495" s="39"/>
      <c r="CZ495" s="39"/>
      <c r="DA495" s="39"/>
      <c r="DB495" s="39"/>
      <c r="DC495" s="39"/>
    </row>
    <row r="496" spans="1:107" s="92" customFormat="1" ht="33" customHeight="1" x14ac:dyDescent="0.25">
      <c r="A496"/>
      <c r="B496"/>
      <c r="C496"/>
      <c r="D496"/>
      <c r="E496"/>
      <c r="F496"/>
      <c r="G496"/>
      <c r="H496"/>
      <c r="I496" s="68"/>
      <c r="J496" s="71"/>
      <c r="K496"/>
      <c r="L496"/>
      <c r="M496"/>
      <c r="N496"/>
      <c r="O496"/>
      <c r="P496"/>
      <c r="Q496" s="121"/>
      <c r="R496"/>
      <c r="S496"/>
      <c r="T496" s="229"/>
      <c r="U496" s="229"/>
      <c r="V496" s="229"/>
      <c r="W496" s="229"/>
      <c r="X496" s="229"/>
      <c r="Y496" s="136"/>
      <c r="Z496" s="166"/>
      <c r="AA496" s="166"/>
      <c r="AB496" s="71"/>
      <c r="AC496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  <c r="BA496" s="39"/>
      <c r="BB496" s="39"/>
      <c r="BC496" s="39"/>
      <c r="BD496" s="39"/>
      <c r="BE496" s="39"/>
      <c r="BF496" s="39"/>
      <c r="BG496" s="39"/>
      <c r="BH496" s="39"/>
      <c r="BI496" s="39"/>
      <c r="BJ496" s="39"/>
      <c r="BK496" s="39"/>
      <c r="BL496" s="39"/>
      <c r="BM496" s="39"/>
      <c r="BN496" s="39"/>
      <c r="BO496" s="39"/>
      <c r="BP496" s="39"/>
      <c r="BQ496" s="39"/>
      <c r="BR496" s="39"/>
      <c r="BS496" s="39"/>
      <c r="BT496" s="39"/>
      <c r="BU496" s="39"/>
      <c r="BV496" s="39"/>
      <c r="BW496" s="39"/>
      <c r="BX496" s="39"/>
      <c r="BY496" s="39"/>
      <c r="BZ496" s="39"/>
      <c r="CA496" s="39"/>
      <c r="CB496" s="39"/>
      <c r="CC496" s="39"/>
      <c r="CD496" s="39"/>
      <c r="CE496" s="39"/>
      <c r="CF496" s="39"/>
      <c r="CG496" s="39"/>
      <c r="CH496" s="39"/>
      <c r="CI496" s="39"/>
      <c r="CJ496" s="39"/>
      <c r="CK496" s="39"/>
      <c r="CL496" s="39"/>
      <c r="CM496" s="39"/>
      <c r="CN496" s="39"/>
      <c r="CO496" s="39"/>
      <c r="CP496" s="39"/>
      <c r="CQ496" s="39"/>
      <c r="CR496" s="39"/>
      <c r="CS496" s="39"/>
      <c r="CT496" s="39"/>
      <c r="CU496" s="39"/>
      <c r="CV496" s="39"/>
      <c r="CW496" s="39"/>
      <c r="CX496" s="39"/>
      <c r="CY496" s="39"/>
      <c r="CZ496" s="39"/>
      <c r="DA496" s="39"/>
      <c r="DB496" s="39"/>
      <c r="DC496" s="39"/>
    </row>
    <row r="497" spans="1:107" s="92" customFormat="1" ht="33" customHeight="1" x14ac:dyDescent="0.25">
      <c r="A497"/>
      <c r="B497"/>
      <c r="C497"/>
      <c r="D497"/>
      <c r="E497"/>
      <c r="F497"/>
      <c r="G497"/>
      <c r="H497"/>
      <c r="I497" s="68"/>
      <c r="J497" s="71"/>
      <c r="K497"/>
      <c r="L497"/>
      <c r="M497"/>
      <c r="N497"/>
      <c r="O497"/>
      <c r="P497"/>
      <c r="Q497" s="121"/>
      <c r="R497"/>
      <c r="S497"/>
      <c r="T497" s="229"/>
      <c r="U497" s="229"/>
      <c r="V497" s="229"/>
      <c r="W497" s="229"/>
      <c r="X497" s="229"/>
      <c r="Y497" s="136"/>
      <c r="Z497" s="166"/>
      <c r="AA497" s="166"/>
      <c r="AB497" s="71"/>
      <c r="AC497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  <c r="BA497" s="39"/>
      <c r="BB497" s="39"/>
      <c r="BC497" s="39"/>
      <c r="BD497" s="39"/>
      <c r="BE497" s="39"/>
      <c r="BF497" s="39"/>
      <c r="BG497" s="39"/>
      <c r="BH497" s="39"/>
      <c r="BI497" s="39"/>
      <c r="BJ497" s="39"/>
      <c r="BK497" s="39"/>
      <c r="BL497" s="39"/>
      <c r="BM497" s="39"/>
      <c r="BN497" s="39"/>
      <c r="BO497" s="39"/>
      <c r="BP497" s="39"/>
      <c r="BQ497" s="39"/>
      <c r="BR497" s="39"/>
      <c r="BS497" s="39"/>
      <c r="BT497" s="39"/>
      <c r="BU497" s="39"/>
      <c r="BV497" s="39"/>
      <c r="BW497" s="39"/>
      <c r="BX497" s="39"/>
      <c r="BY497" s="39"/>
      <c r="BZ497" s="39"/>
      <c r="CA497" s="39"/>
      <c r="CB497" s="39"/>
      <c r="CC497" s="39"/>
      <c r="CD497" s="39"/>
      <c r="CE497" s="39"/>
      <c r="CF497" s="39"/>
      <c r="CG497" s="39"/>
      <c r="CH497" s="39"/>
      <c r="CI497" s="39"/>
      <c r="CJ497" s="39"/>
      <c r="CK497" s="39"/>
      <c r="CL497" s="39"/>
      <c r="CM497" s="39"/>
      <c r="CN497" s="39"/>
      <c r="CO497" s="39"/>
      <c r="CP497" s="39"/>
      <c r="CQ497" s="39"/>
      <c r="CR497" s="39"/>
      <c r="CS497" s="39"/>
      <c r="CT497" s="39"/>
      <c r="CU497" s="39"/>
      <c r="CV497" s="39"/>
      <c r="CW497" s="39"/>
      <c r="CX497" s="39"/>
      <c r="CY497" s="39"/>
      <c r="CZ497" s="39"/>
      <c r="DA497" s="39"/>
      <c r="DB497" s="39"/>
      <c r="DC497" s="39"/>
    </row>
    <row r="498" spans="1:107" s="92" customFormat="1" ht="33" customHeight="1" x14ac:dyDescent="0.25">
      <c r="A498"/>
      <c r="B498"/>
      <c r="C498"/>
      <c r="D498"/>
      <c r="E498"/>
      <c r="F498"/>
      <c r="G498"/>
      <c r="H498"/>
      <c r="I498" s="68"/>
      <c r="J498" s="71"/>
      <c r="K498"/>
      <c r="L498"/>
      <c r="M498"/>
      <c r="N498"/>
      <c r="O498"/>
      <c r="P498"/>
      <c r="Q498" s="121"/>
      <c r="R498"/>
      <c r="S498"/>
      <c r="T498" s="229"/>
      <c r="U498" s="229"/>
      <c r="V498" s="229"/>
      <c r="W498" s="229"/>
      <c r="X498" s="229"/>
      <c r="Y498" s="136"/>
      <c r="Z498" s="166"/>
      <c r="AA498" s="166"/>
      <c r="AB498" s="71"/>
      <c r="AC498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  <c r="BA498" s="39"/>
      <c r="BB498" s="39"/>
      <c r="BC498" s="39"/>
      <c r="BD498" s="39"/>
      <c r="BE498" s="39"/>
      <c r="BF498" s="39"/>
      <c r="BG498" s="39"/>
      <c r="BH498" s="39"/>
      <c r="BI498" s="39"/>
      <c r="BJ498" s="39"/>
      <c r="BK498" s="39"/>
      <c r="BL498" s="39"/>
      <c r="BM498" s="39"/>
      <c r="BN498" s="39"/>
      <c r="BO498" s="39"/>
      <c r="BP498" s="39"/>
      <c r="BQ498" s="39"/>
      <c r="BR498" s="39"/>
      <c r="BS498" s="39"/>
      <c r="BT498" s="39"/>
      <c r="BU498" s="39"/>
      <c r="BV498" s="39"/>
      <c r="BW498" s="39"/>
      <c r="BX498" s="39"/>
      <c r="BY498" s="39"/>
      <c r="BZ498" s="39"/>
      <c r="CA498" s="39"/>
      <c r="CB498" s="39"/>
      <c r="CC498" s="39"/>
      <c r="CD498" s="39"/>
      <c r="CE498" s="39"/>
      <c r="CF498" s="39"/>
      <c r="CG498" s="39"/>
      <c r="CH498" s="39"/>
      <c r="CI498" s="39"/>
      <c r="CJ498" s="39"/>
      <c r="CK498" s="39"/>
      <c r="CL498" s="39"/>
      <c r="CM498" s="39"/>
      <c r="CN498" s="39"/>
      <c r="CO498" s="39"/>
      <c r="CP498" s="39"/>
      <c r="CQ498" s="39"/>
      <c r="CR498" s="39"/>
      <c r="CS498" s="39"/>
      <c r="CT498" s="39"/>
      <c r="CU498" s="39"/>
      <c r="CV498" s="39"/>
      <c r="CW498" s="39"/>
      <c r="CX498" s="39"/>
      <c r="CY498" s="39"/>
      <c r="CZ498" s="39"/>
      <c r="DA498" s="39"/>
      <c r="DB498" s="39"/>
      <c r="DC498" s="39"/>
    </row>
    <row r="499" spans="1:107" s="92" customFormat="1" ht="39.950000000000003" customHeight="1" x14ac:dyDescent="0.25">
      <c r="A499"/>
      <c r="B499"/>
      <c r="C499"/>
      <c r="D499"/>
      <c r="E499"/>
      <c r="F499"/>
      <c r="G499"/>
      <c r="H499"/>
      <c r="I499" s="68"/>
      <c r="J499" s="71"/>
      <c r="K499"/>
      <c r="L499"/>
      <c r="M499"/>
      <c r="N499"/>
      <c r="O499"/>
      <c r="P499"/>
      <c r="Q499" s="121"/>
      <c r="R499"/>
      <c r="S499"/>
      <c r="T499" s="229"/>
      <c r="U499" s="229"/>
      <c r="V499" s="229"/>
      <c r="W499" s="229"/>
      <c r="X499" s="229"/>
      <c r="Y499" s="136"/>
      <c r="Z499" s="166"/>
      <c r="AA499" s="166"/>
      <c r="AB499" s="71"/>
      <c r="AC49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  <c r="BA499" s="39"/>
      <c r="BB499" s="39"/>
      <c r="BC499" s="39"/>
      <c r="BD499" s="39"/>
      <c r="BE499" s="39"/>
      <c r="BF499" s="39"/>
      <c r="BG499" s="39"/>
      <c r="BH499" s="39"/>
      <c r="BI499" s="39"/>
      <c r="BJ499" s="39"/>
      <c r="BK499" s="39"/>
      <c r="BL499" s="39"/>
      <c r="BM499" s="39"/>
      <c r="BN499" s="39"/>
      <c r="BO499" s="39"/>
      <c r="BP499" s="39"/>
      <c r="BQ499" s="39"/>
      <c r="BR499" s="39"/>
      <c r="BS499" s="39"/>
      <c r="BT499" s="39"/>
      <c r="BU499" s="39"/>
      <c r="BV499" s="39"/>
      <c r="BW499" s="39"/>
      <c r="BX499" s="39"/>
      <c r="BY499" s="39"/>
      <c r="BZ499" s="39"/>
      <c r="CA499" s="39"/>
      <c r="CB499" s="39"/>
      <c r="CC499" s="39"/>
      <c r="CD499" s="39"/>
      <c r="CE499" s="39"/>
      <c r="CF499" s="39"/>
      <c r="CG499" s="39"/>
      <c r="CH499" s="39"/>
      <c r="CI499" s="39"/>
      <c r="CJ499" s="39"/>
      <c r="CK499" s="39"/>
      <c r="CL499" s="39"/>
      <c r="CM499" s="39"/>
      <c r="CN499" s="39"/>
      <c r="CO499" s="39"/>
      <c r="CP499" s="39"/>
      <c r="CQ499" s="39"/>
      <c r="CR499" s="39"/>
      <c r="CS499" s="39"/>
      <c r="CT499" s="39"/>
      <c r="CU499" s="39"/>
      <c r="CV499" s="39"/>
      <c r="CW499" s="39"/>
      <c r="CX499" s="39"/>
      <c r="CY499" s="39"/>
      <c r="CZ499" s="39"/>
      <c r="DA499" s="39"/>
      <c r="DB499" s="39"/>
      <c r="DC499" s="39"/>
    </row>
    <row r="500" spans="1:107" s="92" customFormat="1" ht="39.950000000000003" customHeight="1" x14ac:dyDescent="0.25">
      <c r="A500"/>
      <c r="B500"/>
      <c r="C500"/>
      <c r="D500"/>
      <c r="E500"/>
      <c r="F500"/>
      <c r="G500"/>
      <c r="H500"/>
      <c r="I500" s="68"/>
      <c r="J500" s="71"/>
      <c r="K500"/>
      <c r="L500"/>
      <c r="M500"/>
      <c r="N500"/>
      <c r="O500"/>
      <c r="P500"/>
      <c r="Q500" s="121"/>
      <c r="R500"/>
      <c r="S500"/>
      <c r="T500" s="229"/>
      <c r="U500" s="229"/>
      <c r="V500" s="229"/>
      <c r="W500" s="229"/>
      <c r="X500" s="229"/>
      <c r="Y500" s="136"/>
      <c r="Z500" s="166"/>
      <c r="AA500" s="166"/>
      <c r="AB500" s="71"/>
      <c r="AC500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  <c r="BA500" s="39"/>
      <c r="BB500" s="39"/>
      <c r="BC500" s="39"/>
      <c r="BD500" s="39"/>
      <c r="BE500" s="39"/>
      <c r="BF500" s="39"/>
      <c r="BG500" s="39"/>
      <c r="BH500" s="39"/>
      <c r="BI500" s="39"/>
      <c r="BJ500" s="39"/>
      <c r="BK500" s="39"/>
      <c r="BL500" s="39"/>
      <c r="BM500" s="39"/>
      <c r="BN500" s="39"/>
      <c r="BO500" s="39"/>
      <c r="BP500" s="39"/>
      <c r="BQ500" s="39"/>
      <c r="BR500" s="39"/>
      <c r="BS500" s="39"/>
      <c r="BT500" s="39"/>
      <c r="BU500" s="39"/>
      <c r="BV500" s="39"/>
      <c r="BW500" s="39"/>
      <c r="BX500" s="39"/>
      <c r="BY500" s="39"/>
      <c r="BZ500" s="39"/>
      <c r="CA500" s="39"/>
      <c r="CB500" s="39"/>
      <c r="CC500" s="39"/>
      <c r="CD500" s="39"/>
      <c r="CE500" s="39"/>
      <c r="CF500" s="39"/>
      <c r="CG500" s="39"/>
      <c r="CH500" s="39"/>
      <c r="CI500" s="39"/>
      <c r="CJ500" s="39"/>
      <c r="CK500" s="39"/>
      <c r="CL500" s="39"/>
      <c r="CM500" s="39"/>
      <c r="CN500" s="39"/>
      <c r="CO500" s="39"/>
      <c r="CP500" s="39"/>
      <c r="CQ500" s="39"/>
      <c r="CR500" s="39"/>
      <c r="CS500" s="39"/>
      <c r="CT500" s="39"/>
      <c r="CU500" s="39"/>
      <c r="CV500" s="39"/>
      <c r="CW500" s="39"/>
      <c r="CX500" s="39"/>
      <c r="CY500" s="39"/>
      <c r="CZ500" s="39"/>
      <c r="DA500" s="39"/>
      <c r="DB500" s="39"/>
      <c r="DC500" s="39"/>
    </row>
    <row r="501" spans="1:107" s="92" customFormat="1" ht="39.950000000000003" customHeight="1" x14ac:dyDescent="0.25">
      <c r="A501"/>
      <c r="B501"/>
      <c r="C501"/>
      <c r="D501"/>
      <c r="E501"/>
      <c r="F501"/>
      <c r="G501"/>
      <c r="H501"/>
      <c r="I501" s="68"/>
      <c r="J501" s="71"/>
      <c r="K501"/>
      <c r="L501"/>
      <c r="M501"/>
      <c r="N501"/>
      <c r="O501"/>
      <c r="P501"/>
      <c r="Q501" s="121"/>
      <c r="R501"/>
      <c r="S501"/>
      <c r="T501" s="229"/>
      <c r="U501" s="229"/>
      <c r="V501" s="229"/>
      <c r="W501" s="229"/>
      <c r="X501" s="229"/>
      <c r="Y501" s="136"/>
      <c r="Z501" s="166"/>
      <c r="AA501" s="166"/>
      <c r="AB501" s="71"/>
      <c r="AC501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  <c r="BA501" s="39"/>
      <c r="BB501" s="39"/>
      <c r="BC501" s="39"/>
      <c r="BD501" s="39"/>
      <c r="BE501" s="39"/>
      <c r="BF501" s="39"/>
      <c r="BG501" s="39"/>
      <c r="BH501" s="39"/>
      <c r="BI501" s="39"/>
      <c r="BJ501" s="39"/>
      <c r="BK501" s="39"/>
      <c r="BL501" s="39"/>
      <c r="BM501" s="39"/>
      <c r="BN501" s="39"/>
      <c r="BO501" s="39"/>
      <c r="BP501" s="39"/>
      <c r="BQ501" s="39"/>
      <c r="BR501" s="39"/>
      <c r="BS501" s="39"/>
      <c r="BT501" s="39"/>
      <c r="BU501" s="39"/>
      <c r="BV501" s="39"/>
      <c r="BW501" s="39"/>
      <c r="BX501" s="39"/>
      <c r="BY501" s="39"/>
      <c r="BZ501" s="39"/>
      <c r="CA501" s="39"/>
      <c r="CB501" s="39"/>
      <c r="CC501" s="39"/>
      <c r="CD501" s="39"/>
      <c r="CE501" s="39"/>
      <c r="CF501" s="39"/>
      <c r="CG501" s="39"/>
      <c r="CH501" s="39"/>
      <c r="CI501" s="39"/>
      <c r="CJ501" s="39"/>
      <c r="CK501" s="39"/>
      <c r="CL501" s="39"/>
      <c r="CM501" s="39"/>
      <c r="CN501" s="39"/>
      <c r="CO501" s="39"/>
      <c r="CP501" s="39"/>
      <c r="CQ501" s="39"/>
      <c r="CR501" s="39"/>
      <c r="CS501" s="39"/>
      <c r="CT501" s="39"/>
      <c r="CU501" s="39"/>
      <c r="CV501" s="39"/>
      <c r="CW501" s="39"/>
      <c r="CX501" s="39"/>
      <c r="CY501" s="39"/>
      <c r="CZ501" s="39"/>
      <c r="DA501" s="39"/>
      <c r="DB501" s="39"/>
      <c r="DC501" s="39"/>
    </row>
    <row r="502" spans="1:107" s="92" customFormat="1" ht="39.950000000000003" customHeight="1" x14ac:dyDescent="0.25">
      <c r="A502"/>
      <c r="B502"/>
      <c r="C502"/>
      <c r="D502"/>
      <c r="E502"/>
      <c r="F502"/>
      <c r="G502"/>
      <c r="H502"/>
      <c r="I502" s="68"/>
      <c r="J502" s="71"/>
      <c r="K502"/>
      <c r="L502"/>
      <c r="M502"/>
      <c r="N502"/>
      <c r="O502"/>
      <c r="P502"/>
      <c r="Q502" s="121"/>
      <c r="R502"/>
      <c r="S502"/>
      <c r="T502" s="229"/>
      <c r="U502" s="229"/>
      <c r="V502" s="229"/>
      <c r="W502" s="229"/>
      <c r="X502" s="229"/>
      <c r="Y502" s="136"/>
      <c r="Z502" s="166"/>
      <c r="AA502" s="166"/>
      <c r="AB502" s="71"/>
      <c r="AC502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  <c r="BA502" s="39"/>
      <c r="BB502" s="39"/>
      <c r="BC502" s="39"/>
      <c r="BD502" s="39"/>
      <c r="BE502" s="39"/>
      <c r="BF502" s="39"/>
      <c r="BG502" s="39"/>
      <c r="BH502" s="39"/>
      <c r="BI502" s="39"/>
      <c r="BJ502" s="39"/>
      <c r="BK502" s="39"/>
      <c r="BL502" s="39"/>
      <c r="BM502" s="39"/>
      <c r="BN502" s="39"/>
      <c r="BO502" s="39"/>
      <c r="BP502" s="39"/>
      <c r="BQ502" s="39"/>
      <c r="BR502" s="39"/>
      <c r="BS502" s="39"/>
      <c r="BT502" s="39"/>
      <c r="BU502" s="39"/>
      <c r="BV502" s="39"/>
      <c r="BW502" s="39"/>
      <c r="BX502" s="39"/>
      <c r="BY502" s="39"/>
      <c r="BZ502" s="39"/>
      <c r="CA502" s="39"/>
      <c r="CB502" s="39"/>
      <c r="CC502" s="39"/>
      <c r="CD502" s="39"/>
      <c r="CE502" s="39"/>
      <c r="CF502" s="39"/>
      <c r="CG502" s="39"/>
      <c r="CH502" s="39"/>
      <c r="CI502" s="39"/>
      <c r="CJ502" s="39"/>
      <c r="CK502" s="39"/>
      <c r="CL502" s="39"/>
      <c r="CM502" s="39"/>
      <c r="CN502" s="39"/>
      <c r="CO502" s="39"/>
      <c r="CP502" s="39"/>
      <c r="CQ502" s="39"/>
      <c r="CR502" s="39"/>
      <c r="CS502" s="39"/>
      <c r="CT502" s="39"/>
      <c r="CU502" s="39"/>
      <c r="CV502" s="39"/>
      <c r="CW502" s="39"/>
      <c r="CX502" s="39"/>
      <c r="CY502" s="39"/>
      <c r="CZ502" s="39"/>
      <c r="DA502" s="39"/>
      <c r="DB502" s="39"/>
      <c r="DC502" s="39"/>
    </row>
    <row r="503" spans="1:107" s="92" customFormat="1" ht="39.950000000000003" customHeight="1" x14ac:dyDescent="0.25">
      <c r="A503"/>
      <c r="B503"/>
      <c r="C503"/>
      <c r="D503"/>
      <c r="E503"/>
      <c r="F503"/>
      <c r="G503"/>
      <c r="H503"/>
      <c r="I503" s="68"/>
      <c r="J503" s="71"/>
      <c r="K503"/>
      <c r="L503"/>
      <c r="M503"/>
      <c r="N503"/>
      <c r="O503"/>
      <c r="P503"/>
      <c r="Q503" s="121"/>
      <c r="R503"/>
      <c r="S503"/>
      <c r="T503" s="229"/>
      <c r="U503" s="229"/>
      <c r="V503" s="229"/>
      <c r="W503" s="229"/>
      <c r="X503" s="229"/>
      <c r="Y503" s="136"/>
      <c r="Z503" s="166"/>
      <c r="AA503" s="166"/>
      <c r="AB503" s="71"/>
      <c r="AC503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  <c r="BA503" s="39"/>
      <c r="BB503" s="39"/>
      <c r="BC503" s="39"/>
      <c r="BD503" s="39"/>
      <c r="BE503" s="39"/>
      <c r="BF503" s="39"/>
      <c r="BG503" s="39"/>
      <c r="BH503" s="39"/>
      <c r="BI503" s="39"/>
      <c r="BJ503" s="39"/>
      <c r="BK503" s="39"/>
      <c r="BL503" s="39"/>
      <c r="BM503" s="39"/>
      <c r="BN503" s="39"/>
      <c r="BO503" s="39"/>
      <c r="BP503" s="39"/>
      <c r="BQ503" s="39"/>
      <c r="BR503" s="39"/>
      <c r="BS503" s="39"/>
      <c r="BT503" s="39"/>
      <c r="BU503" s="39"/>
      <c r="BV503" s="39"/>
      <c r="BW503" s="39"/>
      <c r="BX503" s="39"/>
      <c r="BY503" s="39"/>
      <c r="BZ503" s="39"/>
      <c r="CA503" s="39"/>
      <c r="CB503" s="39"/>
      <c r="CC503" s="39"/>
      <c r="CD503" s="39"/>
      <c r="CE503" s="39"/>
      <c r="CF503" s="39"/>
      <c r="CG503" s="39"/>
      <c r="CH503" s="39"/>
      <c r="CI503" s="39"/>
      <c r="CJ503" s="39"/>
      <c r="CK503" s="39"/>
      <c r="CL503" s="39"/>
      <c r="CM503" s="39"/>
      <c r="CN503" s="39"/>
      <c r="CO503" s="39"/>
      <c r="CP503" s="39"/>
      <c r="CQ503" s="39"/>
      <c r="CR503" s="39"/>
      <c r="CS503" s="39"/>
      <c r="CT503" s="39"/>
      <c r="CU503" s="39"/>
      <c r="CV503" s="39"/>
      <c r="CW503" s="39"/>
      <c r="CX503" s="39"/>
      <c r="CY503" s="39"/>
      <c r="CZ503" s="39"/>
      <c r="DA503" s="39"/>
      <c r="DB503" s="39"/>
      <c r="DC503" s="39"/>
    </row>
    <row r="504" spans="1:107" s="92" customFormat="1" ht="39.950000000000003" customHeight="1" x14ac:dyDescent="0.25">
      <c r="A504"/>
      <c r="B504"/>
      <c r="C504"/>
      <c r="D504"/>
      <c r="E504"/>
      <c r="F504"/>
      <c r="G504"/>
      <c r="H504"/>
      <c r="I504" s="68"/>
      <c r="J504" s="71"/>
      <c r="K504"/>
      <c r="L504"/>
      <c r="M504"/>
      <c r="N504"/>
      <c r="O504"/>
      <c r="P504"/>
      <c r="Q504" s="121"/>
      <c r="R504"/>
      <c r="S504"/>
      <c r="T504" s="229"/>
      <c r="U504" s="229"/>
      <c r="V504" s="229"/>
      <c r="W504" s="229"/>
      <c r="X504" s="229"/>
      <c r="Y504" s="136"/>
      <c r="Z504" s="166"/>
      <c r="AA504" s="166"/>
      <c r="AB504" s="71"/>
      <c r="AC504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  <c r="BA504" s="39"/>
      <c r="BB504" s="39"/>
      <c r="BC504" s="39"/>
      <c r="BD504" s="39"/>
      <c r="BE504" s="39"/>
      <c r="BF504" s="39"/>
      <c r="BG504" s="39"/>
      <c r="BH504" s="39"/>
      <c r="BI504" s="39"/>
      <c r="BJ504" s="39"/>
      <c r="BK504" s="39"/>
      <c r="BL504" s="39"/>
      <c r="BM504" s="39"/>
      <c r="BN504" s="39"/>
      <c r="BO504" s="39"/>
      <c r="BP504" s="39"/>
      <c r="BQ504" s="39"/>
      <c r="BR504" s="39"/>
      <c r="BS504" s="39"/>
      <c r="BT504" s="39"/>
      <c r="BU504" s="39"/>
      <c r="BV504" s="39"/>
      <c r="BW504" s="39"/>
      <c r="BX504" s="39"/>
      <c r="BY504" s="39"/>
      <c r="BZ504" s="39"/>
      <c r="CA504" s="39"/>
      <c r="CB504" s="39"/>
      <c r="CC504" s="39"/>
      <c r="CD504" s="39"/>
      <c r="CE504" s="39"/>
      <c r="CF504" s="39"/>
      <c r="CG504" s="39"/>
      <c r="CH504" s="39"/>
      <c r="CI504" s="39"/>
      <c r="CJ504" s="39"/>
      <c r="CK504" s="39"/>
      <c r="CL504" s="39"/>
      <c r="CM504" s="39"/>
      <c r="CN504" s="39"/>
      <c r="CO504" s="39"/>
      <c r="CP504" s="39"/>
      <c r="CQ504" s="39"/>
      <c r="CR504" s="39"/>
      <c r="CS504" s="39"/>
      <c r="CT504" s="39"/>
      <c r="CU504" s="39"/>
      <c r="CV504" s="39"/>
      <c r="CW504" s="39"/>
      <c r="CX504" s="39"/>
      <c r="CY504" s="39"/>
      <c r="CZ504" s="39"/>
      <c r="DA504" s="39"/>
      <c r="DB504" s="39"/>
      <c r="DC504" s="39"/>
    </row>
    <row r="505" spans="1:107" s="92" customFormat="1" ht="39.950000000000003" customHeight="1" x14ac:dyDescent="0.25">
      <c r="A505"/>
      <c r="B505"/>
      <c r="C505"/>
      <c r="D505"/>
      <c r="E505"/>
      <c r="F505"/>
      <c r="G505"/>
      <c r="H505"/>
      <c r="I505" s="68"/>
      <c r="J505" s="71"/>
      <c r="K505"/>
      <c r="L505"/>
      <c r="M505"/>
      <c r="N505"/>
      <c r="O505"/>
      <c r="P505"/>
      <c r="Q505" s="121"/>
      <c r="R505"/>
      <c r="S505"/>
      <c r="T505" s="229"/>
      <c r="U505" s="229"/>
      <c r="V505" s="229"/>
      <c r="W505" s="229"/>
      <c r="X505" s="229"/>
      <c r="Y505" s="136"/>
      <c r="Z505" s="166"/>
      <c r="AA505" s="166"/>
      <c r="AB505" s="71"/>
      <c r="AC505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  <c r="BA505" s="39"/>
      <c r="BB505" s="39"/>
      <c r="BC505" s="39"/>
      <c r="BD505" s="39"/>
      <c r="BE505" s="39"/>
      <c r="BF505" s="39"/>
      <c r="BG505" s="39"/>
      <c r="BH505" s="39"/>
      <c r="BI505" s="39"/>
      <c r="BJ505" s="39"/>
      <c r="BK505" s="39"/>
      <c r="BL505" s="39"/>
      <c r="BM505" s="39"/>
      <c r="BN505" s="39"/>
      <c r="BO505" s="39"/>
      <c r="BP505" s="39"/>
      <c r="BQ505" s="39"/>
      <c r="BR505" s="39"/>
      <c r="BS505" s="39"/>
      <c r="BT505" s="39"/>
      <c r="BU505" s="39"/>
      <c r="BV505" s="39"/>
      <c r="BW505" s="39"/>
      <c r="BX505" s="39"/>
      <c r="BY505" s="39"/>
      <c r="BZ505" s="39"/>
      <c r="CA505" s="39"/>
      <c r="CB505" s="39"/>
      <c r="CC505" s="39"/>
      <c r="CD505" s="39"/>
      <c r="CE505" s="39"/>
      <c r="CF505" s="39"/>
      <c r="CG505" s="39"/>
      <c r="CH505" s="39"/>
      <c r="CI505" s="39"/>
      <c r="CJ505" s="39"/>
      <c r="CK505" s="39"/>
      <c r="CL505" s="39"/>
      <c r="CM505" s="39"/>
      <c r="CN505" s="39"/>
      <c r="CO505" s="39"/>
      <c r="CP505" s="39"/>
      <c r="CQ505" s="39"/>
      <c r="CR505" s="39"/>
      <c r="CS505" s="39"/>
      <c r="CT505" s="39"/>
      <c r="CU505" s="39"/>
      <c r="CV505" s="39"/>
      <c r="CW505" s="39"/>
      <c r="CX505" s="39"/>
      <c r="CY505" s="39"/>
      <c r="CZ505" s="39"/>
      <c r="DA505" s="39"/>
      <c r="DB505" s="39"/>
      <c r="DC505" s="39"/>
    </row>
    <row r="506" spans="1:107" s="92" customFormat="1" ht="39.950000000000003" customHeight="1" x14ac:dyDescent="0.25">
      <c r="A506"/>
      <c r="B506"/>
      <c r="C506"/>
      <c r="D506"/>
      <c r="E506"/>
      <c r="F506"/>
      <c r="G506"/>
      <c r="H506"/>
      <c r="I506" s="68"/>
      <c r="J506" s="71"/>
      <c r="K506"/>
      <c r="L506"/>
      <c r="M506"/>
      <c r="N506"/>
      <c r="O506"/>
      <c r="P506"/>
      <c r="Q506" s="121"/>
      <c r="R506"/>
      <c r="S506"/>
      <c r="T506" s="229"/>
      <c r="U506" s="229"/>
      <c r="V506" s="229"/>
      <c r="W506" s="229"/>
      <c r="X506" s="229"/>
      <c r="Y506" s="136"/>
      <c r="Z506" s="166"/>
      <c r="AA506" s="166"/>
      <c r="AB506" s="71"/>
      <c r="AC506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  <c r="BA506" s="39"/>
      <c r="BB506" s="39"/>
      <c r="BC506" s="39"/>
      <c r="BD506" s="39"/>
      <c r="BE506" s="39"/>
      <c r="BF506" s="39"/>
      <c r="BG506" s="39"/>
      <c r="BH506" s="39"/>
      <c r="BI506" s="39"/>
      <c r="BJ506" s="39"/>
      <c r="BK506" s="39"/>
      <c r="BL506" s="39"/>
      <c r="BM506" s="39"/>
      <c r="BN506" s="39"/>
      <c r="BO506" s="39"/>
      <c r="BP506" s="39"/>
      <c r="BQ506" s="39"/>
      <c r="BR506" s="39"/>
      <c r="BS506" s="39"/>
      <c r="BT506" s="39"/>
      <c r="BU506" s="39"/>
      <c r="BV506" s="39"/>
      <c r="BW506" s="39"/>
      <c r="BX506" s="39"/>
      <c r="BY506" s="39"/>
      <c r="BZ506" s="39"/>
      <c r="CA506" s="39"/>
      <c r="CB506" s="39"/>
      <c r="CC506" s="39"/>
      <c r="CD506" s="39"/>
      <c r="CE506" s="39"/>
      <c r="CF506" s="39"/>
      <c r="CG506" s="39"/>
      <c r="CH506" s="39"/>
      <c r="CI506" s="39"/>
      <c r="CJ506" s="39"/>
      <c r="CK506" s="39"/>
      <c r="CL506" s="39"/>
      <c r="CM506" s="39"/>
      <c r="CN506" s="39"/>
      <c r="CO506" s="39"/>
      <c r="CP506" s="39"/>
      <c r="CQ506" s="39"/>
      <c r="CR506" s="39"/>
      <c r="CS506" s="39"/>
      <c r="CT506" s="39"/>
      <c r="CU506" s="39"/>
      <c r="CV506" s="39"/>
      <c r="CW506" s="39"/>
      <c r="CX506" s="39"/>
      <c r="CY506" s="39"/>
      <c r="CZ506" s="39"/>
      <c r="DA506" s="39"/>
      <c r="DB506" s="39"/>
      <c r="DC506" s="39"/>
    </row>
    <row r="507" spans="1:107" s="92" customFormat="1" ht="39.950000000000003" customHeight="1" x14ac:dyDescent="0.25">
      <c r="A507"/>
      <c r="B507"/>
      <c r="C507"/>
      <c r="D507"/>
      <c r="E507"/>
      <c r="F507"/>
      <c r="G507"/>
      <c r="H507"/>
      <c r="I507" s="68"/>
      <c r="J507" s="71"/>
      <c r="K507"/>
      <c r="L507"/>
      <c r="M507"/>
      <c r="N507"/>
      <c r="O507"/>
      <c r="P507"/>
      <c r="Q507" s="121"/>
      <c r="R507"/>
      <c r="S507"/>
      <c r="T507" s="229"/>
      <c r="U507" s="229"/>
      <c r="V507" s="229"/>
      <c r="W507" s="229"/>
      <c r="X507" s="229"/>
      <c r="Y507" s="136"/>
      <c r="Z507" s="166"/>
      <c r="AA507" s="166"/>
      <c r="AB507" s="71"/>
      <c r="AC507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  <c r="BA507" s="39"/>
      <c r="BB507" s="39"/>
      <c r="BC507" s="39"/>
      <c r="BD507" s="39"/>
      <c r="BE507" s="39"/>
      <c r="BF507" s="39"/>
      <c r="BG507" s="39"/>
      <c r="BH507" s="39"/>
      <c r="BI507" s="39"/>
      <c r="BJ507" s="39"/>
      <c r="BK507" s="39"/>
      <c r="BL507" s="39"/>
      <c r="BM507" s="39"/>
      <c r="BN507" s="39"/>
      <c r="BO507" s="39"/>
      <c r="BP507" s="39"/>
      <c r="BQ507" s="39"/>
      <c r="BR507" s="39"/>
      <c r="BS507" s="39"/>
      <c r="BT507" s="39"/>
      <c r="BU507" s="39"/>
      <c r="BV507" s="39"/>
      <c r="BW507" s="39"/>
      <c r="BX507" s="39"/>
      <c r="BY507" s="39"/>
      <c r="BZ507" s="39"/>
      <c r="CA507" s="39"/>
      <c r="CB507" s="39"/>
      <c r="CC507" s="39"/>
      <c r="CD507" s="39"/>
      <c r="CE507" s="39"/>
      <c r="CF507" s="39"/>
      <c r="CG507" s="39"/>
      <c r="CH507" s="39"/>
      <c r="CI507" s="39"/>
      <c r="CJ507" s="39"/>
      <c r="CK507" s="39"/>
      <c r="CL507" s="39"/>
      <c r="CM507" s="39"/>
      <c r="CN507" s="39"/>
      <c r="CO507" s="39"/>
      <c r="CP507" s="39"/>
      <c r="CQ507" s="39"/>
      <c r="CR507" s="39"/>
      <c r="CS507" s="39"/>
      <c r="CT507" s="39"/>
      <c r="CU507" s="39"/>
      <c r="CV507" s="39"/>
      <c r="CW507" s="39"/>
      <c r="CX507" s="39"/>
      <c r="CY507" s="39"/>
      <c r="CZ507" s="39"/>
      <c r="DA507" s="39"/>
      <c r="DB507" s="39"/>
      <c r="DC507" s="39"/>
    </row>
    <row r="508" spans="1:107" s="92" customFormat="1" ht="39.950000000000003" customHeight="1" x14ac:dyDescent="0.25">
      <c r="A508"/>
      <c r="B508"/>
      <c r="C508"/>
      <c r="D508"/>
      <c r="E508"/>
      <c r="F508"/>
      <c r="G508"/>
      <c r="H508"/>
      <c r="I508" s="68"/>
      <c r="J508" s="71"/>
      <c r="K508"/>
      <c r="L508"/>
      <c r="M508"/>
      <c r="N508"/>
      <c r="O508"/>
      <c r="P508"/>
      <c r="Q508" s="121"/>
      <c r="R508"/>
      <c r="S508"/>
      <c r="T508" s="229"/>
      <c r="U508" s="229"/>
      <c r="V508" s="229"/>
      <c r="W508" s="229"/>
      <c r="X508" s="229"/>
      <c r="Y508" s="136"/>
      <c r="Z508" s="166"/>
      <c r="AA508" s="166"/>
      <c r="AB508" s="71"/>
      <c r="AC508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  <c r="BA508" s="39"/>
      <c r="BB508" s="39"/>
      <c r="BC508" s="39"/>
      <c r="BD508" s="39"/>
      <c r="BE508" s="39"/>
      <c r="BF508" s="39"/>
      <c r="BG508" s="39"/>
      <c r="BH508" s="39"/>
      <c r="BI508" s="39"/>
      <c r="BJ508" s="39"/>
      <c r="BK508" s="39"/>
      <c r="BL508" s="39"/>
      <c r="BM508" s="39"/>
      <c r="BN508" s="39"/>
      <c r="BO508" s="39"/>
      <c r="BP508" s="39"/>
      <c r="BQ508" s="39"/>
      <c r="BR508" s="39"/>
      <c r="BS508" s="39"/>
      <c r="BT508" s="39"/>
      <c r="BU508" s="39"/>
      <c r="BV508" s="39"/>
      <c r="BW508" s="39"/>
      <c r="BX508" s="39"/>
      <c r="BY508" s="39"/>
      <c r="BZ508" s="39"/>
      <c r="CA508" s="39"/>
      <c r="CB508" s="39"/>
      <c r="CC508" s="39"/>
      <c r="CD508" s="39"/>
      <c r="CE508" s="39"/>
      <c r="CF508" s="39"/>
      <c r="CG508" s="39"/>
      <c r="CH508" s="39"/>
      <c r="CI508" s="39"/>
      <c r="CJ508" s="39"/>
      <c r="CK508" s="39"/>
      <c r="CL508" s="39"/>
      <c r="CM508" s="39"/>
      <c r="CN508" s="39"/>
      <c r="CO508" s="39"/>
      <c r="CP508" s="39"/>
      <c r="CQ508" s="39"/>
      <c r="CR508" s="39"/>
      <c r="CS508" s="39"/>
      <c r="CT508" s="39"/>
      <c r="CU508" s="39"/>
      <c r="CV508" s="39"/>
      <c r="CW508" s="39"/>
      <c r="CX508" s="39"/>
      <c r="CY508" s="39"/>
      <c r="CZ508" s="39"/>
      <c r="DA508" s="39"/>
      <c r="DB508" s="39"/>
      <c r="DC508" s="39"/>
    </row>
    <row r="509" spans="1:107" s="92" customFormat="1" ht="39.950000000000003" customHeight="1" x14ac:dyDescent="0.25">
      <c r="A509"/>
      <c r="B509"/>
      <c r="C509"/>
      <c r="D509"/>
      <c r="E509"/>
      <c r="F509"/>
      <c r="G509"/>
      <c r="H509"/>
      <c r="I509" s="68"/>
      <c r="J509" s="71"/>
      <c r="K509"/>
      <c r="L509"/>
      <c r="M509"/>
      <c r="N509"/>
      <c r="O509"/>
      <c r="P509"/>
      <c r="Q509" s="121"/>
      <c r="R509"/>
      <c r="S509"/>
      <c r="T509" s="229"/>
      <c r="U509" s="229"/>
      <c r="V509" s="229"/>
      <c r="W509" s="229"/>
      <c r="X509" s="229"/>
      <c r="Y509" s="136"/>
      <c r="Z509" s="166"/>
      <c r="AA509" s="166"/>
      <c r="AB509" s="71"/>
      <c r="AC50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  <c r="BA509" s="39"/>
      <c r="BB509" s="39"/>
      <c r="BC509" s="39"/>
      <c r="BD509" s="39"/>
      <c r="BE509" s="39"/>
      <c r="BF509" s="39"/>
      <c r="BG509" s="39"/>
      <c r="BH509" s="39"/>
      <c r="BI509" s="39"/>
      <c r="BJ509" s="39"/>
      <c r="BK509" s="39"/>
      <c r="BL509" s="39"/>
      <c r="BM509" s="39"/>
      <c r="BN509" s="39"/>
      <c r="BO509" s="39"/>
      <c r="BP509" s="39"/>
      <c r="BQ509" s="39"/>
      <c r="BR509" s="39"/>
      <c r="BS509" s="39"/>
      <c r="BT509" s="39"/>
      <c r="BU509" s="39"/>
      <c r="BV509" s="39"/>
      <c r="BW509" s="39"/>
      <c r="BX509" s="39"/>
      <c r="BY509" s="39"/>
      <c r="BZ509" s="39"/>
      <c r="CA509" s="39"/>
      <c r="CB509" s="39"/>
      <c r="CC509" s="39"/>
      <c r="CD509" s="39"/>
      <c r="CE509" s="39"/>
      <c r="CF509" s="39"/>
      <c r="CG509" s="39"/>
      <c r="CH509" s="39"/>
      <c r="CI509" s="39"/>
      <c r="CJ509" s="39"/>
      <c r="CK509" s="39"/>
      <c r="CL509" s="39"/>
      <c r="CM509" s="39"/>
      <c r="CN509" s="39"/>
      <c r="CO509" s="39"/>
      <c r="CP509" s="39"/>
      <c r="CQ509" s="39"/>
      <c r="CR509" s="39"/>
      <c r="CS509" s="39"/>
      <c r="CT509" s="39"/>
      <c r="CU509" s="39"/>
      <c r="CV509" s="39"/>
      <c r="CW509" s="39"/>
      <c r="CX509" s="39"/>
      <c r="CY509" s="39"/>
      <c r="CZ509" s="39"/>
      <c r="DA509" s="39"/>
      <c r="DB509" s="39"/>
      <c r="DC509" s="39"/>
    </row>
    <row r="510" spans="1:107" s="92" customFormat="1" ht="39.950000000000003" customHeight="1" x14ac:dyDescent="0.25">
      <c r="A510"/>
      <c r="B510"/>
      <c r="C510"/>
      <c r="D510"/>
      <c r="E510"/>
      <c r="F510"/>
      <c r="G510"/>
      <c r="H510"/>
      <c r="I510" s="68"/>
      <c r="J510" s="71"/>
      <c r="K510"/>
      <c r="L510"/>
      <c r="M510"/>
      <c r="N510"/>
      <c r="O510"/>
      <c r="P510"/>
      <c r="Q510" s="121"/>
      <c r="R510"/>
      <c r="S510"/>
      <c r="T510" s="229"/>
      <c r="U510" s="229"/>
      <c r="V510" s="229"/>
      <c r="W510" s="229"/>
      <c r="X510" s="229"/>
      <c r="Y510" s="136"/>
      <c r="Z510" s="166"/>
      <c r="AA510" s="166"/>
      <c r="AB510" s="71"/>
      <c r="AC510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  <c r="BA510" s="39"/>
      <c r="BB510" s="39"/>
      <c r="BC510" s="39"/>
      <c r="BD510" s="39"/>
      <c r="BE510" s="39"/>
      <c r="BF510" s="39"/>
      <c r="BG510" s="39"/>
      <c r="BH510" s="39"/>
      <c r="BI510" s="39"/>
      <c r="BJ510" s="39"/>
      <c r="BK510" s="39"/>
      <c r="BL510" s="39"/>
      <c r="BM510" s="39"/>
      <c r="BN510" s="39"/>
      <c r="BO510" s="39"/>
      <c r="BP510" s="39"/>
      <c r="BQ510" s="39"/>
      <c r="BR510" s="39"/>
      <c r="BS510" s="39"/>
      <c r="BT510" s="39"/>
      <c r="BU510" s="39"/>
      <c r="BV510" s="39"/>
      <c r="BW510" s="39"/>
      <c r="BX510" s="39"/>
      <c r="BY510" s="39"/>
      <c r="BZ510" s="39"/>
      <c r="CA510" s="39"/>
      <c r="CB510" s="39"/>
      <c r="CC510" s="39"/>
      <c r="CD510" s="39"/>
      <c r="CE510" s="39"/>
      <c r="CF510" s="39"/>
      <c r="CG510" s="39"/>
      <c r="CH510" s="39"/>
      <c r="CI510" s="39"/>
      <c r="CJ510" s="39"/>
      <c r="CK510" s="39"/>
      <c r="CL510" s="39"/>
      <c r="CM510" s="39"/>
      <c r="CN510" s="39"/>
      <c r="CO510" s="39"/>
      <c r="CP510" s="39"/>
      <c r="CQ510" s="39"/>
      <c r="CR510" s="39"/>
      <c r="CS510" s="39"/>
      <c r="CT510" s="39"/>
      <c r="CU510" s="39"/>
      <c r="CV510" s="39"/>
      <c r="CW510" s="39"/>
      <c r="CX510" s="39"/>
      <c r="CY510" s="39"/>
      <c r="CZ510" s="39"/>
      <c r="DA510" s="39"/>
      <c r="DB510" s="39"/>
      <c r="DC510" s="39"/>
    </row>
    <row r="511" spans="1:107" s="92" customFormat="1" ht="39.950000000000003" customHeight="1" x14ac:dyDescent="0.25">
      <c r="A511"/>
      <c r="B511"/>
      <c r="C511"/>
      <c r="D511"/>
      <c r="E511"/>
      <c r="F511"/>
      <c r="G511"/>
      <c r="H511"/>
      <c r="I511" s="68"/>
      <c r="J511" s="71"/>
      <c r="K511"/>
      <c r="L511"/>
      <c r="M511"/>
      <c r="N511"/>
      <c r="O511"/>
      <c r="P511"/>
      <c r="Q511" s="121"/>
      <c r="R511"/>
      <c r="S511"/>
      <c r="T511" s="229"/>
      <c r="U511" s="229"/>
      <c r="V511" s="229"/>
      <c r="W511" s="229"/>
      <c r="X511" s="229"/>
      <c r="Y511" s="136"/>
      <c r="Z511" s="166"/>
      <c r="AA511" s="166"/>
      <c r="AB511" s="71"/>
      <c r="AC511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  <c r="BA511" s="39"/>
      <c r="BB511" s="39"/>
      <c r="BC511" s="39"/>
      <c r="BD511" s="39"/>
      <c r="BE511" s="39"/>
      <c r="BF511" s="39"/>
      <c r="BG511" s="39"/>
      <c r="BH511" s="39"/>
      <c r="BI511" s="39"/>
      <c r="BJ511" s="39"/>
      <c r="BK511" s="39"/>
      <c r="BL511" s="39"/>
      <c r="BM511" s="39"/>
      <c r="BN511" s="39"/>
      <c r="BO511" s="39"/>
      <c r="BP511" s="39"/>
      <c r="BQ511" s="39"/>
      <c r="BR511" s="39"/>
      <c r="BS511" s="39"/>
      <c r="BT511" s="39"/>
      <c r="BU511" s="39"/>
      <c r="BV511" s="39"/>
      <c r="BW511" s="39"/>
      <c r="BX511" s="39"/>
      <c r="BY511" s="39"/>
      <c r="BZ511" s="39"/>
      <c r="CA511" s="39"/>
      <c r="CB511" s="39"/>
      <c r="CC511" s="39"/>
      <c r="CD511" s="39"/>
      <c r="CE511" s="39"/>
      <c r="CF511" s="39"/>
      <c r="CG511" s="39"/>
      <c r="CH511" s="39"/>
      <c r="CI511" s="39"/>
      <c r="CJ511" s="39"/>
      <c r="CK511" s="39"/>
      <c r="CL511" s="39"/>
      <c r="CM511" s="39"/>
      <c r="CN511" s="39"/>
      <c r="CO511" s="39"/>
      <c r="CP511" s="39"/>
      <c r="CQ511" s="39"/>
      <c r="CR511" s="39"/>
      <c r="CS511" s="39"/>
      <c r="CT511" s="39"/>
      <c r="CU511" s="39"/>
      <c r="CV511" s="39"/>
      <c r="CW511" s="39"/>
      <c r="CX511" s="39"/>
      <c r="CY511" s="39"/>
      <c r="CZ511" s="39"/>
      <c r="DA511" s="39"/>
      <c r="DB511" s="39"/>
      <c r="DC511" s="39"/>
    </row>
    <row r="512" spans="1:107" s="92" customFormat="1" ht="39.950000000000003" customHeight="1" x14ac:dyDescent="0.25">
      <c r="A512"/>
      <c r="B512"/>
      <c r="C512"/>
      <c r="D512"/>
      <c r="E512"/>
      <c r="F512"/>
      <c r="G512"/>
      <c r="H512"/>
      <c r="I512" s="68"/>
      <c r="J512" s="71"/>
      <c r="K512"/>
      <c r="L512"/>
      <c r="M512"/>
      <c r="N512"/>
      <c r="O512"/>
      <c r="P512"/>
      <c r="Q512" s="121"/>
      <c r="R512"/>
      <c r="S512"/>
      <c r="T512" s="229"/>
      <c r="U512" s="229"/>
      <c r="V512" s="229"/>
      <c r="W512" s="229"/>
      <c r="X512" s="229"/>
      <c r="Y512" s="136"/>
      <c r="Z512" s="166"/>
      <c r="AA512" s="166"/>
      <c r="AB512" s="71"/>
      <c r="AC512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  <c r="BA512" s="39"/>
      <c r="BB512" s="39"/>
      <c r="BC512" s="39"/>
      <c r="BD512" s="39"/>
      <c r="BE512" s="39"/>
      <c r="BF512" s="39"/>
      <c r="BG512" s="39"/>
      <c r="BH512" s="39"/>
      <c r="BI512" s="39"/>
      <c r="BJ512" s="39"/>
      <c r="BK512" s="39"/>
      <c r="BL512" s="39"/>
      <c r="BM512" s="39"/>
      <c r="BN512" s="39"/>
      <c r="BO512" s="39"/>
      <c r="BP512" s="39"/>
      <c r="BQ512" s="39"/>
      <c r="BR512" s="39"/>
      <c r="BS512" s="39"/>
      <c r="BT512" s="39"/>
      <c r="BU512" s="39"/>
      <c r="BV512" s="39"/>
      <c r="BW512" s="39"/>
      <c r="BX512" s="39"/>
      <c r="BY512" s="39"/>
      <c r="BZ512" s="39"/>
      <c r="CA512" s="39"/>
      <c r="CB512" s="39"/>
      <c r="CC512" s="39"/>
      <c r="CD512" s="39"/>
      <c r="CE512" s="39"/>
      <c r="CF512" s="39"/>
      <c r="CG512" s="39"/>
      <c r="CH512" s="39"/>
      <c r="CI512" s="39"/>
      <c r="CJ512" s="39"/>
      <c r="CK512" s="39"/>
      <c r="CL512" s="39"/>
      <c r="CM512" s="39"/>
      <c r="CN512" s="39"/>
      <c r="CO512" s="39"/>
      <c r="CP512" s="39"/>
      <c r="CQ512" s="39"/>
      <c r="CR512" s="39"/>
      <c r="CS512" s="39"/>
      <c r="CT512" s="39"/>
      <c r="CU512" s="39"/>
      <c r="CV512" s="39"/>
      <c r="CW512" s="39"/>
      <c r="CX512" s="39"/>
      <c r="CY512" s="39"/>
      <c r="CZ512" s="39"/>
      <c r="DA512" s="39"/>
      <c r="DB512" s="39"/>
      <c r="DC512" s="39"/>
    </row>
    <row r="513" spans="1:107" s="92" customFormat="1" ht="39.950000000000003" customHeight="1" x14ac:dyDescent="0.25">
      <c r="A513"/>
      <c r="B513"/>
      <c r="C513"/>
      <c r="D513"/>
      <c r="E513"/>
      <c r="F513"/>
      <c r="G513"/>
      <c r="H513"/>
      <c r="I513" s="68"/>
      <c r="J513" s="71"/>
      <c r="K513"/>
      <c r="L513"/>
      <c r="M513"/>
      <c r="N513"/>
      <c r="O513"/>
      <c r="P513"/>
      <c r="Q513" s="121"/>
      <c r="R513"/>
      <c r="S513"/>
      <c r="T513" s="229"/>
      <c r="U513" s="229"/>
      <c r="V513" s="229"/>
      <c r="W513" s="229"/>
      <c r="X513" s="229"/>
      <c r="Y513" s="136"/>
      <c r="Z513" s="166"/>
      <c r="AA513" s="166"/>
      <c r="AB513" s="71"/>
      <c r="AC513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  <c r="BA513" s="39"/>
      <c r="BB513" s="39"/>
      <c r="BC513" s="39"/>
      <c r="BD513" s="39"/>
      <c r="BE513" s="39"/>
      <c r="BF513" s="39"/>
      <c r="BG513" s="39"/>
      <c r="BH513" s="39"/>
      <c r="BI513" s="39"/>
      <c r="BJ513" s="39"/>
      <c r="BK513" s="39"/>
      <c r="BL513" s="39"/>
      <c r="BM513" s="39"/>
      <c r="BN513" s="39"/>
      <c r="BO513" s="39"/>
      <c r="BP513" s="39"/>
      <c r="BQ513" s="39"/>
      <c r="BR513" s="39"/>
      <c r="BS513" s="39"/>
      <c r="BT513" s="39"/>
      <c r="BU513" s="39"/>
      <c r="BV513" s="39"/>
      <c r="BW513" s="39"/>
      <c r="BX513" s="39"/>
      <c r="BY513" s="39"/>
      <c r="BZ513" s="39"/>
      <c r="CA513" s="39"/>
      <c r="CB513" s="39"/>
      <c r="CC513" s="39"/>
      <c r="CD513" s="39"/>
      <c r="CE513" s="39"/>
      <c r="CF513" s="39"/>
      <c r="CG513" s="39"/>
      <c r="CH513" s="39"/>
      <c r="CI513" s="39"/>
      <c r="CJ513" s="39"/>
      <c r="CK513" s="39"/>
      <c r="CL513" s="39"/>
      <c r="CM513" s="39"/>
      <c r="CN513" s="39"/>
      <c r="CO513" s="39"/>
      <c r="CP513" s="39"/>
      <c r="CQ513" s="39"/>
      <c r="CR513" s="39"/>
      <c r="CS513" s="39"/>
      <c r="CT513" s="39"/>
      <c r="CU513" s="39"/>
      <c r="CV513" s="39"/>
      <c r="CW513" s="39"/>
      <c r="CX513" s="39"/>
      <c r="CY513" s="39"/>
      <c r="CZ513" s="39"/>
      <c r="DA513" s="39"/>
      <c r="DB513" s="39"/>
      <c r="DC513" s="39"/>
    </row>
    <row r="514" spans="1:107" s="92" customFormat="1" ht="39.950000000000003" customHeight="1" x14ac:dyDescent="0.25">
      <c r="A514"/>
      <c r="B514"/>
      <c r="C514"/>
      <c r="D514"/>
      <c r="E514"/>
      <c r="F514"/>
      <c r="G514"/>
      <c r="H514"/>
      <c r="I514" s="68"/>
      <c r="J514" s="71"/>
      <c r="K514"/>
      <c r="L514"/>
      <c r="M514"/>
      <c r="N514"/>
      <c r="O514"/>
      <c r="P514"/>
      <c r="Q514" s="121"/>
      <c r="R514"/>
      <c r="S514"/>
      <c r="T514" s="229"/>
      <c r="U514" s="229"/>
      <c r="V514" s="229"/>
      <c r="W514" s="229"/>
      <c r="X514" s="229"/>
      <c r="Y514" s="136"/>
      <c r="Z514" s="166"/>
      <c r="AA514" s="166"/>
      <c r="AB514" s="71"/>
      <c r="AC514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  <c r="BA514" s="39"/>
      <c r="BB514" s="39"/>
      <c r="BC514" s="39"/>
      <c r="BD514" s="39"/>
      <c r="BE514" s="39"/>
      <c r="BF514" s="39"/>
      <c r="BG514" s="39"/>
      <c r="BH514" s="39"/>
      <c r="BI514" s="39"/>
      <c r="BJ514" s="39"/>
      <c r="BK514" s="39"/>
      <c r="BL514" s="39"/>
      <c r="BM514" s="39"/>
      <c r="BN514" s="39"/>
      <c r="BO514" s="39"/>
      <c r="BP514" s="39"/>
      <c r="BQ514" s="39"/>
      <c r="BR514" s="39"/>
      <c r="BS514" s="39"/>
      <c r="BT514" s="39"/>
      <c r="BU514" s="39"/>
      <c r="BV514" s="39"/>
      <c r="BW514" s="39"/>
      <c r="BX514" s="39"/>
      <c r="BY514" s="39"/>
      <c r="BZ514" s="39"/>
      <c r="CA514" s="39"/>
      <c r="CB514" s="39"/>
      <c r="CC514" s="39"/>
      <c r="CD514" s="39"/>
      <c r="CE514" s="39"/>
      <c r="CF514" s="39"/>
      <c r="CG514" s="39"/>
      <c r="CH514" s="39"/>
      <c r="CI514" s="39"/>
      <c r="CJ514" s="39"/>
      <c r="CK514" s="39"/>
      <c r="CL514" s="39"/>
      <c r="CM514" s="39"/>
      <c r="CN514" s="39"/>
      <c r="CO514" s="39"/>
      <c r="CP514" s="39"/>
      <c r="CQ514" s="39"/>
      <c r="CR514" s="39"/>
      <c r="CS514" s="39"/>
      <c r="CT514" s="39"/>
      <c r="CU514" s="39"/>
      <c r="CV514" s="39"/>
      <c r="CW514" s="39"/>
      <c r="CX514" s="39"/>
      <c r="CY514" s="39"/>
      <c r="CZ514" s="39"/>
      <c r="DA514" s="39"/>
      <c r="DB514" s="39"/>
      <c r="DC514" s="39"/>
    </row>
    <row r="515" spans="1:107" s="92" customFormat="1" ht="39.950000000000003" customHeight="1" x14ac:dyDescent="0.25">
      <c r="A515"/>
      <c r="B515"/>
      <c r="C515"/>
      <c r="D515"/>
      <c r="E515"/>
      <c r="F515"/>
      <c r="G515"/>
      <c r="H515"/>
      <c r="I515" s="68"/>
      <c r="J515" s="71"/>
      <c r="K515"/>
      <c r="L515"/>
      <c r="M515"/>
      <c r="N515"/>
      <c r="O515"/>
      <c r="P515"/>
      <c r="Q515" s="121"/>
      <c r="R515"/>
      <c r="S515"/>
      <c r="T515" s="229"/>
      <c r="U515" s="229"/>
      <c r="V515" s="229"/>
      <c r="W515" s="229"/>
      <c r="X515" s="229"/>
      <c r="Y515" s="136"/>
      <c r="Z515" s="166"/>
      <c r="AA515" s="166"/>
      <c r="AB515" s="71"/>
      <c r="AC515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  <c r="BA515" s="39"/>
      <c r="BB515" s="39"/>
      <c r="BC515" s="39"/>
      <c r="BD515" s="39"/>
      <c r="BE515" s="39"/>
      <c r="BF515" s="39"/>
      <c r="BG515" s="39"/>
      <c r="BH515" s="39"/>
      <c r="BI515" s="39"/>
      <c r="BJ515" s="39"/>
      <c r="BK515" s="39"/>
      <c r="BL515" s="39"/>
      <c r="BM515" s="39"/>
      <c r="BN515" s="39"/>
      <c r="BO515" s="39"/>
      <c r="BP515" s="39"/>
      <c r="BQ515" s="39"/>
      <c r="BR515" s="39"/>
      <c r="BS515" s="39"/>
      <c r="BT515" s="39"/>
      <c r="BU515" s="39"/>
      <c r="BV515" s="39"/>
      <c r="BW515" s="39"/>
      <c r="BX515" s="39"/>
      <c r="BY515" s="39"/>
      <c r="BZ515" s="39"/>
      <c r="CA515" s="39"/>
      <c r="CB515" s="39"/>
      <c r="CC515" s="39"/>
      <c r="CD515" s="39"/>
      <c r="CE515" s="39"/>
      <c r="CF515" s="39"/>
      <c r="CG515" s="39"/>
      <c r="CH515" s="39"/>
      <c r="CI515" s="39"/>
      <c r="CJ515" s="39"/>
      <c r="CK515" s="39"/>
      <c r="CL515" s="39"/>
      <c r="CM515" s="39"/>
      <c r="CN515" s="39"/>
      <c r="CO515" s="39"/>
      <c r="CP515" s="39"/>
      <c r="CQ515" s="39"/>
      <c r="CR515" s="39"/>
      <c r="CS515" s="39"/>
      <c r="CT515" s="39"/>
      <c r="CU515" s="39"/>
      <c r="CV515" s="39"/>
      <c r="CW515" s="39"/>
      <c r="CX515" s="39"/>
      <c r="CY515" s="39"/>
      <c r="CZ515" s="39"/>
      <c r="DA515" s="39"/>
      <c r="DB515" s="39"/>
      <c r="DC515" s="39"/>
    </row>
    <row r="516" spans="1:107" s="92" customFormat="1" ht="39.950000000000003" customHeight="1" x14ac:dyDescent="0.25">
      <c r="A516"/>
      <c r="B516"/>
      <c r="C516"/>
      <c r="D516"/>
      <c r="E516"/>
      <c r="F516"/>
      <c r="G516"/>
      <c r="H516"/>
      <c r="I516" s="68"/>
      <c r="J516" s="71"/>
      <c r="K516"/>
      <c r="L516"/>
      <c r="M516"/>
      <c r="N516"/>
      <c r="O516"/>
      <c r="P516"/>
      <c r="Q516" s="121"/>
      <c r="R516"/>
      <c r="S516"/>
      <c r="T516" s="229"/>
      <c r="U516" s="229"/>
      <c r="V516" s="229"/>
      <c r="W516" s="229"/>
      <c r="X516" s="229"/>
      <c r="Y516" s="136"/>
      <c r="Z516" s="166"/>
      <c r="AA516" s="166"/>
      <c r="AB516" s="71"/>
      <c r="AC516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  <c r="BA516" s="39"/>
      <c r="BB516" s="39"/>
      <c r="BC516" s="39"/>
      <c r="BD516" s="39"/>
      <c r="BE516" s="39"/>
      <c r="BF516" s="39"/>
      <c r="BG516" s="39"/>
      <c r="BH516" s="39"/>
      <c r="BI516" s="39"/>
      <c r="BJ516" s="39"/>
      <c r="BK516" s="39"/>
      <c r="BL516" s="39"/>
      <c r="BM516" s="39"/>
      <c r="BN516" s="39"/>
      <c r="BO516" s="39"/>
      <c r="BP516" s="39"/>
      <c r="BQ516" s="39"/>
      <c r="BR516" s="39"/>
      <c r="BS516" s="39"/>
      <c r="BT516" s="39"/>
      <c r="BU516" s="39"/>
      <c r="BV516" s="39"/>
      <c r="BW516" s="39"/>
      <c r="BX516" s="39"/>
      <c r="BY516" s="39"/>
      <c r="BZ516" s="39"/>
      <c r="CA516" s="39"/>
      <c r="CB516" s="39"/>
      <c r="CC516" s="39"/>
      <c r="CD516" s="39"/>
      <c r="CE516" s="39"/>
      <c r="CF516" s="39"/>
      <c r="CG516" s="39"/>
      <c r="CH516" s="39"/>
      <c r="CI516" s="39"/>
      <c r="CJ516" s="39"/>
      <c r="CK516" s="39"/>
      <c r="CL516" s="39"/>
      <c r="CM516" s="39"/>
      <c r="CN516" s="39"/>
      <c r="CO516" s="39"/>
      <c r="CP516" s="39"/>
      <c r="CQ516" s="39"/>
      <c r="CR516" s="39"/>
      <c r="CS516" s="39"/>
      <c r="CT516" s="39"/>
      <c r="CU516" s="39"/>
      <c r="CV516" s="39"/>
      <c r="CW516" s="39"/>
      <c r="CX516" s="39"/>
      <c r="CY516" s="39"/>
      <c r="CZ516" s="39"/>
      <c r="DA516" s="39"/>
      <c r="DB516" s="39"/>
      <c r="DC516" s="39"/>
    </row>
    <row r="517" spans="1:107" s="92" customFormat="1" ht="39.950000000000003" customHeight="1" x14ac:dyDescent="0.25">
      <c r="A517"/>
      <c r="B517"/>
      <c r="C517"/>
      <c r="D517"/>
      <c r="E517"/>
      <c r="F517"/>
      <c r="G517"/>
      <c r="H517"/>
      <c r="I517" s="68"/>
      <c r="J517" s="71"/>
      <c r="K517"/>
      <c r="L517"/>
      <c r="M517"/>
      <c r="N517"/>
      <c r="O517"/>
      <c r="P517"/>
      <c r="Q517" s="121"/>
      <c r="R517"/>
      <c r="S517"/>
      <c r="T517" s="229"/>
      <c r="U517" s="229"/>
      <c r="V517" s="229"/>
      <c r="W517" s="229"/>
      <c r="X517" s="229"/>
      <c r="Y517" s="136"/>
      <c r="Z517" s="166"/>
      <c r="AA517" s="166"/>
      <c r="AB517" s="71"/>
      <c r="AC517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  <c r="BA517" s="39"/>
      <c r="BB517" s="39"/>
      <c r="BC517" s="39"/>
      <c r="BD517" s="39"/>
      <c r="BE517" s="39"/>
      <c r="BF517" s="39"/>
      <c r="BG517" s="39"/>
      <c r="BH517" s="39"/>
      <c r="BI517" s="39"/>
      <c r="BJ517" s="39"/>
      <c r="BK517" s="39"/>
      <c r="BL517" s="39"/>
      <c r="BM517" s="39"/>
      <c r="BN517" s="39"/>
      <c r="BO517" s="39"/>
      <c r="BP517" s="39"/>
      <c r="BQ517" s="39"/>
      <c r="BR517" s="39"/>
      <c r="BS517" s="39"/>
      <c r="BT517" s="39"/>
      <c r="BU517" s="39"/>
      <c r="BV517" s="39"/>
      <c r="BW517" s="39"/>
      <c r="BX517" s="39"/>
      <c r="BY517" s="39"/>
      <c r="BZ517" s="39"/>
      <c r="CA517" s="39"/>
      <c r="CB517" s="39"/>
      <c r="CC517" s="39"/>
      <c r="CD517" s="39"/>
      <c r="CE517" s="39"/>
      <c r="CF517" s="39"/>
      <c r="CG517" s="39"/>
      <c r="CH517" s="39"/>
      <c r="CI517" s="39"/>
      <c r="CJ517" s="39"/>
      <c r="CK517" s="39"/>
      <c r="CL517" s="39"/>
      <c r="CM517" s="39"/>
      <c r="CN517" s="39"/>
      <c r="CO517" s="39"/>
      <c r="CP517" s="39"/>
      <c r="CQ517" s="39"/>
      <c r="CR517" s="39"/>
      <c r="CS517" s="39"/>
      <c r="CT517" s="39"/>
      <c r="CU517" s="39"/>
      <c r="CV517" s="39"/>
      <c r="CW517" s="39"/>
      <c r="CX517" s="39"/>
      <c r="CY517" s="39"/>
      <c r="CZ517" s="39"/>
      <c r="DA517" s="39"/>
      <c r="DB517" s="39"/>
      <c r="DC517" s="39"/>
    </row>
    <row r="518" spans="1:107" s="92" customFormat="1" ht="39.950000000000003" customHeight="1" x14ac:dyDescent="0.25">
      <c r="A518"/>
      <c r="B518"/>
      <c r="C518"/>
      <c r="D518"/>
      <c r="E518"/>
      <c r="F518"/>
      <c r="G518"/>
      <c r="H518"/>
      <c r="I518" s="68"/>
      <c r="J518" s="71"/>
      <c r="K518"/>
      <c r="L518"/>
      <c r="M518"/>
      <c r="N518"/>
      <c r="O518"/>
      <c r="P518"/>
      <c r="Q518" s="121"/>
      <c r="R518"/>
      <c r="S518"/>
      <c r="T518" s="229"/>
      <c r="U518" s="229"/>
      <c r="V518" s="229"/>
      <c r="W518" s="229"/>
      <c r="X518" s="229"/>
      <c r="Y518" s="136"/>
      <c r="Z518" s="166"/>
      <c r="AA518" s="166"/>
      <c r="AB518" s="71"/>
      <c r="AC518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  <c r="BA518" s="39"/>
      <c r="BB518" s="39"/>
      <c r="BC518" s="39"/>
      <c r="BD518" s="39"/>
      <c r="BE518" s="39"/>
      <c r="BF518" s="39"/>
      <c r="BG518" s="39"/>
      <c r="BH518" s="39"/>
      <c r="BI518" s="39"/>
      <c r="BJ518" s="39"/>
      <c r="BK518" s="39"/>
      <c r="BL518" s="39"/>
      <c r="BM518" s="39"/>
      <c r="BN518" s="39"/>
      <c r="BO518" s="39"/>
      <c r="BP518" s="39"/>
      <c r="BQ518" s="39"/>
      <c r="BR518" s="39"/>
      <c r="BS518" s="39"/>
      <c r="BT518" s="39"/>
      <c r="BU518" s="39"/>
      <c r="BV518" s="39"/>
      <c r="BW518" s="39"/>
      <c r="BX518" s="39"/>
      <c r="BY518" s="39"/>
      <c r="BZ518" s="39"/>
      <c r="CA518" s="39"/>
      <c r="CB518" s="39"/>
      <c r="CC518" s="39"/>
      <c r="CD518" s="39"/>
      <c r="CE518" s="39"/>
      <c r="CF518" s="39"/>
      <c r="CG518" s="39"/>
      <c r="CH518" s="39"/>
      <c r="CI518" s="39"/>
      <c r="CJ518" s="39"/>
      <c r="CK518" s="39"/>
      <c r="CL518" s="39"/>
      <c r="CM518" s="39"/>
      <c r="CN518" s="39"/>
      <c r="CO518" s="39"/>
      <c r="CP518" s="39"/>
      <c r="CQ518" s="39"/>
      <c r="CR518" s="39"/>
      <c r="CS518" s="39"/>
      <c r="CT518" s="39"/>
      <c r="CU518" s="39"/>
      <c r="CV518" s="39"/>
      <c r="CW518" s="39"/>
      <c r="CX518" s="39"/>
      <c r="CY518" s="39"/>
      <c r="CZ518" s="39"/>
      <c r="DA518" s="39"/>
      <c r="DB518" s="39"/>
      <c r="DC518" s="39"/>
    </row>
    <row r="519" spans="1:107" s="92" customFormat="1" ht="39.950000000000003" customHeight="1" x14ac:dyDescent="0.25">
      <c r="A519"/>
      <c r="B519"/>
      <c r="C519"/>
      <c r="D519"/>
      <c r="E519"/>
      <c r="F519"/>
      <c r="G519"/>
      <c r="H519"/>
      <c r="I519" s="68"/>
      <c r="J519" s="71"/>
      <c r="K519"/>
      <c r="L519"/>
      <c r="M519"/>
      <c r="N519"/>
      <c r="O519"/>
      <c r="P519"/>
      <c r="Q519" s="121"/>
      <c r="R519"/>
      <c r="S519"/>
      <c r="T519" s="229"/>
      <c r="U519" s="229"/>
      <c r="V519" s="229"/>
      <c r="W519" s="229"/>
      <c r="X519" s="229"/>
      <c r="Y519" s="136"/>
      <c r="Z519" s="166"/>
      <c r="AA519" s="166"/>
      <c r="AB519" s="71"/>
      <c r="AC51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  <c r="BA519" s="39"/>
      <c r="BB519" s="39"/>
      <c r="BC519" s="39"/>
      <c r="BD519" s="39"/>
      <c r="BE519" s="39"/>
      <c r="BF519" s="39"/>
      <c r="BG519" s="39"/>
      <c r="BH519" s="39"/>
      <c r="BI519" s="39"/>
      <c r="BJ519" s="39"/>
      <c r="BK519" s="39"/>
      <c r="BL519" s="39"/>
      <c r="BM519" s="39"/>
      <c r="BN519" s="39"/>
      <c r="BO519" s="39"/>
      <c r="BP519" s="39"/>
      <c r="BQ519" s="39"/>
      <c r="BR519" s="39"/>
      <c r="BS519" s="39"/>
      <c r="BT519" s="39"/>
      <c r="BU519" s="39"/>
      <c r="BV519" s="39"/>
      <c r="BW519" s="39"/>
      <c r="BX519" s="39"/>
      <c r="BY519" s="39"/>
      <c r="BZ519" s="39"/>
      <c r="CA519" s="39"/>
      <c r="CB519" s="39"/>
      <c r="CC519" s="39"/>
      <c r="CD519" s="39"/>
      <c r="CE519" s="39"/>
      <c r="CF519" s="39"/>
      <c r="CG519" s="39"/>
      <c r="CH519" s="39"/>
      <c r="CI519" s="39"/>
      <c r="CJ519" s="39"/>
      <c r="CK519" s="39"/>
      <c r="CL519" s="39"/>
      <c r="CM519" s="39"/>
      <c r="CN519" s="39"/>
      <c r="CO519" s="39"/>
      <c r="CP519" s="39"/>
      <c r="CQ519" s="39"/>
      <c r="CR519" s="39"/>
      <c r="CS519" s="39"/>
      <c r="CT519" s="39"/>
      <c r="CU519" s="39"/>
      <c r="CV519" s="39"/>
      <c r="CW519" s="39"/>
      <c r="CX519" s="39"/>
      <c r="CY519" s="39"/>
      <c r="CZ519" s="39"/>
      <c r="DA519" s="39"/>
      <c r="DB519" s="39"/>
      <c r="DC519" s="39"/>
    </row>
    <row r="520" spans="1:107" s="92" customFormat="1" ht="39.950000000000003" customHeight="1" x14ac:dyDescent="0.25">
      <c r="A520"/>
      <c r="B520"/>
      <c r="C520"/>
      <c r="D520"/>
      <c r="E520"/>
      <c r="F520"/>
      <c r="G520"/>
      <c r="H520"/>
      <c r="I520" s="68"/>
      <c r="J520" s="71"/>
      <c r="K520"/>
      <c r="L520"/>
      <c r="M520"/>
      <c r="N520"/>
      <c r="O520"/>
      <c r="P520"/>
      <c r="Q520" s="121"/>
      <c r="R520"/>
      <c r="S520"/>
      <c r="T520" s="229"/>
      <c r="U520" s="229"/>
      <c r="V520" s="229"/>
      <c r="W520" s="229"/>
      <c r="X520" s="229"/>
      <c r="Y520" s="136"/>
      <c r="Z520" s="166"/>
      <c r="AA520" s="166"/>
      <c r="AB520" s="71"/>
      <c r="AC520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  <c r="BA520" s="39"/>
      <c r="BB520" s="39"/>
      <c r="BC520" s="39"/>
      <c r="BD520" s="39"/>
      <c r="BE520" s="39"/>
      <c r="BF520" s="39"/>
      <c r="BG520" s="39"/>
      <c r="BH520" s="39"/>
      <c r="BI520" s="39"/>
      <c r="BJ520" s="39"/>
      <c r="BK520" s="39"/>
      <c r="BL520" s="39"/>
      <c r="BM520" s="39"/>
      <c r="BN520" s="39"/>
      <c r="BO520" s="39"/>
      <c r="BP520" s="39"/>
      <c r="BQ520" s="39"/>
      <c r="BR520" s="39"/>
      <c r="BS520" s="39"/>
      <c r="BT520" s="39"/>
      <c r="BU520" s="39"/>
      <c r="BV520" s="39"/>
      <c r="BW520" s="39"/>
      <c r="BX520" s="39"/>
      <c r="BY520" s="39"/>
      <c r="BZ520" s="39"/>
      <c r="CA520" s="39"/>
      <c r="CB520" s="39"/>
      <c r="CC520" s="39"/>
      <c r="CD520" s="39"/>
      <c r="CE520" s="39"/>
      <c r="CF520" s="39"/>
      <c r="CG520" s="39"/>
      <c r="CH520" s="39"/>
      <c r="CI520" s="39"/>
      <c r="CJ520" s="39"/>
      <c r="CK520" s="39"/>
      <c r="CL520" s="39"/>
      <c r="CM520" s="39"/>
      <c r="CN520" s="39"/>
      <c r="CO520" s="39"/>
      <c r="CP520" s="39"/>
      <c r="CQ520" s="39"/>
      <c r="CR520" s="39"/>
      <c r="CS520" s="39"/>
      <c r="CT520" s="39"/>
      <c r="CU520" s="39"/>
      <c r="CV520" s="39"/>
      <c r="CW520" s="39"/>
      <c r="CX520" s="39"/>
      <c r="CY520" s="39"/>
      <c r="CZ520" s="39"/>
      <c r="DA520" s="39"/>
      <c r="DB520" s="39"/>
      <c r="DC520" s="39"/>
    </row>
    <row r="521" spans="1:107" s="92" customFormat="1" ht="39.950000000000003" customHeight="1" x14ac:dyDescent="0.25">
      <c r="A521"/>
      <c r="B521"/>
      <c r="C521"/>
      <c r="D521"/>
      <c r="E521"/>
      <c r="F521"/>
      <c r="G521"/>
      <c r="H521"/>
      <c r="I521" s="68"/>
      <c r="J521" s="71"/>
      <c r="K521"/>
      <c r="L521"/>
      <c r="M521"/>
      <c r="N521"/>
      <c r="O521"/>
      <c r="P521"/>
      <c r="Q521" s="121"/>
      <c r="R521"/>
      <c r="S521"/>
      <c r="T521" s="229"/>
      <c r="U521" s="229"/>
      <c r="V521" s="229"/>
      <c r="W521" s="229"/>
      <c r="X521" s="229"/>
      <c r="Y521" s="136"/>
      <c r="Z521" s="166"/>
      <c r="AA521" s="166"/>
      <c r="AB521" s="71"/>
      <c r="AC521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  <c r="BA521" s="39"/>
      <c r="BB521" s="39"/>
      <c r="BC521" s="39"/>
      <c r="BD521" s="39"/>
      <c r="BE521" s="39"/>
      <c r="BF521" s="39"/>
      <c r="BG521" s="39"/>
      <c r="BH521" s="39"/>
      <c r="BI521" s="39"/>
      <c r="BJ521" s="39"/>
      <c r="BK521" s="39"/>
      <c r="BL521" s="39"/>
      <c r="BM521" s="39"/>
      <c r="BN521" s="39"/>
      <c r="BO521" s="39"/>
      <c r="BP521" s="39"/>
      <c r="BQ521" s="39"/>
      <c r="BR521" s="39"/>
      <c r="BS521" s="39"/>
      <c r="BT521" s="39"/>
      <c r="BU521" s="39"/>
      <c r="BV521" s="39"/>
      <c r="BW521" s="39"/>
      <c r="BX521" s="39"/>
      <c r="BY521" s="39"/>
      <c r="BZ521" s="39"/>
      <c r="CA521" s="39"/>
      <c r="CB521" s="39"/>
      <c r="CC521" s="39"/>
      <c r="CD521" s="39"/>
      <c r="CE521" s="39"/>
      <c r="CF521" s="39"/>
      <c r="CG521" s="39"/>
      <c r="CH521" s="39"/>
      <c r="CI521" s="39"/>
      <c r="CJ521" s="39"/>
      <c r="CK521" s="39"/>
      <c r="CL521" s="39"/>
      <c r="CM521" s="39"/>
      <c r="CN521" s="39"/>
      <c r="CO521" s="39"/>
      <c r="CP521" s="39"/>
      <c r="CQ521" s="39"/>
      <c r="CR521" s="39"/>
      <c r="CS521" s="39"/>
      <c r="CT521" s="39"/>
      <c r="CU521" s="39"/>
      <c r="CV521" s="39"/>
      <c r="CW521" s="39"/>
      <c r="CX521" s="39"/>
      <c r="CY521" s="39"/>
      <c r="CZ521" s="39"/>
      <c r="DA521" s="39"/>
      <c r="DB521" s="39"/>
      <c r="DC521" s="39"/>
    </row>
    <row r="522" spans="1:107" s="92" customFormat="1" ht="39.950000000000003" customHeight="1" x14ac:dyDescent="0.25">
      <c r="A522"/>
      <c r="B522"/>
      <c r="C522"/>
      <c r="D522"/>
      <c r="E522"/>
      <c r="F522"/>
      <c r="G522"/>
      <c r="H522"/>
      <c r="I522" s="68"/>
      <c r="J522" s="71"/>
      <c r="K522"/>
      <c r="L522"/>
      <c r="M522"/>
      <c r="N522"/>
      <c r="O522"/>
      <c r="P522"/>
      <c r="Q522" s="121"/>
      <c r="R522"/>
      <c r="S522"/>
      <c r="T522" s="229"/>
      <c r="U522" s="229"/>
      <c r="V522" s="229"/>
      <c r="W522" s="229"/>
      <c r="X522" s="229"/>
      <c r="Y522" s="136"/>
      <c r="Z522" s="166"/>
      <c r="AA522" s="166"/>
      <c r="AB522" s="71"/>
      <c r="AC522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  <c r="BA522" s="39"/>
      <c r="BB522" s="39"/>
      <c r="BC522" s="39"/>
      <c r="BD522" s="39"/>
      <c r="BE522" s="39"/>
      <c r="BF522" s="39"/>
      <c r="BG522" s="39"/>
      <c r="BH522" s="39"/>
      <c r="BI522" s="39"/>
      <c r="BJ522" s="39"/>
      <c r="BK522" s="39"/>
      <c r="BL522" s="39"/>
      <c r="BM522" s="39"/>
      <c r="BN522" s="39"/>
      <c r="BO522" s="39"/>
      <c r="BP522" s="39"/>
      <c r="BQ522" s="39"/>
      <c r="BR522" s="39"/>
      <c r="BS522" s="39"/>
      <c r="BT522" s="39"/>
      <c r="BU522" s="39"/>
      <c r="BV522" s="39"/>
      <c r="BW522" s="39"/>
      <c r="BX522" s="39"/>
      <c r="BY522" s="39"/>
      <c r="BZ522" s="39"/>
      <c r="CA522" s="39"/>
      <c r="CB522" s="39"/>
      <c r="CC522" s="39"/>
      <c r="CD522" s="39"/>
      <c r="CE522" s="39"/>
      <c r="CF522" s="39"/>
      <c r="CG522" s="39"/>
      <c r="CH522" s="39"/>
      <c r="CI522" s="39"/>
      <c r="CJ522" s="39"/>
      <c r="CK522" s="39"/>
      <c r="CL522" s="39"/>
      <c r="CM522" s="39"/>
      <c r="CN522" s="39"/>
      <c r="CO522" s="39"/>
      <c r="CP522" s="39"/>
      <c r="CQ522" s="39"/>
      <c r="CR522" s="39"/>
      <c r="CS522" s="39"/>
      <c r="CT522" s="39"/>
      <c r="CU522" s="39"/>
      <c r="CV522" s="39"/>
      <c r="CW522" s="39"/>
      <c r="CX522" s="39"/>
      <c r="CY522" s="39"/>
      <c r="CZ522" s="39"/>
      <c r="DA522" s="39"/>
      <c r="DB522" s="39"/>
      <c r="DC522" s="39"/>
    </row>
    <row r="523" spans="1:107" s="92" customFormat="1" ht="39.950000000000003" customHeight="1" x14ac:dyDescent="0.25">
      <c r="A523"/>
      <c r="B523"/>
      <c r="C523"/>
      <c r="D523"/>
      <c r="E523"/>
      <c r="F523"/>
      <c r="G523"/>
      <c r="H523"/>
      <c r="I523" s="68"/>
      <c r="J523" s="71"/>
      <c r="K523"/>
      <c r="L523"/>
      <c r="M523"/>
      <c r="N523"/>
      <c r="O523"/>
      <c r="P523"/>
      <c r="Q523" s="121"/>
      <c r="R523"/>
      <c r="S523"/>
      <c r="T523" s="229"/>
      <c r="U523" s="229"/>
      <c r="V523" s="229"/>
      <c r="W523" s="229"/>
      <c r="X523" s="229"/>
      <c r="Y523" s="136"/>
      <c r="Z523" s="166"/>
      <c r="AA523" s="166"/>
      <c r="AB523" s="71"/>
      <c r="AC523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  <c r="BA523" s="39"/>
      <c r="BB523" s="39"/>
      <c r="BC523" s="39"/>
      <c r="BD523" s="39"/>
      <c r="BE523" s="39"/>
      <c r="BF523" s="39"/>
      <c r="BG523" s="39"/>
      <c r="BH523" s="39"/>
      <c r="BI523" s="39"/>
      <c r="BJ523" s="39"/>
      <c r="BK523" s="39"/>
      <c r="BL523" s="39"/>
      <c r="BM523" s="39"/>
      <c r="BN523" s="39"/>
      <c r="BO523" s="39"/>
      <c r="BP523" s="39"/>
      <c r="BQ523" s="39"/>
      <c r="BR523" s="39"/>
      <c r="BS523" s="39"/>
      <c r="BT523" s="39"/>
      <c r="BU523" s="39"/>
      <c r="BV523" s="39"/>
      <c r="BW523" s="39"/>
      <c r="BX523" s="39"/>
      <c r="BY523" s="39"/>
      <c r="BZ523" s="39"/>
      <c r="CA523" s="39"/>
      <c r="CB523" s="39"/>
      <c r="CC523" s="39"/>
      <c r="CD523" s="39"/>
      <c r="CE523" s="39"/>
      <c r="CF523" s="39"/>
      <c r="CG523" s="39"/>
      <c r="CH523" s="39"/>
      <c r="CI523" s="39"/>
      <c r="CJ523" s="39"/>
      <c r="CK523" s="39"/>
      <c r="CL523" s="39"/>
      <c r="CM523" s="39"/>
      <c r="CN523" s="39"/>
      <c r="CO523" s="39"/>
      <c r="CP523" s="39"/>
      <c r="CQ523" s="39"/>
      <c r="CR523" s="39"/>
      <c r="CS523" s="39"/>
      <c r="CT523" s="39"/>
      <c r="CU523" s="39"/>
      <c r="CV523" s="39"/>
      <c r="CW523" s="39"/>
      <c r="CX523" s="39"/>
      <c r="CY523" s="39"/>
      <c r="CZ523" s="39"/>
      <c r="DA523" s="39"/>
      <c r="DB523" s="39"/>
      <c r="DC523" s="39"/>
    </row>
    <row r="524" spans="1:107" s="92" customFormat="1" ht="44.25" customHeight="1" x14ac:dyDescent="0.25">
      <c r="A524"/>
      <c r="B524"/>
      <c r="C524"/>
      <c r="D524"/>
      <c r="E524"/>
      <c r="F524"/>
      <c r="G524"/>
      <c r="H524"/>
      <c r="I524" s="68"/>
      <c r="J524" s="71"/>
      <c r="K524"/>
      <c r="L524"/>
      <c r="M524"/>
      <c r="N524"/>
      <c r="O524"/>
      <c r="P524"/>
      <c r="Q524" s="121"/>
      <c r="R524"/>
      <c r="S524"/>
      <c r="T524" s="229"/>
      <c r="U524" s="229"/>
      <c r="V524" s="229"/>
      <c r="W524" s="229"/>
      <c r="X524" s="229"/>
      <c r="Y524" s="136"/>
      <c r="Z524" s="166"/>
      <c r="AA524" s="166"/>
      <c r="AB524" s="71"/>
      <c r="AC524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  <c r="BA524" s="39"/>
      <c r="BB524" s="39"/>
      <c r="BC524" s="39"/>
      <c r="BD524" s="39"/>
      <c r="BE524" s="39"/>
      <c r="BF524" s="39"/>
      <c r="BG524" s="39"/>
      <c r="BH524" s="39"/>
      <c r="BI524" s="39"/>
      <c r="BJ524" s="39"/>
      <c r="BK524" s="39"/>
      <c r="BL524" s="39"/>
      <c r="BM524" s="39"/>
      <c r="BN524" s="39"/>
      <c r="BO524" s="39"/>
      <c r="BP524" s="39"/>
      <c r="BQ524" s="39"/>
      <c r="BR524" s="39"/>
      <c r="BS524" s="39"/>
      <c r="BT524" s="39"/>
      <c r="BU524" s="39"/>
      <c r="BV524" s="39"/>
      <c r="BW524" s="39"/>
      <c r="BX524" s="39"/>
      <c r="BY524" s="39"/>
      <c r="BZ524" s="39"/>
      <c r="CA524" s="39"/>
      <c r="CB524" s="39"/>
      <c r="CC524" s="39"/>
      <c r="CD524" s="39"/>
      <c r="CE524" s="39"/>
      <c r="CF524" s="39"/>
      <c r="CG524" s="39"/>
      <c r="CH524" s="39"/>
      <c r="CI524" s="39"/>
      <c r="CJ524" s="39"/>
      <c r="CK524" s="39"/>
      <c r="CL524" s="39"/>
      <c r="CM524" s="39"/>
      <c r="CN524" s="39"/>
      <c r="CO524" s="39"/>
      <c r="CP524" s="39"/>
      <c r="CQ524" s="39"/>
      <c r="CR524" s="39"/>
      <c r="CS524" s="39"/>
      <c r="CT524" s="39"/>
      <c r="CU524" s="39"/>
      <c r="CV524" s="39"/>
      <c r="CW524" s="39"/>
      <c r="CX524" s="39"/>
      <c r="CY524" s="39"/>
      <c r="CZ524" s="39"/>
      <c r="DA524" s="39"/>
      <c r="DB524" s="39"/>
      <c r="DC524" s="39"/>
    </row>
    <row r="525" spans="1:107" s="92" customFormat="1" ht="39.950000000000003" customHeight="1" x14ac:dyDescent="0.25">
      <c r="A525"/>
      <c r="B525"/>
      <c r="C525"/>
      <c r="D525"/>
      <c r="E525"/>
      <c r="F525"/>
      <c r="G525"/>
      <c r="H525"/>
      <c r="I525" s="68"/>
      <c r="J525" s="71"/>
      <c r="K525"/>
      <c r="L525"/>
      <c r="M525"/>
      <c r="N525"/>
      <c r="O525"/>
      <c r="P525"/>
      <c r="Q525" s="121"/>
      <c r="R525"/>
      <c r="S525"/>
      <c r="T525" s="229"/>
      <c r="U525" s="229"/>
      <c r="V525" s="229"/>
      <c r="W525" s="229"/>
      <c r="X525" s="229"/>
      <c r="Y525" s="136"/>
      <c r="Z525" s="166"/>
      <c r="AA525" s="166"/>
      <c r="AB525" s="71"/>
      <c r="AC525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  <c r="BA525" s="39"/>
      <c r="BB525" s="39"/>
      <c r="BC525" s="39"/>
      <c r="BD525" s="39"/>
      <c r="BE525" s="39"/>
      <c r="BF525" s="39"/>
      <c r="BG525" s="39"/>
      <c r="BH525" s="39"/>
      <c r="BI525" s="39"/>
      <c r="BJ525" s="39"/>
      <c r="BK525" s="39"/>
      <c r="BL525" s="39"/>
      <c r="BM525" s="39"/>
      <c r="BN525" s="39"/>
      <c r="BO525" s="39"/>
      <c r="BP525" s="39"/>
      <c r="BQ525" s="39"/>
      <c r="BR525" s="39"/>
      <c r="BS525" s="39"/>
      <c r="BT525" s="39"/>
      <c r="BU525" s="39"/>
      <c r="BV525" s="39"/>
      <c r="BW525" s="39"/>
      <c r="BX525" s="39"/>
      <c r="BY525" s="39"/>
      <c r="BZ525" s="39"/>
      <c r="CA525" s="39"/>
      <c r="CB525" s="39"/>
      <c r="CC525" s="39"/>
      <c r="CD525" s="39"/>
      <c r="CE525" s="39"/>
      <c r="CF525" s="39"/>
      <c r="CG525" s="39"/>
      <c r="CH525" s="39"/>
      <c r="CI525" s="39"/>
      <c r="CJ525" s="39"/>
      <c r="CK525" s="39"/>
      <c r="CL525" s="39"/>
      <c r="CM525" s="39"/>
      <c r="CN525" s="39"/>
      <c r="CO525" s="39"/>
      <c r="CP525" s="39"/>
      <c r="CQ525" s="39"/>
      <c r="CR525" s="39"/>
      <c r="CS525" s="39"/>
      <c r="CT525" s="39"/>
      <c r="CU525" s="39"/>
      <c r="CV525" s="39"/>
      <c r="CW525" s="39"/>
      <c r="CX525" s="39"/>
      <c r="CY525" s="39"/>
      <c r="CZ525" s="39"/>
      <c r="DA525" s="39"/>
      <c r="DB525" s="39"/>
      <c r="DC525" s="39"/>
    </row>
    <row r="526" spans="1:107" s="92" customFormat="1" ht="39.950000000000003" customHeight="1" x14ac:dyDescent="0.25">
      <c r="A526"/>
      <c r="B526"/>
      <c r="C526"/>
      <c r="D526"/>
      <c r="E526"/>
      <c r="F526"/>
      <c r="G526"/>
      <c r="H526"/>
      <c r="I526" s="68"/>
      <c r="J526" s="71"/>
      <c r="K526"/>
      <c r="L526"/>
      <c r="M526"/>
      <c r="N526"/>
      <c r="O526"/>
      <c r="P526"/>
      <c r="Q526" s="121"/>
      <c r="R526"/>
      <c r="S526"/>
      <c r="T526" s="229"/>
      <c r="U526" s="229"/>
      <c r="V526" s="229"/>
      <c r="W526" s="229"/>
      <c r="X526" s="229"/>
      <c r="Y526" s="136"/>
      <c r="Z526" s="166"/>
      <c r="AA526" s="166"/>
      <c r="AB526" s="71"/>
      <c r="AC526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  <c r="BA526" s="39"/>
      <c r="BB526" s="39"/>
      <c r="BC526" s="39"/>
      <c r="BD526" s="39"/>
      <c r="BE526" s="39"/>
      <c r="BF526" s="39"/>
      <c r="BG526" s="39"/>
      <c r="BH526" s="39"/>
      <c r="BI526" s="39"/>
      <c r="BJ526" s="39"/>
      <c r="BK526" s="39"/>
      <c r="BL526" s="39"/>
      <c r="BM526" s="39"/>
      <c r="BN526" s="39"/>
      <c r="BO526" s="39"/>
      <c r="BP526" s="39"/>
      <c r="BQ526" s="39"/>
      <c r="BR526" s="39"/>
      <c r="BS526" s="39"/>
      <c r="BT526" s="39"/>
      <c r="BU526" s="39"/>
      <c r="BV526" s="39"/>
      <c r="BW526" s="39"/>
      <c r="BX526" s="39"/>
      <c r="BY526" s="39"/>
      <c r="BZ526" s="39"/>
      <c r="CA526" s="39"/>
      <c r="CB526" s="39"/>
      <c r="CC526" s="39"/>
      <c r="CD526" s="39"/>
      <c r="CE526" s="39"/>
      <c r="CF526" s="39"/>
      <c r="CG526" s="39"/>
      <c r="CH526" s="39"/>
      <c r="CI526" s="39"/>
      <c r="CJ526" s="39"/>
      <c r="CK526" s="39"/>
      <c r="CL526" s="39"/>
      <c r="CM526" s="39"/>
      <c r="CN526" s="39"/>
      <c r="CO526" s="39"/>
      <c r="CP526" s="39"/>
      <c r="CQ526" s="39"/>
      <c r="CR526" s="39"/>
      <c r="CS526" s="39"/>
      <c r="CT526" s="39"/>
      <c r="CU526" s="39"/>
      <c r="CV526" s="39"/>
      <c r="CW526" s="39"/>
      <c r="CX526" s="39"/>
      <c r="CY526" s="39"/>
      <c r="CZ526" s="39"/>
      <c r="DA526" s="39"/>
      <c r="DB526" s="39"/>
      <c r="DC526" s="39"/>
    </row>
    <row r="527" spans="1:107" s="92" customFormat="1" ht="39.950000000000003" customHeight="1" x14ac:dyDescent="0.25">
      <c r="A527"/>
      <c r="B527"/>
      <c r="C527"/>
      <c r="D527"/>
      <c r="E527"/>
      <c r="F527"/>
      <c r="G527"/>
      <c r="H527"/>
      <c r="I527" s="68"/>
      <c r="J527" s="71"/>
      <c r="K527"/>
      <c r="L527"/>
      <c r="M527"/>
      <c r="N527"/>
      <c r="O527"/>
      <c r="P527"/>
      <c r="Q527" s="121"/>
      <c r="R527"/>
      <c r="S527"/>
      <c r="T527" s="229"/>
      <c r="U527" s="229"/>
      <c r="V527" s="229"/>
      <c r="W527" s="229"/>
      <c r="X527" s="229"/>
      <c r="Y527" s="136"/>
      <c r="Z527" s="166"/>
      <c r="AA527" s="166"/>
      <c r="AB527" s="71"/>
      <c r="AC527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  <c r="BA527" s="39"/>
      <c r="BB527" s="39"/>
      <c r="BC527" s="39"/>
      <c r="BD527" s="39"/>
      <c r="BE527" s="39"/>
      <c r="BF527" s="39"/>
      <c r="BG527" s="39"/>
      <c r="BH527" s="39"/>
      <c r="BI527" s="39"/>
      <c r="BJ527" s="39"/>
      <c r="BK527" s="39"/>
      <c r="BL527" s="39"/>
      <c r="BM527" s="39"/>
      <c r="BN527" s="39"/>
      <c r="BO527" s="39"/>
      <c r="BP527" s="39"/>
      <c r="BQ527" s="39"/>
      <c r="BR527" s="39"/>
      <c r="BS527" s="39"/>
      <c r="BT527" s="39"/>
      <c r="BU527" s="39"/>
      <c r="BV527" s="39"/>
      <c r="BW527" s="39"/>
      <c r="BX527" s="39"/>
      <c r="BY527" s="39"/>
      <c r="BZ527" s="39"/>
      <c r="CA527" s="39"/>
      <c r="CB527" s="39"/>
      <c r="CC527" s="39"/>
      <c r="CD527" s="39"/>
      <c r="CE527" s="39"/>
      <c r="CF527" s="39"/>
      <c r="CG527" s="39"/>
      <c r="CH527" s="39"/>
      <c r="CI527" s="39"/>
      <c r="CJ527" s="39"/>
      <c r="CK527" s="39"/>
      <c r="CL527" s="39"/>
      <c r="CM527" s="39"/>
      <c r="CN527" s="39"/>
      <c r="CO527" s="39"/>
      <c r="CP527" s="39"/>
      <c r="CQ527" s="39"/>
      <c r="CR527" s="39"/>
      <c r="CS527" s="39"/>
      <c r="CT527" s="39"/>
      <c r="CU527" s="39"/>
      <c r="CV527" s="39"/>
      <c r="CW527" s="39"/>
      <c r="CX527" s="39"/>
      <c r="CY527" s="39"/>
      <c r="CZ527" s="39"/>
      <c r="DA527" s="39"/>
      <c r="DB527" s="39"/>
      <c r="DC527" s="39"/>
    </row>
    <row r="528" spans="1:107" s="92" customFormat="1" ht="39.950000000000003" customHeight="1" x14ac:dyDescent="0.25">
      <c r="A528"/>
      <c r="B528"/>
      <c r="C528"/>
      <c r="D528"/>
      <c r="E528"/>
      <c r="F528"/>
      <c r="G528"/>
      <c r="H528"/>
      <c r="I528" s="68"/>
      <c r="J528" s="71"/>
      <c r="K528"/>
      <c r="L528"/>
      <c r="M528"/>
      <c r="N528"/>
      <c r="O528"/>
      <c r="P528"/>
      <c r="Q528" s="121"/>
      <c r="R528"/>
      <c r="S528"/>
      <c r="T528" s="229"/>
      <c r="U528" s="229"/>
      <c r="V528" s="229"/>
      <c r="W528" s="229"/>
      <c r="X528" s="229"/>
      <c r="Y528" s="136"/>
      <c r="Z528" s="166"/>
      <c r="AA528" s="166"/>
      <c r="AB528" s="71"/>
      <c r="AC528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  <c r="BA528" s="39"/>
      <c r="BB528" s="39"/>
      <c r="BC528" s="39"/>
      <c r="BD528" s="39"/>
      <c r="BE528" s="39"/>
      <c r="BF528" s="39"/>
      <c r="BG528" s="39"/>
      <c r="BH528" s="39"/>
      <c r="BI528" s="39"/>
      <c r="BJ528" s="39"/>
      <c r="BK528" s="39"/>
      <c r="BL528" s="39"/>
      <c r="BM528" s="39"/>
      <c r="BN528" s="39"/>
      <c r="BO528" s="39"/>
      <c r="BP528" s="39"/>
      <c r="BQ528" s="39"/>
      <c r="BR528" s="39"/>
      <c r="BS528" s="39"/>
      <c r="BT528" s="39"/>
      <c r="BU528" s="39"/>
      <c r="BV528" s="39"/>
      <c r="BW528" s="39"/>
      <c r="BX528" s="39"/>
      <c r="BY528" s="39"/>
      <c r="BZ528" s="39"/>
      <c r="CA528" s="39"/>
      <c r="CB528" s="39"/>
      <c r="CC528" s="39"/>
      <c r="CD528" s="39"/>
      <c r="CE528" s="39"/>
      <c r="CF528" s="39"/>
      <c r="CG528" s="39"/>
      <c r="CH528" s="39"/>
      <c r="CI528" s="39"/>
      <c r="CJ528" s="39"/>
      <c r="CK528" s="39"/>
      <c r="CL528" s="39"/>
      <c r="CM528" s="39"/>
      <c r="CN528" s="39"/>
      <c r="CO528" s="39"/>
      <c r="CP528" s="39"/>
      <c r="CQ528" s="39"/>
      <c r="CR528" s="39"/>
      <c r="CS528" s="39"/>
      <c r="CT528" s="39"/>
      <c r="CU528" s="39"/>
      <c r="CV528" s="39"/>
      <c r="CW528" s="39"/>
      <c r="CX528" s="39"/>
      <c r="CY528" s="39"/>
      <c r="CZ528" s="39"/>
      <c r="DA528" s="39"/>
      <c r="DB528" s="39"/>
      <c r="DC528" s="39"/>
    </row>
    <row r="529" spans="1:107" s="92" customFormat="1" ht="39.950000000000003" customHeight="1" x14ac:dyDescent="0.25">
      <c r="A529"/>
      <c r="B529"/>
      <c r="C529"/>
      <c r="D529"/>
      <c r="E529"/>
      <c r="F529"/>
      <c r="G529"/>
      <c r="H529"/>
      <c r="I529" s="68"/>
      <c r="J529" s="71"/>
      <c r="K529"/>
      <c r="L529"/>
      <c r="M529"/>
      <c r="N529"/>
      <c r="O529"/>
      <c r="P529"/>
      <c r="Q529" s="121"/>
      <c r="R529"/>
      <c r="S529"/>
      <c r="T529" s="229"/>
      <c r="U529" s="229"/>
      <c r="V529" s="229"/>
      <c r="W529" s="229"/>
      <c r="X529" s="229"/>
      <c r="Y529" s="136"/>
      <c r="Z529" s="166"/>
      <c r="AA529" s="166"/>
      <c r="AB529" s="71"/>
      <c r="AC52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  <c r="BA529" s="39"/>
      <c r="BB529" s="39"/>
      <c r="BC529" s="39"/>
      <c r="BD529" s="39"/>
      <c r="BE529" s="39"/>
      <c r="BF529" s="39"/>
      <c r="BG529" s="39"/>
      <c r="BH529" s="39"/>
      <c r="BI529" s="39"/>
      <c r="BJ529" s="39"/>
      <c r="BK529" s="39"/>
      <c r="BL529" s="39"/>
      <c r="BM529" s="39"/>
      <c r="BN529" s="39"/>
      <c r="BO529" s="39"/>
      <c r="BP529" s="39"/>
      <c r="BQ529" s="39"/>
      <c r="BR529" s="39"/>
      <c r="BS529" s="39"/>
      <c r="BT529" s="39"/>
      <c r="BU529" s="39"/>
      <c r="BV529" s="39"/>
      <c r="BW529" s="39"/>
      <c r="BX529" s="39"/>
      <c r="BY529" s="39"/>
      <c r="BZ529" s="39"/>
      <c r="CA529" s="39"/>
      <c r="CB529" s="39"/>
      <c r="CC529" s="39"/>
      <c r="CD529" s="39"/>
      <c r="CE529" s="39"/>
      <c r="CF529" s="39"/>
      <c r="CG529" s="39"/>
      <c r="CH529" s="39"/>
      <c r="CI529" s="39"/>
      <c r="CJ529" s="39"/>
      <c r="CK529" s="39"/>
      <c r="CL529" s="39"/>
      <c r="CM529" s="39"/>
      <c r="CN529" s="39"/>
      <c r="CO529" s="39"/>
      <c r="CP529" s="39"/>
      <c r="CQ529" s="39"/>
      <c r="CR529" s="39"/>
      <c r="CS529" s="39"/>
      <c r="CT529" s="39"/>
      <c r="CU529" s="39"/>
      <c r="CV529" s="39"/>
      <c r="CW529" s="39"/>
      <c r="CX529" s="39"/>
      <c r="CY529" s="39"/>
      <c r="CZ529" s="39"/>
      <c r="DA529" s="39"/>
      <c r="DB529" s="39"/>
      <c r="DC529" s="39"/>
    </row>
    <row r="530" spans="1:107" s="92" customFormat="1" ht="39.950000000000003" customHeight="1" x14ac:dyDescent="0.25">
      <c r="A530"/>
      <c r="B530"/>
      <c r="C530"/>
      <c r="D530"/>
      <c r="E530"/>
      <c r="F530"/>
      <c r="G530"/>
      <c r="H530"/>
      <c r="I530" s="68"/>
      <c r="J530" s="71"/>
      <c r="K530"/>
      <c r="L530"/>
      <c r="M530"/>
      <c r="N530"/>
      <c r="O530"/>
      <c r="P530"/>
      <c r="Q530" s="121"/>
      <c r="R530"/>
      <c r="S530"/>
      <c r="T530" s="229"/>
      <c r="U530" s="229"/>
      <c r="V530" s="229"/>
      <c r="W530" s="229"/>
      <c r="X530" s="229"/>
      <c r="Y530" s="136"/>
      <c r="Z530" s="166"/>
      <c r="AA530" s="166"/>
      <c r="AB530" s="71"/>
      <c r="AC530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  <c r="BA530" s="39"/>
      <c r="BB530" s="39"/>
      <c r="BC530" s="39"/>
      <c r="BD530" s="39"/>
      <c r="BE530" s="39"/>
      <c r="BF530" s="39"/>
      <c r="BG530" s="39"/>
      <c r="BH530" s="39"/>
      <c r="BI530" s="39"/>
      <c r="BJ530" s="39"/>
      <c r="BK530" s="39"/>
      <c r="BL530" s="39"/>
      <c r="BM530" s="39"/>
      <c r="BN530" s="39"/>
      <c r="BO530" s="39"/>
      <c r="BP530" s="39"/>
      <c r="BQ530" s="39"/>
      <c r="BR530" s="39"/>
      <c r="BS530" s="39"/>
      <c r="BT530" s="39"/>
      <c r="BU530" s="39"/>
      <c r="BV530" s="39"/>
      <c r="BW530" s="39"/>
      <c r="BX530" s="39"/>
      <c r="BY530" s="39"/>
      <c r="BZ530" s="39"/>
      <c r="CA530" s="39"/>
      <c r="CB530" s="39"/>
      <c r="CC530" s="39"/>
      <c r="CD530" s="39"/>
      <c r="CE530" s="39"/>
      <c r="CF530" s="39"/>
      <c r="CG530" s="39"/>
      <c r="CH530" s="39"/>
      <c r="CI530" s="39"/>
      <c r="CJ530" s="39"/>
      <c r="CK530" s="39"/>
      <c r="CL530" s="39"/>
      <c r="CM530" s="39"/>
      <c r="CN530" s="39"/>
      <c r="CO530" s="39"/>
      <c r="CP530" s="39"/>
      <c r="CQ530" s="39"/>
      <c r="CR530" s="39"/>
      <c r="CS530" s="39"/>
      <c r="CT530" s="39"/>
      <c r="CU530" s="39"/>
      <c r="CV530" s="39"/>
      <c r="CW530" s="39"/>
      <c r="CX530" s="39"/>
      <c r="CY530" s="39"/>
      <c r="CZ530" s="39"/>
      <c r="DA530" s="39"/>
      <c r="DB530" s="39"/>
      <c r="DC530" s="39"/>
    </row>
    <row r="531" spans="1:107" s="92" customFormat="1" ht="39.950000000000003" customHeight="1" x14ac:dyDescent="0.25">
      <c r="A531"/>
      <c r="B531"/>
      <c r="C531"/>
      <c r="D531"/>
      <c r="E531"/>
      <c r="F531"/>
      <c r="G531"/>
      <c r="H531"/>
      <c r="I531" s="68"/>
      <c r="J531" s="71"/>
      <c r="K531"/>
      <c r="L531"/>
      <c r="M531"/>
      <c r="N531"/>
      <c r="O531"/>
      <c r="P531"/>
      <c r="Q531" s="121"/>
      <c r="R531"/>
      <c r="S531"/>
      <c r="T531" s="229"/>
      <c r="U531" s="229"/>
      <c r="V531" s="229"/>
      <c r="W531" s="229"/>
      <c r="X531" s="229"/>
      <c r="Y531" s="136"/>
      <c r="Z531" s="166"/>
      <c r="AA531" s="166"/>
      <c r="AB531" s="71"/>
      <c r="AC531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  <c r="BA531" s="39"/>
      <c r="BB531" s="39"/>
      <c r="BC531" s="39"/>
      <c r="BD531" s="39"/>
      <c r="BE531" s="39"/>
      <c r="BF531" s="39"/>
      <c r="BG531" s="39"/>
      <c r="BH531" s="39"/>
      <c r="BI531" s="39"/>
      <c r="BJ531" s="39"/>
      <c r="BK531" s="39"/>
      <c r="BL531" s="39"/>
      <c r="BM531" s="39"/>
      <c r="BN531" s="39"/>
      <c r="BO531" s="39"/>
      <c r="BP531" s="39"/>
      <c r="BQ531" s="39"/>
      <c r="BR531" s="39"/>
      <c r="BS531" s="39"/>
      <c r="BT531" s="39"/>
      <c r="BU531" s="39"/>
      <c r="BV531" s="39"/>
      <c r="BW531" s="39"/>
      <c r="BX531" s="39"/>
      <c r="BY531" s="39"/>
      <c r="BZ531" s="39"/>
      <c r="CA531" s="39"/>
      <c r="CB531" s="39"/>
      <c r="CC531" s="39"/>
      <c r="CD531" s="39"/>
      <c r="CE531" s="39"/>
      <c r="CF531" s="39"/>
      <c r="CG531" s="39"/>
      <c r="CH531" s="39"/>
      <c r="CI531" s="39"/>
      <c r="CJ531" s="39"/>
      <c r="CK531" s="39"/>
      <c r="CL531" s="39"/>
      <c r="CM531" s="39"/>
      <c r="CN531" s="39"/>
      <c r="CO531" s="39"/>
      <c r="CP531" s="39"/>
      <c r="CQ531" s="39"/>
      <c r="CR531" s="39"/>
      <c r="CS531" s="39"/>
      <c r="CT531" s="39"/>
      <c r="CU531" s="39"/>
      <c r="CV531" s="39"/>
      <c r="CW531" s="39"/>
      <c r="CX531" s="39"/>
      <c r="CY531" s="39"/>
      <c r="CZ531" s="39"/>
      <c r="DA531" s="39"/>
      <c r="DB531" s="39"/>
      <c r="DC531" s="39"/>
    </row>
    <row r="532" spans="1:107" s="92" customFormat="1" ht="39.950000000000003" customHeight="1" x14ac:dyDescent="0.25">
      <c r="A532"/>
      <c r="B532"/>
      <c r="C532"/>
      <c r="D532"/>
      <c r="E532"/>
      <c r="F532"/>
      <c r="G532"/>
      <c r="H532"/>
      <c r="I532" s="68"/>
      <c r="J532" s="71"/>
      <c r="K532"/>
      <c r="L532"/>
      <c r="M532"/>
      <c r="N532"/>
      <c r="O532"/>
      <c r="P532"/>
      <c r="Q532" s="121"/>
      <c r="R532"/>
      <c r="S532"/>
      <c r="T532" s="229"/>
      <c r="U532" s="229"/>
      <c r="V532" s="229"/>
      <c r="W532" s="229"/>
      <c r="X532" s="229"/>
      <c r="Y532" s="136"/>
      <c r="Z532" s="166"/>
      <c r="AA532" s="166"/>
      <c r="AB532" s="71"/>
      <c r="AC532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  <c r="BA532" s="39"/>
      <c r="BB532" s="39"/>
      <c r="BC532" s="39"/>
      <c r="BD532" s="39"/>
      <c r="BE532" s="39"/>
      <c r="BF532" s="39"/>
      <c r="BG532" s="39"/>
      <c r="BH532" s="39"/>
      <c r="BI532" s="39"/>
      <c r="BJ532" s="39"/>
      <c r="BK532" s="39"/>
      <c r="BL532" s="39"/>
      <c r="BM532" s="39"/>
      <c r="BN532" s="39"/>
      <c r="BO532" s="39"/>
      <c r="BP532" s="39"/>
      <c r="BQ532" s="39"/>
      <c r="BR532" s="39"/>
      <c r="BS532" s="39"/>
      <c r="BT532" s="39"/>
      <c r="BU532" s="39"/>
      <c r="BV532" s="39"/>
      <c r="BW532" s="39"/>
      <c r="BX532" s="39"/>
      <c r="BY532" s="39"/>
      <c r="BZ532" s="39"/>
      <c r="CA532" s="39"/>
      <c r="CB532" s="39"/>
      <c r="CC532" s="39"/>
      <c r="CD532" s="39"/>
      <c r="CE532" s="39"/>
      <c r="CF532" s="39"/>
      <c r="CG532" s="39"/>
      <c r="CH532" s="39"/>
      <c r="CI532" s="39"/>
      <c r="CJ532" s="39"/>
      <c r="CK532" s="39"/>
      <c r="CL532" s="39"/>
      <c r="CM532" s="39"/>
      <c r="CN532" s="39"/>
      <c r="CO532" s="39"/>
      <c r="CP532" s="39"/>
      <c r="CQ532" s="39"/>
      <c r="CR532" s="39"/>
      <c r="CS532" s="39"/>
      <c r="CT532" s="39"/>
      <c r="CU532" s="39"/>
      <c r="CV532" s="39"/>
      <c r="CW532" s="39"/>
      <c r="CX532" s="39"/>
      <c r="CY532" s="39"/>
      <c r="CZ532" s="39"/>
      <c r="DA532" s="39"/>
      <c r="DB532" s="39"/>
      <c r="DC532" s="39"/>
    </row>
    <row r="533" spans="1:107" s="92" customFormat="1" ht="39.950000000000003" customHeight="1" x14ac:dyDescent="0.25">
      <c r="A533"/>
      <c r="B533"/>
      <c r="C533"/>
      <c r="D533"/>
      <c r="E533"/>
      <c r="F533"/>
      <c r="G533"/>
      <c r="H533"/>
      <c r="I533" s="68"/>
      <c r="J533" s="71"/>
      <c r="K533"/>
      <c r="L533"/>
      <c r="M533"/>
      <c r="N533"/>
      <c r="O533"/>
      <c r="P533"/>
      <c r="Q533" s="121"/>
      <c r="R533"/>
      <c r="S533"/>
      <c r="T533" s="229"/>
      <c r="U533" s="229"/>
      <c r="V533" s="229"/>
      <c r="W533" s="229"/>
      <c r="X533" s="229"/>
      <c r="Y533" s="136"/>
      <c r="Z533" s="166"/>
      <c r="AA533" s="166"/>
      <c r="AB533" s="71"/>
      <c r="AC533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  <c r="BA533" s="39"/>
      <c r="BB533" s="39"/>
      <c r="BC533" s="39"/>
      <c r="BD533" s="39"/>
      <c r="BE533" s="39"/>
      <c r="BF533" s="39"/>
      <c r="BG533" s="39"/>
      <c r="BH533" s="39"/>
      <c r="BI533" s="39"/>
      <c r="BJ533" s="39"/>
      <c r="BK533" s="39"/>
      <c r="BL533" s="39"/>
      <c r="BM533" s="39"/>
      <c r="BN533" s="39"/>
      <c r="BO533" s="39"/>
      <c r="BP533" s="39"/>
      <c r="BQ533" s="39"/>
      <c r="BR533" s="39"/>
      <c r="BS533" s="39"/>
      <c r="BT533" s="39"/>
      <c r="BU533" s="39"/>
      <c r="BV533" s="39"/>
      <c r="BW533" s="39"/>
      <c r="BX533" s="39"/>
      <c r="BY533" s="39"/>
      <c r="BZ533" s="39"/>
      <c r="CA533" s="39"/>
      <c r="CB533" s="39"/>
      <c r="CC533" s="39"/>
      <c r="CD533" s="39"/>
      <c r="CE533" s="39"/>
      <c r="CF533" s="39"/>
      <c r="CG533" s="39"/>
      <c r="CH533" s="39"/>
      <c r="CI533" s="39"/>
      <c r="CJ533" s="39"/>
      <c r="CK533" s="39"/>
      <c r="CL533" s="39"/>
      <c r="CM533" s="39"/>
      <c r="CN533" s="39"/>
      <c r="CO533" s="39"/>
      <c r="CP533" s="39"/>
      <c r="CQ533" s="39"/>
      <c r="CR533" s="39"/>
      <c r="CS533" s="39"/>
      <c r="CT533" s="39"/>
      <c r="CU533" s="39"/>
      <c r="CV533" s="39"/>
      <c r="CW533" s="39"/>
      <c r="CX533" s="39"/>
      <c r="CY533" s="39"/>
      <c r="CZ533" s="39"/>
      <c r="DA533" s="39"/>
      <c r="DB533" s="39"/>
      <c r="DC533" s="39"/>
    </row>
    <row r="534" spans="1:107" s="92" customFormat="1" ht="39.950000000000003" customHeight="1" x14ac:dyDescent="0.25">
      <c r="A534"/>
      <c r="B534"/>
      <c r="C534"/>
      <c r="D534"/>
      <c r="E534"/>
      <c r="F534"/>
      <c r="G534"/>
      <c r="H534"/>
      <c r="I534" s="68"/>
      <c r="J534" s="71"/>
      <c r="K534"/>
      <c r="L534"/>
      <c r="M534"/>
      <c r="N534"/>
      <c r="O534"/>
      <c r="P534"/>
      <c r="Q534" s="121"/>
      <c r="R534"/>
      <c r="S534"/>
      <c r="T534" s="229"/>
      <c r="U534" s="229"/>
      <c r="V534" s="229"/>
      <c r="W534" s="229"/>
      <c r="X534" s="229"/>
      <c r="Y534" s="136"/>
      <c r="Z534" s="166"/>
      <c r="AA534" s="166"/>
      <c r="AB534" s="71"/>
      <c r="AC534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  <c r="BA534" s="39"/>
      <c r="BB534" s="39"/>
      <c r="BC534" s="39"/>
      <c r="BD534" s="39"/>
      <c r="BE534" s="39"/>
      <c r="BF534" s="39"/>
      <c r="BG534" s="39"/>
      <c r="BH534" s="39"/>
      <c r="BI534" s="39"/>
      <c r="BJ534" s="39"/>
      <c r="BK534" s="39"/>
      <c r="BL534" s="39"/>
      <c r="BM534" s="39"/>
      <c r="BN534" s="39"/>
      <c r="BO534" s="39"/>
      <c r="BP534" s="39"/>
      <c r="BQ534" s="39"/>
      <c r="BR534" s="39"/>
      <c r="BS534" s="39"/>
      <c r="BT534" s="39"/>
      <c r="BU534" s="39"/>
      <c r="BV534" s="39"/>
      <c r="BW534" s="39"/>
      <c r="BX534" s="39"/>
      <c r="BY534" s="39"/>
      <c r="BZ534" s="39"/>
      <c r="CA534" s="39"/>
      <c r="CB534" s="39"/>
      <c r="CC534" s="39"/>
      <c r="CD534" s="39"/>
      <c r="CE534" s="39"/>
      <c r="CF534" s="39"/>
      <c r="CG534" s="39"/>
      <c r="CH534" s="39"/>
      <c r="CI534" s="39"/>
      <c r="CJ534" s="39"/>
      <c r="CK534" s="39"/>
      <c r="CL534" s="39"/>
      <c r="CM534" s="39"/>
      <c r="CN534" s="39"/>
      <c r="CO534" s="39"/>
      <c r="CP534" s="39"/>
      <c r="CQ534" s="39"/>
      <c r="CR534" s="39"/>
      <c r="CS534" s="39"/>
      <c r="CT534" s="39"/>
      <c r="CU534" s="39"/>
      <c r="CV534" s="39"/>
      <c r="CW534" s="39"/>
      <c r="CX534" s="39"/>
      <c r="CY534" s="39"/>
      <c r="CZ534" s="39"/>
      <c r="DA534" s="39"/>
      <c r="DB534" s="39"/>
      <c r="DC534" s="39"/>
    </row>
    <row r="535" spans="1:107" s="92" customFormat="1" ht="39.950000000000003" customHeight="1" x14ac:dyDescent="0.25">
      <c r="A535"/>
      <c r="B535"/>
      <c r="C535"/>
      <c r="D535"/>
      <c r="E535"/>
      <c r="F535"/>
      <c r="G535"/>
      <c r="H535"/>
      <c r="I535" s="68"/>
      <c r="J535" s="71"/>
      <c r="K535"/>
      <c r="L535"/>
      <c r="M535"/>
      <c r="N535"/>
      <c r="O535"/>
      <c r="P535"/>
      <c r="Q535" s="121"/>
      <c r="R535"/>
      <c r="S535"/>
      <c r="T535" s="229"/>
      <c r="U535" s="229"/>
      <c r="V535" s="229"/>
      <c r="W535" s="229"/>
      <c r="X535" s="229"/>
      <c r="Y535" s="136"/>
      <c r="Z535" s="166"/>
      <c r="AA535" s="166"/>
      <c r="AB535" s="71"/>
      <c r="AC535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  <c r="BA535" s="39"/>
      <c r="BB535" s="39"/>
      <c r="BC535" s="39"/>
      <c r="BD535" s="39"/>
      <c r="BE535" s="39"/>
      <c r="BF535" s="39"/>
      <c r="BG535" s="39"/>
      <c r="BH535" s="39"/>
      <c r="BI535" s="39"/>
      <c r="BJ535" s="39"/>
      <c r="BK535" s="39"/>
      <c r="BL535" s="39"/>
      <c r="BM535" s="39"/>
      <c r="BN535" s="39"/>
      <c r="BO535" s="39"/>
      <c r="BP535" s="39"/>
      <c r="BQ535" s="39"/>
      <c r="BR535" s="39"/>
      <c r="BS535" s="39"/>
      <c r="BT535" s="39"/>
      <c r="BU535" s="39"/>
      <c r="BV535" s="39"/>
      <c r="BW535" s="39"/>
      <c r="BX535" s="39"/>
      <c r="BY535" s="39"/>
      <c r="BZ535" s="39"/>
      <c r="CA535" s="39"/>
      <c r="CB535" s="39"/>
      <c r="CC535" s="39"/>
      <c r="CD535" s="39"/>
      <c r="CE535" s="39"/>
      <c r="CF535" s="39"/>
      <c r="CG535" s="39"/>
      <c r="CH535" s="39"/>
      <c r="CI535" s="39"/>
      <c r="CJ535" s="39"/>
      <c r="CK535" s="39"/>
      <c r="CL535" s="39"/>
      <c r="CM535" s="39"/>
      <c r="CN535" s="39"/>
      <c r="CO535" s="39"/>
      <c r="CP535" s="39"/>
      <c r="CQ535" s="39"/>
      <c r="CR535" s="39"/>
      <c r="CS535" s="39"/>
      <c r="CT535" s="39"/>
      <c r="CU535" s="39"/>
      <c r="CV535" s="39"/>
      <c r="CW535" s="39"/>
      <c r="CX535" s="39"/>
      <c r="CY535" s="39"/>
      <c r="CZ535" s="39"/>
      <c r="DA535" s="39"/>
      <c r="DB535" s="39"/>
      <c r="DC535" s="39"/>
    </row>
    <row r="536" spans="1:107" s="92" customFormat="1" ht="39.950000000000003" customHeight="1" x14ac:dyDescent="0.25">
      <c r="A536"/>
      <c r="B536"/>
      <c r="C536"/>
      <c r="D536"/>
      <c r="E536"/>
      <c r="F536"/>
      <c r="G536"/>
      <c r="H536"/>
      <c r="I536" s="68"/>
      <c r="J536" s="71"/>
      <c r="K536"/>
      <c r="L536"/>
      <c r="M536"/>
      <c r="N536"/>
      <c r="O536"/>
      <c r="P536"/>
      <c r="Q536" s="121"/>
      <c r="R536"/>
      <c r="S536"/>
      <c r="T536" s="229"/>
      <c r="U536" s="229"/>
      <c r="V536" s="229"/>
      <c r="W536" s="229"/>
      <c r="X536" s="229"/>
      <c r="Y536" s="136"/>
      <c r="Z536" s="166"/>
      <c r="AA536" s="166"/>
      <c r="AB536" s="71"/>
      <c r="AC536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  <c r="BA536" s="39"/>
      <c r="BB536" s="39"/>
      <c r="BC536" s="39"/>
      <c r="BD536" s="39"/>
      <c r="BE536" s="39"/>
      <c r="BF536" s="39"/>
      <c r="BG536" s="39"/>
      <c r="BH536" s="39"/>
      <c r="BI536" s="39"/>
      <c r="BJ536" s="39"/>
      <c r="BK536" s="39"/>
      <c r="BL536" s="39"/>
      <c r="BM536" s="39"/>
      <c r="BN536" s="39"/>
      <c r="BO536" s="39"/>
      <c r="BP536" s="39"/>
      <c r="BQ536" s="39"/>
      <c r="BR536" s="39"/>
      <c r="BS536" s="39"/>
      <c r="BT536" s="39"/>
      <c r="BU536" s="39"/>
      <c r="BV536" s="39"/>
      <c r="BW536" s="39"/>
      <c r="BX536" s="39"/>
      <c r="BY536" s="39"/>
      <c r="BZ536" s="39"/>
      <c r="CA536" s="39"/>
      <c r="CB536" s="39"/>
      <c r="CC536" s="39"/>
      <c r="CD536" s="39"/>
      <c r="CE536" s="39"/>
      <c r="CF536" s="39"/>
      <c r="CG536" s="39"/>
      <c r="CH536" s="39"/>
      <c r="CI536" s="39"/>
      <c r="CJ536" s="39"/>
      <c r="CK536" s="39"/>
      <c r="CL536" s="39"/>
      <c r="CM536" s="39"/>
      <c r="CN536" s="39"/>
      <c r="CO536" s="39"/>
      <c r="CP536" s="39"/>
      <c r="CQ536" s="39"/>
      <c r="CR536" s="39"/>
      <c r="CS536" s="39"/>
      <c r="CT536" s="39"/>
      <c r="CU536" s="39"/>
      <c r="CV536" s="39"/>
      <c r="CW536" s="39"/>
      <c r="CX536" s="39"/>
      <c r="CY536" s="39"/>
      <c r="CZ536" s="39"/>
      <c r="DA536" s="39"/>
      <c r="DB536" s="39"/>
      <c r="DC536" s="39"/>
    </row>
    <row r="537" spans="1:107" s="92" customFormat="1" ht="39.950000000000003" customHeight="1" x14ac:dyDescent="0.25">
      <c r="A537"/>
      <c r="B537"/>
      <c r="C537"/>
      <c r="D537"/>
      <c r="E537"/>
      <c r="F537"/>
      <c r="G537"/>
      <c r="H537"/>
      <c r="I537" s="68"/>
      <c r="J537" s="71"/>
      <c r="K537"/>
      <c r="L537"/>
      <c r="M537"/>
      <c r="N537"/>
      <c r="O537"/>
      <c r="P537"/>
      <c r="Q537" s="121"/>
      <c r="R537"/>
      <c r="S537"/>
      <c r="T537" s="229"/>
      <c r="U537" s="229"/>
      <c r="V537" s="229"/>
      <c r="W537" s="229"/>
      <c r="X537" s="229"/>
      <c r="Y537" s="136"/>
      <c r="Z537" s="166"/>
      <c r="AA537" s="166"/>
      <c r="AB537" s="71"/>
      <c r="AC537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  <c r="BA537" s="39"/>
      <c r="BB537" s="39"/>
      <c r="BC537" s="39"/>
      <c r="BD537" s="39"/>
      <c r="BE537" s="39"/>
      <c r="BF537" s="39"/>
      <c r="BG537" s="39"/>
      <c r="BH537" s="39"/>
      <c r="BI537" s="39"/>
      <c r="BJ537" s="39"/>
      <c r="BK537" s="39"/>
      <c r="BL537" s="39"/>
      <c r="BM537" s="39"/>
      <c r="BN537" s="39"/>
      <c r="BO537" s="39"/>
      <c r="BP537" s="39"/>
      <c r="BQ537" s="39"/>
      <c r="BR537" s="39"/>
      <c r="BS537" s="39"/>
      <c r="BT537" s="39"/>
      <c r="BU537" s="39"/>
      <c r="BV537" s="39"/>
      <c r="BW537" s="39"/>
      <c r="BX537" s="39"/>
      <c r="BY537" s="39"/>
      <c r="BZ537" s="39"/>
      <c r="CA537" s="39"/>
      <c r="CB537" s="39"/>
      <c r="CC537" s="39"/>
      <c r="CD537" s="39"/>
      <c r="CE537" s="39"/>
      <c r="CF537" s="39"/>
      <c r="CG537" s="39"/>
      <c r="CH537" s="39"/>
      <c r="CI537" s="39"/>
      <c r="CJ537" s="39"/>
      <c r="CK537" s="39"/>
      <c r="CL537" s="39"/>
      <c r="CM537" s="39"/>
      <c r="CN537" s="39"/>
      <c r="CO537" s="39"/>
      <c r="CP537" s="39"/>
      <c r="CQ537" s="39"/>
      <c r="CR537" s="39"/>
      <c r="CS537" s="39"/>
      <c r="CT537" s="39"/>
      <c r="CU537" s="39"/>
      <c r="CV537" s="39"/>
      <c r="CW537" s="39"/>
      <c r="CX537" s="39"/>
      <c r="CY537" s="39"/>
      <c r="CZ537" s="39"/>
      <c r="DA537" s="39"/>
      <c r="DB537" s="39"/>
      <c r="DC537" s="39"/>
    </row>
    <row r="538" spans="1:107" s="92" customFormat="1" ht="39.950000000000003" customHeight="1" x14ac:dyDescent="0.25">
      <c r="A538"/>
      <c r="B538"/>
      <c r="C538"/>
      <c r="D538"/>
      <c r="E538"/>
      <c r="F538"/>
      <c r="G538"/>
      <c r="H538"/>
      <c r="I538" s="68"/>
      <c r="J538" s="71"/>
      <c r="K538"/>
      <c r="L538"/>
      <c r="M538"/>
      <c r="N538"/>
      <c r="O538"/>
      <c r="P538"/>
      <c r="Q538" s="121"/>
      <c r="R538"/>
      <c r="S538"/>
      <c r="T538" s="229"/>
      <c r="U538" s="229"/>
      <c r="V538" s="229"/>
      <c r="W538" s="229"/>
      <c r="X538" s="229"/>
      <c r="Y538" s="136"/>
      <c r="Z538" s="166"/>
      <c r="AA538" s="166"/>
      <c r="AB538" s="71"/>
      <c r="AC538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  <c r="BA538" s="39"/>
      <c r="BB538" s="39"/>
      <c r="BC538" s="39"/>
      <c r="BD538" s="39"/>
      <c r="BE538" s="39"/>
      <c r="BF538" s="39"/>
      <c r="BG538" s="39"/>
      <c r="BH538" s="39"/>
      <c r="BI538" s="39"/>
      <c r="BJ538" s="39"/>
      <c r="BK538" s="39"/>
      <c r="BL538" s="39"/>
      <c r="BM538" s="39"/>
      <c r="BN538" s="39"/>
      <c r="BO538" s="39"/>
      <c r="BP538" s="39"/>
      <c r="BQ538" s="39"/>
      <c r="BR538" s="39"/>
      <c r="BS538" s="39"/>
      <c r="BT538" s="39"/>
      <c r="BU538" s="39"/>
      <c r="BV538" s="39"/>
      <c r="BW538" s="39"/>
      <c r="BX538" s="39"/>
      <c r="BY538" s="39"/>
      <c r="BZ538" s="39"/>
      <c r="CA538" s="39"/>
      <c r="CB538" s="39"/>
      <c r="CC538" s="39"/>
      <c r="CD538" s="39"/>
      <c r="CE538" s="39"/>
      <c r="CF538" s="39"/>
      <c r="CG538" s="39"/>
      <c r="CH538" s="39"/>
      <c r="CI538" s="39"/>
      <c r="CJ538" s="39"/>
      <c r="CK538" s="39"/>
      <c r="CL538" s="39"/>
      <c r="CM538" s="39"/>
      <c r="CN538" s="39"/>
      <c r="CO538" s="39"/>
      <c r="CP538" s="39"/>
      <c r="CQ538" s="39"/>
      <c r="CR538" s="39"/>
      <c r="CS538" s="39"/>
      <c r="CT538" s="39"/>
      <c r="CU538" s="39"/>
      <c r="CV538" s="39"/>
      <c r="CW538" s="39"/>
      <c r="CX538" s="39"/>
      <c r="CY538" s="39"/>
      <c r="CZ538" s="39"/>
      <c r="DA538" s="39"/>
      <c r="DB538" s="39"/>
      <c r="DC538" s="39"/>
    </row>
    <row r="539" spans="1:107" s="92" customFormat="1" ht="39.950000000000003" customHeight="1" x14ac:dyDescent="0.25">
      <c r="A539"/>
      <c r="B539"/>
      <c r="C539"/>
      <c r="D539"/>
      <c r="E539"/>
      <c r="F539"/>
      <c r="G539"/>
      <c r="H539"/>
      <c r="I539" s="68"/>
      <c r="J539" s="71"/>
      <c r="K539"/>
      <c r="L539"/>
      <c r="M539"/>
      <c r="N539"/>
      <c r="O539"/>
      <c r="P539"/>
      <c r="Q539" s="121"/>
      <c r="R539"/>
      <c r="S539"/>
      <c r="T539" s="229"/>
      <c r="U539" s="229"/>
      <c r="V539" s="229"/>
      <c r="W539" s="229"/>
      <c r="X539" s="229"/>
      <c r="Y539" s="136"/>
      <c r="Z539" s="166"/>
      <c r="AA539" s="166"/>
      <c r="AB539" s="71"/>
      <c r="AC5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  <c r="BA539" s="39"/>
      <c r="BB539" s="39"/>
      <c r="BC539" s="39"/>
      <c r="BD539" s="39"/>
      <c r="BE539" s="39"/>
      <c r="BF539" s="39"/>
      <c r="BG539" s="39"/>
      <c r="BH539" s="39"/>
      <c r="BI539" s="39"/>
      <c r="BJ539" s="39"/>
      <c r="BK539" s="39"/>
      <c r="BL539" s="39"/>
      <c r="BM539" s="39"/>
      <c r="BN539" s="39"/>
      <c r="BO539" s="39"/>
      <c r="BP539" s="39"/>
      <c r="BQ539" s="39"/>
      <c r="BR539" s="39"/>
      <c r="BS539" s="39"/>
      <c r="BT539" s="39"/>
      <c r="BU539" s="39"/>
      <c r="BV539" s="39"/>
      <c r="BW539" s="39"/>
      <c r="BX539" s="39"/>
      <c r="BY539" s="39"/>
      <c r="BZ539" s="39"/>
      <c r="CA539" s="39"/>
      <c r="CB539" s="39"/>
      <c r="CC539" s="39"/>
      <c r="CD539" s="39"/>
      <c r="CE539" s="39"/>
      <c r="CF539" s="39"/>
      <c r="CG539" s="39"/>
      <c r="CH539" s="39"/>
      <c r="CI539" s="39"/>
      <c r="CJ539" s="39"/>
      <c r="CK539" s="39"/>
      <c r="CL539" s="39"/>
      <c r="CM539" s="39"/>
      <c r="CN539" s="39"/>
      <c r="CO539" s="39"/>
      <c r="CP539" s="39"/>
      <c r="CQ539" s="39"/>
      <c r="CR539" s="39"/>
      <c r="CS539" s="39"/>
      <c r="CT539" s="39"/>
      <c r="CU539" s="39"/>
      <c r="CV539" s="39"/>
      <c r="CW539" s="39"/>
      <c r="CX539" s="39"/>
      <c r="CY539" s="39"/>
      <c r="CZ539" s="39"/>
      <c r="DA539" s="39"/>
      <c r="DB539" s="39"/>
      <c r="DC539" s="39"/>
    </row>
    <row r="540" spans="1:107" s="92" customFormat="1" ht="39.950000000000003" customHeight="1" x14ac:dyDescent="0.25">
      <c r="A540"/>
      <c r="B540"/>
      <c r="C540"/>
      <c r="D540"/>
      <c r="E540"/>
      <c r="F540"/>
      <c r="G540"/>
      <c r="H540"/>
      <c r="I540" s="68"/>
      <c r="J540" s="71"/>
      <c r="K540"/>
      <c r="L540"/>
      <c r="M540"/>
      <c r="N540"/>
      <c r="O540"/>
      <c r="P540"/>
      <c r="Q540" s="121"/>
      <c r="R540"/>
      <c r="S540"/>
      <c r="T540" s="229"/>
      <c r="U540" s="229"/>
      <c r="V540" s="229"/>
      <c r="W540" s="229"/>
      <c r="X540" s="229"/>
      <c r="Y540" s="136"/>
      <c r="Z540" s="166"/>
      <c r="AA540" s="166"/>
      <c r="AB540" s="71"/>
      <c r="AC540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  <c r="BA540" s="39"/>
      <c r="BB540" s="39"/>
      <c r="BC540" s="39"/>
      <c r="BD540" s="39"/>
      <c r="BE540" s="39"/>
      <c r="BF540" s="39"/>
      <c r="BG540" s="39"/>
      <c r="BH540" s="39"/>
      <c r="BI540" s="39"/>
      <c r="BJ540" s="39"/>
      <c r="BK540" s="39"/>
      <c r="BL540" s="39"/>
      <c r="BM540" s="39"/>
      <c r="BN540" s="39"/>
      <c r="BO540" s="39"/>
      <c r="BP540" s="39"/>
      <c r="BQ540" s="39"/>
      <c r="BR540" s="39"/>
      <c r="BS540" s="39"/>
      <c r="BT540" s="39"/>
      <c r="BU540" s="39"/>
      <c r="BV540" s="39"/>
      <c r="BW540" s="39"/>
      <c r="BX540" s="39"/>
      <c r="BY540" s="39"/>
      <c r="BZ540" s="39"/>
      <c r="CA540" s="39"/>
      <c r="CB540" s="39"/>
      <c r="CC540" s="39"/>
      <c r="CD540" s="39"/>
      <c r="CE540" s="39"/>
      <c r="CF540" s="39"/>
      <c r="CG540" s="39"/>
      <c r="CH540" s="39"/>
      <c r="CI540" s="39"/>
      <c r="CJ540" s="39"/>
      <c r="CK540" s="39"/>
      <c r="CL540" s="39"/>
      <c r="CM540" s="39"/>
      <c r="CN540" s="39"/>
      <c r="CO540" s="39"/>
      <c r="CP540" s="39"/>
      <c r="CQ540" s="39"/>
      <c r="CR540" s="39"/>
      <c r="CS540" s="39"/>
      <c r="CT540" s="39"/>
      <c r="CU540" s="39"/>
      <c r="CV540" s="39"/>
      <c r="CW540" s="39"/>
      <c r="CX540" s="39"/>
      <c r="CY540" s="39"/>
      <c r="CZ540" s="39"/>
      <c r="DA540" s="39"/>
      <c r="DB540" s="39"/>
      <c r="DC540" s="39"/>
    </row>
    <row r="541" spans="1:107" s="92" customFormat="1" ht="39.950000000000003" customHeight="1" x14ac:dyDescent="0.25">
      <c r="A541"/>
      <c r="B541"/>
      <c r="C541"/>
      <c r="D541"/>
      <c r="E541"/>
      <c r="F541"/>
      <c r="G541"/>
      <c r="H541"/>
      <c r="I541" s="68"/>
      <c r="J541" s="71"/>
      <c r="K541"/>
      <c r="L541"/>
      <c r="M541"/>
      <c r="N541"/>
      <c r="O541"/>
      <c r="P541"/>
      <c r="Q541" s="121"/>
      <c r="R541"/>
      <c r="S541"/>
      <c r="T541" s="229"/>
      <c r="U541" s="229"/>
      <c r="V541" s="229"/>
      <c r="W541" s="229"/>
      <c r="X541" s="229"/>
      <c r="Y541" s="136"/>
      <c r="Z541" s="166"/>
      <c r="AA541" s="166"/>
      <c r="AB541" s="71"/>
      <c r="AC541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  <c r="BA541" s="39"/>
      <c r="BB541" s="39"/>
      <c r="BC541" s="39"/>
      <c r="BD541" s="39"/>
      <c r="BE541" s="39"/>
      <c r="BF541" s="39"/>
      <c r="BG541" s="39"/>
      <c r="BH541" s="39"/>
      <c r="BI541" s="39"/>
      <c r="BJ541" s="39"/>
      <c r="BK541" s="39"/>
      <c r="BL541" s="39"/>
      <c r="BM541" s="39"/>
      <c r="BN541" s="39"/>
      <c r="BO541" s="39"/>
      <c r="BP541" s="39"/>
      <c r="BQ541" s="39"/>
      <c r="BR541" s="39"/>
      <c r="BS541" s="39"/>
      <c r="BT541" s="39"/>
      <c r="BU541" s="39"/>
      <c r="BV541" s="39"/>
      <c r="BW541" s="39"/>
      <c r="BX541" s="39"/>
      <c r="BY541" s="39"/>
      <c r="BZ541" s="39"/>
      <c r="CA541" s="39"/>
      <c r="CB541" s="39"/>
      <c r="CC541" s="39"/>
      <c r="CD541" s="39"/>
      <c r="CE541" s="39"/>
      <c r="CF541" s="39"/>
      <c r="CG541" s="39"/>
      <c r="CH541" s="39"/>
      <c r="CI541" s="39"/>
      <c r="CJ541" s="39"/>
      <c r="CK541" s="39"/>
      <c r="CL541" s="39"/>
      <c r="CM541" s="39"/>
      <c r="CN541" s="39"/>
      <c r="CO541" s="39"/>
      <c r="CP541" s="39"/>
      <c r="CQ541" s="39"/>
      <c r="CR541" s="39"/>
      <c r="CS541" s="39"/>
      <c r="CT541" s="39"/>
      <c r="CU541" s="39"/>
      <c r="CV541" s="39"/>
      <c r="CW541" s="39"/>
      <c r="CX541" s="39"/>
      <c r="CY541" s="39"/>
      <c r="CZ541" s="39"/>
      <c r="DA541" s="39"/>
      <c r="DB541" s="39"/>
      <c r="DC541" s="39"/>
    </row>
    <row r="542" spans="1:107" s="92" customFormat="1" ht="39.950000000000003" customHeight="1" x14ac:dyDescent="0.25">
      <c r="A542"/>
      <c r="B542"/>
      <c r="C542"/>
      <c r="D542"/>
      <c r="E542"/>
      <c r="F542"/>
      <c r="G542"/>
      <c r="H542"/>
      <c r="I542" s="68"/>
      <c r="J542" s="71"/>
      <c r="K542"/>
      <c r="L542"/>
      <c r="M542"/>
      <c r="N542"/>
      <c r="O542"/>
      <c r="P542"/>
      <c r="Q542" s="121"/>
      <c r="R542"/>
      <c r="S542"/>
      <c r="T542" s="229"/>
      <c r="U542" s="229"/>
      <c r="V542" s="229"/>
      <c r="W542" s="229"/>
      <c r="X542" s="229"/>
      <c r="Y542" s="136"/>
      <c r="Z542" s="166"/>
      <c r="AA542" s="166"/>
      <c r="AB542" s="71"/>
      <c r="AC542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  <c r="BA542" s="39"/>
      <c r="BB542" s="39"/>
      <c r="BC542" s="39"/>
      <c r="BD542" s="39"/>
      <c r="BE542" s="39"/>
      <c r="BF542" s="39"/>
      <c r="BG542" s="39"/>
      <c r="BH542" s="39"/>
      <c r="BI542" s="39"/>
      <c r="BJ542" s="39"/>
      <c r="BK542" s="39"/>
      <c r="BL542" s="39"/>
      <c r="BM542" s="39"/>
      <c r="BN542" s="39"/>
      <c r="BO542" s="39"/>
      <c r="BP542" s="39"/>
      <c r="BQ542" s="39"/>
      <c r="BR542" s="39"/>
      <c r="BS542" s="39"/>
      <c r="BT542" s="39"/>
      <c r="BU542" s="39"/>
      <c r="BV542" s="39"/>
      <c r="BW542" s="39"/>
      <c r="BX542" s="39"/>
      <c r="BY542" s="39"/>
      <c r="BZ542" s="39"/>
      <c r="CA542" s="39"/>
      <c r="CB542" s="39"/>
      <c r="CC542" s="39"/>
      <c r="CD542" s="39"/>
      <c r="CE542" s="39"/>
      <c r="CF542" s="39"/>
      <c r="CG542" s="39"/>
      <c r="CH542" s="39"/>
      <c r="CI542" s="39"/>
      <c r="CJ542" s="39"/>
      <c r="CK542" s="39"/>
      <c r="CL542" s="39"/>
      <c r="CM542" s="39"/>
      <c r="CN542" s="39"/>
      <c r="CO542" s="39"/>
      <c r="CP542" s="39"/>
      <c r="CQ542" s="39"/>
      <c r="CR542" s="39"/>
      <c r="CS542" s="39"/>
      <c r="CT542" s="39"/>
      <c r="CU542" s="39"/>
      <c r="CV542" s="39"/>
      <c r="CW542" s="39"/>
      <c r="CX542" s="39"/>
      <c r="CY542" s="39"/>
      <c r="CZ542" s="39"/>
      <c r="DA542" s="39"/>
      <c r="DB542" s="39"/>
      <c r="DC542" s="39"/>
    </row>
    <row r="543" spans="1:107" s="92" customFormat="1" ht="39.950000000000003" customHeight="1" x14ac:dyDescent="0.25">
      <c r="A543"/>
      <c r="B543"/>
      <c r="C543"/>
      <c r="D543"/>
      <c r="E543"/>
      <c r="F543"/>
      <c r="G543"/>
      <c r="H543"/>
      <c r="I543" s="68"/>
      <c r="J543" s="71"/>
      <c r="K543"/>
      <c r="L543"/>
      <c r="M543"/>
      <c r="N543"/>
      <c r="O543"/>
      <c r="P543"/>
      <c r="Q543" s="121"/>
      <c r="R543"/>
      <c r="S543"/>
      <c r="T543" s="229"/>
      <c r="U543" s="229"/>
      <c r="V543" s="229"/>
      <c r="W543" s="229"/>
      <c r="X543" s="229"/>
      <c r="Y543" s="136"/>
      <c r="Z543" s="166"/>
      <c r="AA543" s="166"/>
      <c r="AB543" s="71"/>
      <c r="AC543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  <c r="BA543" s="39"/>
      <c r="BB543" s="39"/>
      <c r="BC543" s="39"/>
      <c r="BD543" s="39"/>
      <c r="BE543" s="39"/>
      <c r="BF543" s="39"/>
      <c r="BG543" s="39"/>
      <c r="BH543" s="39"/>
      <c r="BI543" s="39"/>
      <c r="BJ543" s="39"/>
      <c r="BK543" s="39"/>
      <c r="BL543" s="39"/>
      <c r="BM543" s="39"/>
      <c r="BN543" s="39"/>
      <c r="BO543" s="39"/>
      <c r="BP543" s="39"/>
      <c r="BQ543" s="39"/>
      <c r="BR543" s="39"/>
      <c r="BS543" s="39"/>
      <c r="BT543" s="39"/>
      <c r="BU543" s="39"/>
      <c r="BV543" s="39"/>
      <c r="BW543" s="39"/>
      <c r="BX543" s="39"/>
      <c r="BY543" s="39"/>
      <c r="BZ543" s="39"/>
      <c r="CA543" s="39"/>
      <c r="CB543" s="39"/>
      <c r="CC543" s="39"/>
      <c r="CD543" s="39"/>
      <c r="CE543" s="39"/>
      <c r="CF543" s="39"/>
      <c r="CG543" s="39"/>
      <c r="CH543" s="39"/>
      <c r="CI543" s="39"/>
      <c r="CJ543" s="39"/>
      <c r="CK543" s="39"/>
      <c r="CL543" s="39"/>
      <c r="CM543" s="39"/>
      <c r="CN543" s="39"/>
      <c r="CO543" s="39"/>
      <c r="CP543" s="39"/>
      <c r="CQ543" s="39"/>
      <c r="CR543" s="39"/>
      <c r="CS543" s="39"/>
      <c r="CT543" s="39"/>
      <c r="CU543" s="39"/>
      <c r="CV543" s="39"/>
      <c r="CW543" s="39"/>
      <c r="CX543" s="39"/>
      <c r="CY543" s="39"/>
      <c r="CZ543" s="39"/>
      <c r="DA543" s="39"/>
      <c r="DB543" s="39"/>
      <c r="DC543" s="39"/>
    </row>
    <row r="544" spans="1:107" s="92" customFormat="1" ht="39.950000000000003" customHeight="1" x14ac:dyDescent="0.25">
      <c r="A544"/>
      <c r="B544"/>
      <c r="C544"/>
      <c r="D544"/>
      <c r="E544"/>
      <c r="F544"/>
      <c r="G544"/>
      <c r="H544"/>
      <c r="I544" s="68"/>
      <c r="J544" s="71"/>
      <c r="K544"/>
      <c r="L544"/>
      <c r="M544"/>
      <c r="N544"/>
      <c r="O544"/>
      <c r="P544"/>
      <c r="Q544" s="121"/>
      <c r="R544"/>
      <c r="S544"/>
      <c r="T544" s="229"/>
      <c r="U544" s="229"/>
      <c r="V544" s="229"/>
      <c r="W544" s="229"/>
      <c r="X544" s="229"/>
      <c r="Y544" s="136"/>
      <c r="Z544" s="166"/>
      <c r="AA544" s="166"/>
      <c r="AB544" s="71"/>
      <c r="AC544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  <c r="BA544" s="39"/>
      <c r="BB544" s="39"/>
      <c r="BC544" s="39"/>
      <c r="BD544" s="39"/>
      <c r="BE544" s="39"/>
      <c r="BF544" s="39"/>
      <c r="BG544" s="39"/>
      <c r="BH544" s="39"/>
      <c r="BI544" s="39"/>
      <c r="BJ544" s="39"/>
      <c r="BK544" s="39"/>
      <c r="BL544" s="39"/>
      <c r="BM544" s="39"/>
      <c r="BN544" s="39"/>
      <c r="BO544" s="39"/>
      <c r="BP544" s="39"/>
      <c r="BQ544" s="39"/>
      <c r="BR544" s="39"/>
      <c r="BS544" s="39"/>
      <c r="BT544" s="39"/>
      <c r="BU544" s="39"/>
      <c r="BV544" s="39"/>
      <c r="BW544" s="39"/>
      <c r="BX544" s="39"/>
      <c r="BY544" s="39"/>
      <c r="BZ544" s="39"/>
      <c r="CA544" s="39"/>
      <c r="CB544" s="39"/>
      <c r="CC544" s="39"/>
      <c r="CD544" s="39"/>
      <c r="CE544" s="39"/>
      <c r="CF544" s="39"/>
      <c r="CG544" s="39"/>
      <c r="CH544" s="39"/>
      <c r="CI544" s="39"/>
      <c r="CJ544" s="39"/>
      <c r="CK544" s="39"/>
      <c r="CL544" s="39"/>
      <c r="CM544" s="39"/>
      <c r="CN544" s="39"/>
      <c r="CO544" s="39"/>
      <c r="CP544" s="39"/>
      <c r="CQ544" s="39"/>
      <c r="CR544" s="39"/>
      <c r="CS544" s="39"/>
      <c r="CT544" s="39"/>
      <c r="CU544" s="39"/>
      <c r="CV544" s="39"/>
      <c r="CW544" s="39"/>
      <c r="CX544" s="39"/>
      <c r="CY544" s="39"/>
      <c r="CZ544" s="39"/>
      <c r="DA544" s="39"/>
      <c r="DB544" s="39"/>
      <c r="DC544" s="39"/>
    </row>
    <row r="545" spans="1:107" s="92" customFormat="1" ht="39.950000000000003" customHeight="1" x14ac:dyDescent="0.25">
      <c r="A545"/>
      <c r="B545"/>
      <c r="C545"/>
      <c r="D545"/>
      <c r="E545"/>
      <c r="F545"/>
      <c r="G545"/>
      <c r="H545"/>
      <c r="I545" s="68"/>
      <c r="J545" s="71"/>
      <c r="K545"/>
      <c r="L545"/>
      <c r="M545"/>
      <c r="N545"/>
      <c r="O545"/>
      <c r="P545"/>
      <c r="Q545" s="121"/>
      <c r="R545"/>
      <c r="S545"/>
      <c r="T545" s="229"/>
      <c r="U545" s="229"/>
      <c r="V545" s="229"/>
      <c r="W545" s="229"/>
      <c r="X545" s="229"/>
      <c r="Y545" s="136"/>
      <c r="Z545" s="166"/>
      <c r="AA545" s="166"/>
      <c r="AB545" s="71"/>
      <c r="AC545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  <c r="BA545" s="39"/>
      <c r="BB545" s="39"/>
      <c r="BC545" s="39"/>
      <c r="BD545" s="39"/>
      <c r="BE545" s="39"/>
      <c r="BF545" s="39"/>
      <c r="BG545" s="39"/>
      <c r="BH545" s="39"/>
      <c r="BI545" s="39"/>
      <c r="BJ545" s="39"/>
      <c r="BK545" s="39"/>
      <c r="BL545" s="39"/>
      <c r="BM545" s="39"/>
      <c r="BN545" s="39"/>
      <c r="BO545" s="39"/>
      <c r="BP545" s="39"/>
      <c r="BQ545" s="39"/>
      <c r="BR545" s="39"/>
      <c r="BS545" s="39"/>
      <c r="BT545" s="39"/>
      <c r="BU545" s="39"/>
      <c r="BV545" s="39"/>
      <c r="BW545" s="39"/>
      <c r="BX545" s="39"/>
      <c r="BY545" s="39"/>
      <c r="BZ545" s="39"/>
      <c r="CA545" s="39"/>
      <c r="CB545" s="39"/>
      <c r="CC545" s="39"/>
      <c r="CD545" s="39"/>
      <c r="CE545" s="39"/>
      <c r="CF545" s="39"/>
      <c r="CG545" s="39"/>
      <c r="CH545" s="39"/>
      <c r="CI545" s="39"/>
      <c r="CJ545" s="39"/>
      <c r="CK545" s="39"/>
      <c r="CL545" s="39"/>
      <c r="CM545" s="39"/>
      <c r="CN545" s="39"/>
      <c r="CO545" s="39"/>
      <c r="CP545" s="39"/>
      <c r="CQ545" s="39"/>
      <c r="CR545" s="39"/>
      <c r="CS545" s="39"/>
      <c r="CT545" s="39"/>
      <c r="CU545" s="39"/>
      <c r="CV545" s="39"/>
      <c r="CW545" s="39"/>
      <c r="CX545" s="39"/>
      <c r="CY545" s="39"/>
      <c r="CZ545" s="39"/>
      <c r="DA545" s="39"/>
      <c r="DB545" s="39"/>
      <c r="DC545" s="39"/>
    </row>
    <row r="546" spans="1:107" s="92" customFormat="1" ht="39.950000000000003" customHeight="1" x14ac:dyDescent="0.25">
      <c r="A546"/>
      <c r="B546"/>
      <c r="C546"/>
      <c r="D546"/>
      <c r="E546"/>
      <c r="F546"/>
      <c r="G546"/>
      <c r="H546"/>
      <c r="I546" s="68"/>
      <c r="J546" s="71"/>
      <c r="K546"/>
      <c r="L546"/>
      <c r="M546"/>
      <c r="N546"/>
      <c r="O546"/>
      <c r="P546"/>
      <c r="Q546" s="121"/>
      <c r="R546"/>
      <c r="S546"/>
      <c r="T546" s="229"/>
      <c r="U546" s="229"/>
      <c r="V546" s="229"/>
      <c r="W546" s="229"/>
      <c r="X546" s="229"/>
      <c r="Y546" s="136"/>
      <c r="Z546" s="166"/>
      <c r="AA546" s="166"/>
      <c r="AB546" s="71"/>
      <c r="AC546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  <c r="BA546" s="39"/>
      <c r="BB546" s="39"/>
      <c r="BC546" s="39"/>
      <c r="BD546" s="39"/>
      <c r="BE546" s="39"/>
      <c r="BF546" s="39"/>
      <c r="BG546" s="39"/>
      <c r="BH546" s="39"/>
      <c r="BI546" s="39"/>
      <c r="BJ546" s="39"/>
      <c r="BK546" s="39"/>
      <c r="BL546" s="39"/>
      <c r="BM546" s="39"/>
      <c r="BN546" s="39"/>
      <c r="BO546" s="39"/>
      <c r="BP546" s="39"/>
      <c r="BQ546" s="39"/>
      <c r="BR546" s="39"/>
      <c r="BS546" s="39"/>
      <c r="BT546" s="39"/>
      <c r="BU546" s="39"/>
      <c r="BV546" s="39"/>
      <c r="BW546" s="39"/>
      <c r="BX546" s="39"/>
      <c r="BY546" s="39"/>
      <c r="BZ546" s="39"/>
      <c r="CA546" s="39"/>
      <c r="CB546" s="39"/>
      <c r="CC546" s="39"/>
      <c r="CD546" s="39"/>
      <c r="CE546" s="39"/>
      <c r="CF546" s="39"/>
      <c r="CG546" s="39"/>
      <c r="CH546" s="39"/>
      <c r="CI546" s="39"/>
      <c r="CJ546" s="39"/>
      <c r="CK546" s="39"/>
      <c r="CL546" s="39"/>
      <c r="CM546" s="39"/>
      <c r="CN546" s="39"/>
      <c r="CO546" s="39"/>
      <c r="CP546" s="39"/>
      <c r="CQ546" s="39"/>
      <c r="CR546" s="39"/>
      <c r="CS546" s="39"/>
      <c r="CT546" s="39"/>
      <c r="CU546" s="39"/>
      <c r="CV546" s="39"/>
      <c r="CW546" s="39"/>
      <c r="CX546" s="39"/>
      <c r="CY546" s="39"/>
      <c r="CZ546" s="39"/>
      <c r="DA546" s="39"/>
      <c r="DB546" s="39"/>
      <c r="DC546" s="39"/>
    </row>
    <row r="547" spans="1:107" s="92" customFormat="1" ht="39.950000000000003" customHeight="1" x14ac:dyDescent="0.25">
      <c r="A547"/>
      <c r="B547"/>
      <c r="C547"/>
      <c r="D547"/>
      <c r="E547"/>
      <c r="F547"/>
      <c r="G547"/>
      <c r="H547"/>
      <c r="I547" s="68"/>
      <c r="J547" s="71"/>
      <c r="K547"/>
      <c r="L547"/>
      <c r="M547"/>
      <c r="N547"/>
      <c r="O547"/>
      <c r="P547"/>
      <c r="Q547" s="121"/>
      <c r="R547"/>
      <c r="S547"/>
      <c r="T547" s="229"/>
      <c r="U547" s="229"/>
      <c r="V547" s="229"/>
      <c r="W547" s="229"/>
      <c r="X547" s="229"/>
      <c r="Y547" s="136"/>
      <c r="Z547" s="166"/>
      <c r="AA547" s="166"/>
      <c r="AB547" s="71"/>
      <c r="AC547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  <c r="BA547" s="39"/>
      <c r="BB547" s="39"/>
      <c r="BC547" s="39"/>
      <c r="BD547" s="39"/>
      <c r="BE547" s="39"/>
      <c r="BF547" s="39"/>
      <c r="BG547" s="39"/>
      <c r="BH547" s="39"/>
      <c r="BI547" s="39"/>
      <c r="BJ547" s="39"/>
      <c r="BK547" s="39"/>
      <c r="BL547" s="39"/>
      <c r="BM547" s="39"/>
      <c r="BN547" s="39"/>
      <c r="BO547" s="39"/>
      <c r="BP547" s="39"/>
      <c r="BQ547" s="39"/>
      <c r="BR547" s="39"/>
      <c r="BS547" s="39"/>
      <c r="BT547" s="39"/>
      <c r="BU547" s="39"/>
      <c r="BV547" s="39"/>
      <c r="BW547" s="39"/>
      <c r="BX547" s="39"/>
      <c r="BY547" s="39"/>
      <c r="BZ547" s="39"/>
      <c r="CA547" s="39"/>
      <c r="CB547" s="39"/>
      <c r="CC547" s="39"/>
      <c r="CD547" s="39"/>
      <c r="CE547" s="39"/>
      <c r="CF547" s="39"/>
      <c r="CG547" s="39"/>
      <c r="CH547" s="39"/>
      <c r="CI547" s="39"/>
      <c r="CJ547" s="39"/>
      <c r="CK547" s="39"/>
      <c r="CL547" s="39"/>
      <c r="CM547" s="39"/>
      <c r="CN547" s="39"/>
      <c r="CO547" s="39"/>
      <c r="CP547" s="39"/>
      <c r="CQ547" s="39"/>
      <c r="CR547" s="39"/>
      <c r="CS547" s="39"/>
      <c r="CT547" s="39"/>
      <c r="CU547" s="39"/>
      <c r="CV547" s="39"/>
      <c r="CW547" s="39"/>
      <c r="CX547" s="39"/>
      <c r="CY547" s="39"/>
      <c r="CZ547" s="39"/>
      <c r="DA547" s="39"/>
      <c r="DB547" s="39"/>
      <c r="DC547" s="39"/>
    </row>
    <row r="548" spans="1:107" s="92" customFormat="1" ht="39.950000000000003" customHeight="1" x14ac:dyDescent="0.25">
      <c r="A548"/>
      <c r="B548"/>
      <c r="C548"/>
      <c r="D548"/>
      <c r="E548"/>
      <c r="F548"/>
      <c r="G548"/>
      <c r="H548"/>
      <c r="I548" s="68"/>
      <c r="J548" s="71"/>
      <c r="K548"/>
      <c r="L548"/>
      <c r="M548"/>
      <c r="N548"/>
      <c r="O548"/>
      <c r="P548"/>
      <c r="Q548" s="121"/>
      <c r="R548"/>
      <c r="S548"/>
      <c r="T548" s="229"/>
      <c r="U548" s="229"/>
      <c r="V548" s="229"/>
      <c r="W548" s="229"/>
      <c r="X548" s="229"/>
      <c r="Y548" s="136"/>
      <c r="Z548" s="166"/>
      <c r="AA548" s="166"/>
      <c r="AB548" s="71"/>
      <c r="AC548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  <c r="BA548" s="39"/>
      <c r="BB548" s="39"/>
      <c r="BC548" s="39"/>
      <c r="BD548" s="39"/>
      <c r="BE548" s="39"/>
      <c r="BF548" s="39"/>
      <c r="BG548" s="39"/>
      <c r="BH548" s="39"/>
      <c r="BI548" s="39"/>
      <c r="BJ548" s="39"/>
      <c r="BK548" s="39"/>
      <c r="BL548" s="39"/>
      <c r="BM548" s="39"/>
      <c r="BN548" s="39"/>
      <c r="BO548" s="39"/>
      <c r="BP548" s="39"/>
      <c r="BQ548" s="39"/>
      <c r="BR548" s="39"/>
      <c r="BS548" s="39"/>
      <c r="BT548" s="39"/>
      <c r="BU548" s="39"/>
      <c r="BV548" s="39"/>
      <c r="BW548" s="39"/>
      <c r="BX548" s="39"/>
      <c r="BY548" s="39"/>
      <c r="BZ548" s="39"/>
      <c r="CA548" s="39"/>
      <c r="CB548" s="39"/>
      <c r="CC548" s="39"/>
      <c r="CD548" s="39"/>
      <c r="CE548" s="39"/>
      <c r="CF548" s="39"/>
      <c r="CG548" s="39"/>
      <c r="CH548" s="39"/>
      <c r="CI548" s="39"/>
      <c r="CJ548" s="39"/>
      <c r="CK548" s="39"/>
      <c r="CL548" s="39"/>
      <c r="CM548" s="39"/>
      <c r="CN548" s="39"/>
      <c r="CO548" s="39"/>
      <c r="CP548" s="39"/>
      <c r="CQ548" s="39"/>
      <c r="CR548" s="39"/>
      <c r="CS548" s="39"/>
      <c r="CT548" s="39"/>
      <c r="CU548" s="39"/>
      <c r="CV548" s="39"/>
      <c r="CW548" s="39"/>
      <c r="CX548" s="39"/>
      <c r="CY548" s="39"/>
      <c r="CZ548" s="39"/>
      <c r="DA548" s="39"/>
      <c r="DB548" s="39"/>
      <c r="DC548" s="39"/>
    </row>
    <row r="549" spans="1:107" s="92" customFormat="1" ht="39.950000000000003" customHeight="1" x14ac:dyDescent="0.25">
      <c r="A549"/>
      <c r="B549"/>
      <c r="C549"/>
      <c r="D549"/>
      <c r="E549"/>
      <c r="F549"/>
      <c r="G549"/>
      <c r="H549"/>
      <c r="I549" s="68"/>
      <c r="J549" s="71"/>
      <c r="K549"/>
      <c r="L549"/>
      <c r="M549"/>
      <c r="N549"/>
      <c r="O549"/>
      <c r="P549"/>
      <c r="Q549" s="121"/>
      <c r="R549"/>
      <c r="S549"/>
      <c r="T549" s="229"/>
      <c r="U549" s="229"/>
      <c r="V549" s="229"/>
      <c r="W549" s="229"/>
      <c r="X549" s="229"/>
      <c r="Y549" s="136"/>
      <c r="Z549" s="166"/>
      <c r="AA549" s="166"/>
      <c r="AB549" s="71"/>
      <c r="AC54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  <c r="BA549" s="39"/>
      <c r="BB549" s="39"/>
      <c r="BC549" s="39"/>
      <c r="BD549" s="39"/>
      <c r="BE549" s="39"/>
      <c r="BF549" s="39"/>
      <c r="BG549" s="39"/>
      <c r="BH549" s="39"/>
      <c r="BI549" s="39"/>
      <c r="BJ549" s="39"/>
      <c r="BK549" s="39"/>
      <c r="BL549" s="39"/>
      <c r="BM549" s="39"/>
      <c r="BN549" s="39"/>
      <c r="BO549" s="39"/>
      <c r="BP549" s="39"/>
      <c r="BQ549" s="39"/>
      <c r="BR549" s="39"/>
      <c r="BS549" s="39"/>
      <c r="BT549" s="39"/>
      <c r="BU549" s="39"/>
      <c r="BV549" s="39"/>
      <c r="BW549" s="39"/>
      <c r="BX549" s="39"/>
      <c r="BY549" s="39"/>
      <c r="BZ549" s="39"/>
      <c r="CA549" s="39"/>
      <c r="CB549" s="39"/>
      <c r="CC549" s="39"/>
      <c r="CD549" s="39"/>
      <c r="CE549" s="39"/>
      <c r="CF549" s="39"/>
      <c r="CG549" s="39"/>
      <c r="CH549" s="39"/>
      <c r="CI549" s="39"/>
      <c r="CJ549" s="39"/>
      <c r="CK549" s="39"/>
      <c r="CL549" s="39"/>
      <c r="CM549" s="39"/>
      <c r="CN549" s="39"/>
      <c r="CO549" s="39"/>
      <c r="CP549" s="39"/>
      <c r="CQ549" s="39"/>
      <c r="CR549" s="39"/>
      <c r="CS549" s="39"/>
      <c r="CT549" s="39"/>
      <c r="CU549" s="39"/>
      <c r="CV549" s="39"/>
      <c r="CW549" s="39"/>
      <c r="CX549" s="39"/>
      <c r="CY549" s="39"/>
      <c r="CZ549" s="39"/>
      <c r="DA549" s="39"/>
      <c r="DB549" s="39"/>
      <c r="DC549" s="39"/>
    </row>
    <row r="550" spans="1:107" s="92" customFormat="1" ht="39.950000000000003" customHeight="1" x14ac:dyDescent="0.25">
      <c r="A550"/>
      <c r="B550"/>
      <c r="C550"/>
      <c r="D550"/>
      <c r="E550"/>
      <c r="F550"/>
      <c r="G550"/>
      <c r="H550"/>
      <c r="I550" s="68"/>
      <c r="J550" s="71"/>
      <c r="K550"/>
      <c r="L550"/>
      <c r="M550"/>
      <c r="N550"/>
      <c r="O550"/>
      <c r="P550"/>
      <c r="Q550" s="121"/>
      <c r="R550"/>
      <c r="S550"/>
      <c r="T550" s="229"/>
      <c r="U550" s="229"/>
      <c r="V550" s="229"/>
      <c r="W550" s="229"/>
      <c r="X550" s="229"/>
      <c r="Y550" s="136"/>
      <c r="Z550" s="166"/>
      <c r="AA550" s="166"/>
      <c r="AB550" s="71"/>
      <c r="AC550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  <c r="BA550" s="39"/>
      <c r="BB550" s="39"/>
      <c r="BC550" s="39"/>
      <c r="BD550" s="39"/>
      <c r="BE550" s="39"/>
      <c r="BF550" s="39"/>
      <c r="BG550" s="39"/>
      <c r="BH550" s="39"/>
      <c r="BI550" s="39"/>
      <c r="BJ550" s="39"/>
      <c r="BK550" s="39"/>
      <c r="BL550" s="39"/>
      <c r="BM550" s="39"/>
      <c r="BN550" s="39"/>
      <c r="BO550" s="39"/>
      <c r="BP550" s="39"/>
      <c r="BQ550" s="39"/>
      <c r="BR550" s="39"/>
      <c r="BS550" s="39"/>
      <c r="BT550" s="39"/>
      <c r="BU550" s="39"/>
      <c r="BV550" s="39"/>
      <c r="BW550" s="39"/>
      <c r="BX550" s="39"/>
      <c r="BY550" s="39"/>
      <c r="BZ550" s="39"/>
      <c r="CA550" s="39"/>
      <c r="CB550" s="39"/>
      <c r="CC550" s="39"/>
      <c r="CD550" s="39"/>
      <c r="CE550" s="39"/>
      <c r="CF550" s="39"/>
      <c r="CG550" s="39"/>
      <c r="CH550" s="39"/>
      <c r="CI550" s="39"/>
      <c r="CJ550" s="39"/>
      <c r="CK550" s="39"/>
      <c r="CL550" s="39"/>
      <c r="CM550" s="39"/>
      <c r="CN550" s="39"/>
      <c r="CO550" s="39"/>
      <c r="CP550" s="39"/>
      <c r="CQ550" s="39"/>
      <c r="CR550" s="39"/>
      <c r="CS550" s="39"/>
      <c r="CT550" s="39"/>
      <c r="CU550" s="39"/>
      <c r="CV550" s="39"/>
      <c r="CW550" s="39"/>
      <c r="CX550" s="39"/>
      <c r="CY550" s="39"/>
      <c r="CZ550" s="39"/>
      <c r="DA550" s="39"/>
      <c r="DB550" s="39"/>
      <c r="DC550" s="39"/>
    </row>
    <row r="551" spans="1:107" s="92" customFormat="1" ht="39.950000000000003" customHeight="1" x14ac:dyDescent="0.25">
      <c r="A551"/>
      <c r="B551"/>
      <c r="C551"/>
      <c r="D551"/>
      <c r="E551"/>
      <c r="F551"/>
      <c r="G551"/>
      <c r="H551"/>
      <c r="I551" s="68"/>
      <c r="J551" s="71"/>
      <c r="K551"/>
      <c r="L551"/>
      <c r="M551"/>
      <c r="N551"/>
      <c r="O551"/>
      <c r="P551"/>
      <c r="Q551" s="121"/>
      <c r="R551"/>
      <c r="S551"/>
      <c r="T551" s="229"/>
      <c r="U551" s="229"/>
      <c r="V551" s="229"/>
      <c r="W551" s="229"/>
      <c r="X551" s="229"/>
      <c r="Y551" s="136"/>
      <c r="Z551" s="166"/>
      <c r="AA551" s="166"/>
      <c r="AB551" s="71"/>
      <c r="AC551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  <c r="BA551" s="39"/>
      <c r="BB551" s="39"/>
      <c r="BC551" s="39"/>
      <c r="BD551" s="39"/>
      <c r="BE551" s="39"/>
      <c r="BF551" s="39"/>
      <c r="BG551" s="39"/>
      <c r="BH551" s="39"/>
      <c r="BI551" s="39"/>
      <c r="BJ551" s="39"/>
      <c r="BK551" s="39"/>
      <c r="BL551" s="39"/>
      <c r="BM551" s="39"/>
      <c r="BN551" s="39"/>
      <c r="BO551" s="39"/>
      <c r="BP551" s="39"/>
      <c r="BQ551" s="39"/>
      <c r="BR551" s="39"/>
      <c r="BS551" s="39"/>
      <c r="BT551" s="39"/>
      <c r="BU551" s="39"/>
      <c r="BV551" s="39"/>
      <c r="BW551" s="39"/>
      <c r="BX551" s="39"/>
      <c r="BY551" s="39"/>
      <c r="BZ551" s="39"/>
      <c r="CA551" s="39"/>
      <c r="CB551" s="39"/>
      <c r="CC551" s="39"/>
      <c r="CD551" s="39"/>
      <c r="CE551" s="39"/>
      <c r="CF551" s="39"/>
      <c r="CG551" s="39"/>
      <c r="CH551" s="39"/>
      <c r="CI551" s="39"/>
      <c r="CJ551" s="39"/>
      <c r="CK551" s="39"/>
      <c r="CL551" s="39"/>
      <c r="CM551" s="39"/>
      <c r="CN551" s="39"/>
      <c r="CO551" s="39"/>
      <c r="CP551" s="39"/>
      <c r="CQ551" s="39"/>
      <c r="CR551" s="39"/>
      <c r="CS551" s="39"/>
      <c r="CT551" s="39"/>
      <c r="CU551" s="39"/>
      <c r="CV551" s="39"/>
      <c r="CW551" s="39"/>
      <c r="CX551" s="39"/>
      <c r="CY551" s="39"/>
      <c r="CZ551" s="39"/>
      <c r="DA551" s="39"/>
      <c r="DB551" s="39"/>
      <c r="DC551" s="39"/>
    </row>
    <row r="552" spans="1:107" s="92" customFormat="1" ht="39.950000000000003" customHeight="1" x14ac:dyDescent="0.25">
      <c r="A552"/>
      <c r="B552"/>
      <c r="C552"/>
      <c r="D552"/>
      <c r="E552"/>
      <c r="F552"/>
      <c r="G552"/>
      <c r="H552"/>
      <c r="I552" s="68"/>
      <c r="J552" s="71"/>
      <c r="K552"/>
      <c r="L552"/>
      <c r="M552"/>
      <c r="N552"/>
      <c r="O552"/>
      <c r="P552"/>
      <c r="Q552" s="121"/>
      <c r="R552"/>
      <c r="S552"/>
      <c r="T552" s="229"/>
      <c r="U552" s="229"/>
      <c r="V552" s="229"/>
      <c r="W552" s="229"/>
      <c r="X552" s="229"/>
      <c r="Y552" s="136"/>
      <c r="Z552" s="166"/>
      <c r="AA552" s="166"/>
      <c r="AB552" s="71"/>
      <c r="AC552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  <c r="BA552" s="39"/>
      <c r="BB552" s="39"/>
      <c r="BC552" s="39"/>
      <c r="BD552" s="39"/>
      <c r="BE552" s="39"/>
      <c r="BF552" s="39"/>
      <c r="BG552" s="39"/>
      <c r="BH552" s="39"/>
      <c r="BI552" s="39"/>
      <c r="BJ552" s="39"/>
      <c r="BK552" s="39"/>
      <c r="BL552" s="39"/>
      <c r="BM552" s="39"/>
      <c r="BN552" s="39"/>
      <c r="BO552" s="39"/>
      <c r="BP552" s="39"/>
      <c r="BQ552" s="39"/>
      <c r="BR552" s="39"/>
      <c r="BS552" s="39"/>
      <c r="BT552" s="39"/>
      <c r="BU552" s="39"/>
      <c r="BV552" s="39"/>
      <c r="BW552" s="39"/>
      <c r="BX552" s="39"/>
      <c r="BY552" s="39"/>
      <c r="BZ552" s="39"/>
      <c r="CA552" s="39"/>
      <c r="CB552" s="39"/>
      <c r="CC552" s="39"/>
      <c r="CD552" s="39"/>
      <c r="CE552" s="39"/>
      <c r="CF552" s="39"/>
      <c r="CG552" s="39"/>
      <c r="CH552" s="39"/>
      <c r="CI552" s="39"/>
      <c r="CJ552" s="39"/>
      <c r="CK552" s="39"/>
      <c r="CL552" s="39"/>
      <c r="CM552" s="39"/>
      <c r="CN552" s="39"/>
      <c r="CO552" s="39"/>
      <c r="CP552" s="39"/>
      <c r="CQ552" s="39"/>
      <c r="CR552" s="39"/>
      <c r="CS552" s="39"/>
      <c r="CT552" s="39"/>
      <c r="CU552" s="39"/>
      <c r="CV552" s="39"/>
      <c r="CW552" s="39"/>
      <c r="CX552" s="39"/>
      <c r="CY552" s="39"/>
      <c r="CZ552" s="39"/>
      <c r="DA552" s="39"/>
      <c r="DB552" s="39"/>
      <c r="DC552" s="39"/>
    </row>
    <row r="553" spans="1:107" s="92" customFormat="1" ht="39.950000000000003" customHeight="1" x14ac:dyDescent="0.25">
      <c r="A553"/>
      <c r="B553"/>
      <c r="C553"/>
      <c r="D553"/>
      <c r="E553"/>
      <c r="F553"/>
      <c r="G553"/>
      <c r="H553"/>
      <c r="I553" s="68"/>
      <c r="J553" s="71"/>
      <c r="K553"/>
      <c r="L553"/>
      <c r="M553"/>
      <c r="N553"/>
      <c r="O553"/>
      <c r="P553"/>
      <c r="Q553" s="121"/>
      <c r="R553"/>
      <c r="S553"/>
      <c r="T553" s="229"/>
      <c r="U553" s="229"/>
      <c r="V553" s="229"/>
      <c r="W553" s="229"/>
      <c r="X553" s="229"/>
      <c r="Y553" s="136"/>
      <c r="Z553" s="166"/>
      <c r="AA553" s="166"/>
      <c r="AB553" s="71"/>
      <c r="AC553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  <c r="BA553" s="39"/>
      <c r="BB553" s="39"/>
      <c r="BC553" s="39"/>
      <c r="BD553" s="39"/>
      <c r="BE553" s="39"/>
      <c r="BF553" s="39"/>
      <c r="BG553" s="39"/>
      <c r="BH553" s="39"/>
      <c r="BI553" s="39"/>
      <c r="BJ553" s="39"/>
      <c r="BK553" s="39"/>
      <c r="BL553" s="39"/>
      <c r="BM553" s="39"/>
      <c r="BN553" s="39"/>
      <c r="BO553" s="39"/>
      <c r="BP553" s="39"/>
      <c r="BQ553" s="39"/>
      <c r="BR553" s="39"/>
      <c r="BS553" s="39"/>
      <c r="BT553" s="39"/>
      <c r="BU553" s="39"/>
      <c r="BV553" s="39"/>
      <c r="BW553" s="39"/>
      <c r="BX553" s="39"/>
      <c r="BY553" s="39"/>
      <c r="BZ553" s="39"/>
      <c r="CA553" s="39"/>
      <c r="CB553" s="39"/>
      <c r="CC553" s="39"/>
      <c r="CD553" s="39"/>
      <c r="CE553" s="39"/>
      <c r="CF553" s="39"/>
      <c r="CG553" s="39"/>
      <c r="CH553" s="39"/>
      <c r="CI553" s="39"/>
      <c r="CJ553" s="39"/>
      <c r="CK553" s="39"/>
      <c r="CL553" s="39"/>
      <c r="CM553" s="39"/>
      <c r="CN553" s="39"/>
      <c r="CO553" s="39"/>
      <c r="CP553" s="39"/>
      <c r="CQ553" s="39"/>
      <c r="CR553" s="39"/>
      <c r="CS553" s="39"/>
      <c r="CT553" s="39"/>
      <c r="CU553" s="39"/>
      <c r="CV553" s="39"/>
      <c r="CW553" s="39"/>
      <c r="CX553" s="39"/>
      <c r="CY553" s="39"/>
      <c r="CZ553" s="39"/>
      <c r="DA553" s="39"/>
      <c r="DB553" s="39"/>
      <c r="DC553" s="39"/>
    </row>
    <row r="554" spans="1:107" s="92" customFormat="1" ht="39.950000000000003" customHeight="1" x14ac:dyDescent="0.25">
      <c r="A554"/>
      <c r="B554"/>
      <c r="C554"/>
      <c r="D554"/>
      <c r="E554"/>
      <c r="F554"/>
      <c r="G554"/>
      <c r="H554"/>
      <c r="I554" s="68"/>
      <c r="J554" s="71"/>
      <c r="K554"/>
      <c r="L554"/>
      <c r="M554"/>
      <c r="N554"/>
      <c r="O554"/>
      <c r="P554"/>
      <c r="Q554" s="121"/>
      <c r="R554"/>
      <c r="S554"/>
      <c r="T554" s="229"/>
      <c r="U554" s="229"/>
      <c r="V554" s="229"/>
      <c r="W554" s="229"/>
      <c r="X554" s="229"/>
      <c r="Y554" s="136"/>
      <c r="Z554" s="166"/>
      <c r="AA554" s="166"/>
      <c r="AB554" s="71"/>
      <c r="AC554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  <c r="BA554" s="39"/>
      <c r="BB554" s="39"/>
      <c r="BC554" s="39"/>
      <c r="BD554" s="39"/>
      <c r="BE554" s="39"/>
      <c r="BF554" s="39"/>
      <c r="BG554" s="39"/>
      <c r="BH554" s="39"/>
      <c r="BI554" s="39"/>
      <c r="BJ554" s="39"/>
      <c r="BK554" s="39"/>
      <c r="BL554" s="39"/>
      <c r="BM554" s="39"/>
      <c r="BN554" s="39"/>
      <c r="BO554" s="39"/>
      <c r="BP554" s="39"/>
      <c r="BQ554" s="39"/>
      <c r="BR554" s="39"/>
      <c r="BS554" s="39"/>
      <c r="BT554" s="39"/>
      <c r="BU554" s="39"/>
      <c r="BV554" s="39"/>
      <c r="BW554" s="39"/>
      <c r="BX554" s="39"/>
      <c r="BY554" s="39"/>
      <c r="BZ554" s="39"/>
      <c r="CA554" s="39"/>
      <c r="CB554" s="39"/>
      <c r="CC554" s="39"/>
      <c r="CD554" s="39"/>
      <c r="CE554" s="39"/>
      <c r="CF554" s="39"/>
      <c r="CG554" s="39"/>
      <c r="CH554" s="39"/>
      <c r="CI554" s="39"/>
      <c r="CJ554" s="39"/>
      <c r="CK554" s="39"/>
      <c r="CL554" s="39"/>
      <c r="CM554" s="39"/>
      <c r="CN554" s="39"/>
      <c r="CO554" s="39"/>
      <c r="CP554" s="39"/>
      <c r="CQ554" s="39"/>
      <c r="CR554" s="39"/>
      <c r="CS554" s="39"/>
      <c r="CT554" s="39"/>
      <c r="CU554" s="39"/>
      <c r="CV554" s="39"/>
      <c r="CW554" s="39"/>
      <c r="CX554" s="39"/>
      <c r="CY554" s="39"/>
      <c r="CZ554" s="39"/>
      <c r="DA554" s="39"/>
      <c r="DB554" s="39"/>
      <c r="DC554" s="39"/>
    </row>
    <row r="555" spans="1:107" s="92" customFormat="1" ht="39.950000000000003" customHeight="1" x14ac:dyDescent="0.25">
      <c r="A555"/>
      <c r="B555"/>
      <c r="C555"/>
      <c r="D555"/>
      <c r="E555"/>
      <c r="F555"/>
      <c r="G555"/>
      <c r="H555"/>
      <c r="I555" s="68"/>
      <c r="J555" s="71"/>
      <c r="K555"/>
      <c r="L555"/>
      <c r="M555"/>
      <c r="N555"/>
      <c r="O555"/>
      <c r="P555"/>
      <c r="Q555" s="121"/>
      <c r="R555"/>
      <c r="S555"/>
      <c r="T555" s="229"/>
      <c r="U555" s="229"/>
      <c r="V555" s="229"/>
      <c r="W555" s="229"/>
      <c r="X555" s="229"/>
      <c r="Y555" s="136"/>
      <c r="Z555" s="166"/>
      <c r="AA555" s="166"/>
      <c r="AB555" s="71"/>
      <c r="AC555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  <c r="BA555" s="39"/>
      <c r="BB555" s="39"/>
      <c r="BC555" s="39"/>
      <c r="BD555" s="39"/>
      <c r="BE555" s="39"/>
      <c r="BF555" s="39"/>
      <c r="BG555" s="39"/>
      <c r="BH555" s="39"/>
      <c r="BI555" s="39"/>
      <c r="BJ555" s="39"/>
      <c r="BK555" s="39"/>
      <c r="BL555" s="39"/>
      <c r="BM555" s="39"/>
      <c r="BN555" s="39"/>
      <c r="BO555" s="39"/>
      <c r="BP555" s="39"/>
      <c r="BQ555" s="39"/>
      <c r="BR555" s="39"/>
      <c r="BS555" s="39"/>
      <c r="BT555" s="39"/>
      <c r="BU555" s="39"/>
      <c r="BV555" s="39"/>
      <c r="BW555" s="39"/>
      <c r="BX555" s="39"/>
      <c r="BY555" s="39"/>
      <c r="BZ555" s="39"/>
      <c r="CA555" s="39"/>
      <c r="CB555" s="39"/>
      <c r="CC555" s="39"/>
      <c r="CD555" s="39"/>
      <c r="CE555" s="39"/>
      <c r="CF555" s="39"/>
      <c r="CG555" s="39"/>
      <c r="CH555" s="39"/>
      <c r="CI555" s="39"/>
      <c r="CJ555" s="39"/>
      <c r="CK555" s="39"/>
      <c r="CL555" s="39"/>
      <c r="CM555" s="39"/>
      <c r="CN555" s="39"/>
      <c r="CO555" s="39"/>
      <c r="CP555" s="39"/>
      <c r="CQ555" s="39"/>
      <c r="CR555" s="39"/>
      <c r="CS555" s="39"/>
      <c r="CT555" s="39"/>
      <c r="CU555" s="39"/>
      <c r="CV555" s="39"/>
      <c r="CW555" s="39"/>
      <c r="CX555" s="39"/>
      <c r="CY555" s="39"/>
      <c r="CZ555" s="39"/>
      <c r="DA555" s="39"/>
      <c r="DB555" s="39"/>
      <c r="DC555" s="39"/>
    </row>
    <row r="556" spans="1:107" s="92" customFormat="1" ht="39.950000000000003" customHeight="1" x14ac:dyDescent="0.25">
      <c r="A556"/>
      <c r="B556"/>
      <c r="C556"/>
      <c r="D556"/>
      <c r="E556"/>
      <c r="F556"/>
      <c r="G556"/>
      <c r="H556"/>
      <c r="I556" s="68"/>
      <c r="J556" s="71"/>
      <c r="K556"/>
      <c r="L556"/>
      <c r="M556"/>
      <c r="N556"/>
      <c r="O556"/>
      <c r="P556"/>
      <c r="Q556" s="121"/>
      <c r="R556"/>
      <c r="S556"/>
      <c r="T556" s="229"/>
      <c r="U556" s="229"/>
      <c r="V556" s="229"/>
      <c r="W556" s="229"/>
      <c r="X556" s="229"/>
      <c r="Y556" s="136"/>
      <c r="Z556" s="166"/>
      <c r="AA556" s="166"/>
      <c r="AB556" s="71"/>
      <c r="AC556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  <c r="BA556" s="39"/>
      <c r="BB556" s="39"/>
      <c r="BC556" s="39"/>
      <c r="BD556" s="39"/>
      <c r="BE556" s="39"/>
      <c r="BF556" s="39"/>
      <c r="BG556" s="39"/>
      <c r="BH556" s="39"/>
      <c r="BI556" s="39"/>
      <c r="BJ556" s="39"/>
      <c r="BK556" s="39"/>
      <c r="BL556" s="39"/>
      <c r="BM556" s="39"/>
      <c r="BN556" s="39"/>
      <c r="BO556" s="39"/>
      <c r="BP556" s="39"/>
      <c r="BQ556" s="39"/>
      <c r="BR556" s="39"/>
      <c r="BS556" s="39"/>
      <c r="BT556" s="39"/>
      <c r="BU556" s="39"/>
      <c r="BV556" s="39"/>
      <c r="BW556" s="39"/>
      <c r="BX556" s="39"/>
      <c r="BY556" s="39"/>
      <c r="BZ556" s="39"/>
      <c r="CA556" s="39"/>
      <c r="CB556" s="39"/>
      <c r="CC556" s="39"/>
      <c r="CD556" s="39"/>
      <c r="CE556" s="39"/>
      <c r="CF556" s="39"/>
      <c r="CG556" s="39"/>
      <c r="CH556" s="39"/>
      <c r="CI556" s="39"/>
      <c r="CJ556" s="39"/>
      <c r="CK556" s="39"/>
      <c r="CL556" s="39"/>
      <c r="CM556" s="39"/>
      <c r="CN556" s="39"/>
      <c r="CO556" s="39"/>
      <c r="CP556" s="39"/>
      <c r="CQ556" s="39"/>
      <c r="CR556" s="39"/>
      <c r="CS556" s="39"/>
      <c r="CT556" s="39"/>
      <c r="CU556" s="39"/>
      <c r="CV556" s="39"/>
      <c r="CW556" s="39"/>
      <c r="CX556" s="39"/>
      <c r="CY556" s="39"/>
      <c r="CZ556" s="39"/>
      <c r="DA556" s="39"/>
      <c r="DB556" s="39"/>
      <c r="DC556" s="39"/>
    </row>
    <row r="557" spans="1:107" s="92" customFormat="1" ht="39.950000000000003" customHeight="1" x14ac:dyDescent="0.25">
      <c r="A557"/>
      <c r="B557"/>
      <c r="C557"/>
      <c r="D557"/>
      <c r="E557"/>
      <c r="F557"/>
      <c r="G557"/>
      <c r="H557"/>
      <c r="I557" s="68"/>
      <c r="J557" s="71"/>
      <c r="K557"/>
      <c r="L557"/>
      <c r="M557"/>
      <c r="N557"/>
      <c r="O557"/>
      <c r="P557"/>
      <c r="Q557" s="121"/>
      <c r="R557"/>
      <c r="S557"/>
      <c r="T557" s="229"/>
      <c r="U557" s="229"/>
      <c r="V557" s="229"/>
      <c r="W557" s="229"/>
      <c r="X557" s="229"/>
      <c r="Y557" s="136"/>
      <c r="Z557" s="166"/>
      <c r="AA557" s="166"/>
      <c r="AB557" s="71"/>
      <c r="AC557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  <c r="BA557" s="39"/>
      <c r="BB557" s="39"/>
      <c r="BC557" s="39"/>
      <c r="BD557" s="39"/>
      <c r="BE557" s="39"/>
      <c r="BF557" s="39"/>
      <c r="BG557" s="39"/>
      <c r="BH557" s="39"/>
      <c r="BI557" s="39"/>
      <c r="BJ557" s="39"/>
      <c r="BK557" s="39"/>
      <c r="BL557" s="39"/>
      <c r="BM557" s="39"/>
      <c r="BN557" s="39"/>
      <c r="BO557" s="39"/>
      <c r="BP557" s="39"/>
      <c r="BQ557" s="39"/>
      <c r="BR557" s="39"/>
      <c r="BS557" s="39"/>
      <c r="BT557" s="39"/>
      <c r="BU557" s="39"/>
      <c r="BV557" s="39"/>
      <c r="BW557" s="39"/>
      <c r="BX557" s="39"/>
      <c r="BY557" s="39"/>
      <c r="BZ557" s="39"/>
      <c r="CA557" s="39"/>
      <c r="CB557" s="39"/>
      <c r="CC557" s="39"/>
      <c r="CD557" s="39"/>
      <c r="CE557" s="39"/>
      <c r="CF557" s="39"/>
      <c r="CG557" s="39"/>
      <c r="CH557" s="39"/>
      <c r="CI557" s="39"/>
      <c r="CJ557" s="39"/>
      <c r="CK557" s="39"/>
      <c r="CL557" s="39"/>
      <c r="CM557" s="39"/>
      <c r="CN557" s="39"/>
      <c r="CO557" s="39"/>
      <c r="CP557" s="39"/>
      <c r="CQ557" s="39"/>
      <c r="CR557" s="39"/>
      <c r="CS557" s="39"/>
      <c r="CT557" s="39"/>
      <c r="CU557" s="39"/>
      <c r="CV557" s="39"/>
      <c r="CW557" s="39"/>
      <c r="CX557" s="39"/>
      <c r="CY557" s="39"/>
      <c r="CZ557" s="39"/>
      <c r="DA557" s="39"/>
      <c r="DB557" s="39"/>
      <c r="DC557" s="39"/>
    </row>
    <row r="558" spans="1:107" s="92" customFormat="1" ht="39.950000000000003" customHeight="1" x14ac:dyDescent="0.25">
      <c r="A558"/>
      <c r="B558"/>
      <c r="C558"/>
      <c r="D558"/>
      <c r="E558"/>
      <c r="F558"/>
      <c r="G558"/>
      <c r="H558"/>
      <c r="I558" s="68"/>
      <c r="J558" s="71"/>
      <c r="K558"/>
      <c r="L558"/>
      <c r="M558"/>
      <c r="N558"/>
      <c r="O558"/>
      <c r="P558"/>
      <c r="Q558" s="121"/>
      <c r="R558"/>
      <c r="S558"/>
      <c r="T558" s="229"/>
      <c r="U558" s="229"/>
      <c r="V558" s="229"/>
      <c r="W558" s="229"/>
      <c r="X558" s="229"/>
      <c r="Y558" s="136"/>
      <c r="Z558" s="166"/>
      <c r="AA558" s="166"/>
      <c r="AB558" s="71"/>
      <c r="AC558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  <c r="BA558" s="39"/>
      <c r="BB558" s="39"/>
      <c r="BC558" s="39"/>
      <c r="BD558" s="39"/>
      <c r="BE558" s="39"/>
      <c r="BF558" s="39"/>
      <c r="BG558" s="39"/>
      <c r="BH558" s="39"/>
      <c r="BI558" s="39"/>
      <c r="BJ558" s="39"/>
      <c r="BK558" s="39"/>
      <c r="BL558" s="39"/>
      <c r="BM558" s="39"/>
      <c r="BN558" s="39"/>
      <c r="BO558" s="39"/>
      <c r="BP558" s="39"/>
      <c r="BQ558" s="39"/>
      <c r="BR558" s="39"/>
      <c r="BS558" s="39"/>
      <c r="BT558" s="39"/>
      <c r="BU558" s="39"/>
      <c r="BV558" s="39"/>
      <c r="BW558" s="39"/>
      <c r="BX558" s="39"/>
      <c r="BY558" s="39"/>
      <c r="BZ558" s="39"/>
      <c r="CA558" s="39"/>
      <c r="CB558" s="39"/>
      <c r="CC558" s="39"/>
      <c r="CD558" s="39"/>
      <c r="CE558" s="39"/>
      <c r="CF558" s="39"/>
      <c r="CG558" s="39"/>
      <c r="CH558" s="39"/>
      <c r="CI558" s="39"/>
      <c r="CJ558" s="39"/>
      <c r="CK558" s="39"/>
      <c r="CL558" s="39"/>
      <c r="CM558" s="39"/>
      <c r="CN558" s="39"/>
      <c r="CO558" s="39"/>
      <c r="CP558" s="39"/>
      <c r="CQ558" s="39"/>
      <c r="CR558" s="39"/>
      <c r="CS558" s="39"/>
      <c r="CT558" s="39"/>
      <c r="CU558" s="39"/>
      <c r="CV558" s="39"/>
      <c r="CW558" s="39"/>
      <c r="CX558" s="39"/>
      <c r="CY558" s="39"/>
      <c r="CZ558" s="39"/>
      <c r="DA558" s="39"/>
      <c r="DB558" s="39"/>
      <c r="DC558" s="39"/>
    </row>
    <row r="559" spans="1:107" s="92" customFormat="1" ht="39.950000000000003" customHeight="1" x14ac:dyDescent="0.25">
      <c r="A559"/>
      <c r="B559"/>
      <c r="C559"/>
      <c r="D559"/>
      <c r="E559"/>
      <c r="F559"/>
      <c r="G559"/>
      <c r="H559"/>
      <c r="I559" s="68"/>
      <c r="J559" s="71"/>
      <c r="K559"/>
      <c r="L559"/>
      <c r="M559"/>
      <c r="N559"/>
      <c r="O559"/>
      <c r="P559"/>
      <c r="Q559" s="121"/>
      <c r="R559"/>
      <c r="S559"/>
      <c r="T559" s="229"/>
      <c r="U559" s="229"/>
      <c r="V559" s="229"/>
      <c r="W559" s="229"/>
      <c r="X559" s="229"/>
      <c r="Y559" s="136"/>
      <c r="Z559" s="166"/>
      <c r="AA559" s="166"/>
      <c r="AB559" s="71"/>
      <c r="AC55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  <c r="BA559" s="39"/>
      <c r="BB559" s="39"/>
      <c r="BC559" s="39"/>
      <c r="BD559" s="39"/>
      <c r="BE559" s="39"/>
      <c r="BF559" s="39"/>
      <c r="BG559" s="39"/>
      <c r="BH559" s="39"/>
      <c r="BI559" s="39"/>
      <c r="BJ559" s="39"/>
      <c r="BK559" s="39"/>
      <c r="BL559" s="39"/>
      <c r="BM559" s="39"/>
      <c r="BN559" s="39"/>
      <c r="BO559" s="39"/>
      <c r="BP559" s="39"/>
      <c r="BQ559" s="39"/>
      <c r="BR559" s="39"/>
      <c r="BS559" s="39"/>
      <c r="BT559" s="39"/>
      <c r="BU559" s="39"/>
      <c r="BV559" s="39"/>
      <c r="BW559" s="39"/>
      <c r="BX559" s="39"/>
      <c r="BY559" s="39"/>
      <c r="BZ559" s="39"/>
      <c r="CA559" s="39"/>
      <c r="CB559" s="39"/>
      <c r="CC559" s="39"/>
      <c r="CD559" s="39"/>
      <c r="CE559" s="39"/>
      <c r="CF559" s="39"/>
      <c r="CG559" s="39"/>
      <c r="CH559" s="39"/>
      <c r="CI559" s="39"/>
      <c r="CJ559" s="39"/>
      <c r="CK559" s="39"/>
      <c r="CL559" s="39"/>
      <c r="CM559" s="39"/>
      <c r="CN559" s="39"/>
      <c r="CO559" s="39"/>
      <c r="CP559" s="39"/>
      <c r="CQ559" s="39"/>
      <c r="CR559" s="39"/>
      <c r="CS559" s="39"/>
      <c r="CT559" s="39"/>
      <c r="CU559" s="39"/>
      <c r="CV559" s="39"/>
      <c r="CW559" s="39"/>
      <c r="CX559" s="39"/>
      <c r="CY559" s="39"/>
      <c r="CZ559" s="39"/>
      <c r="DA559" s="39"/>
      <c r="DB559" s="39"/>
      <c r="DC559" s="39"/>
    </row>
    <row r="560" spans="1:107" s="92" customFormat="1" ht="39.950000000000003" customHeight="1" x14ac:dyDescent="0.25">
      <c r="A560"/>
      <c r="B560"/>
      <c r="C560"/>
      <c r="D560"/>
      <c r="E560"/>
      <c r="F560"/>
      <c r="G560"/>
      <c r="H560"/>
      <c r="I560" s="68"/>
      <c r="J560" s="71"/>
      <c r="K560"/>
      <c r="L560"/>
      <c r="M560"/>
      <c r="N560"/>
      <c r="O560"/>
      <c r="P560"/>
      <c r="Q560" s="121"/>
      <c r="R560"/>
      <c r="S560"/>
      <c r="T560" s="229"/>
      <c r="U560" s="229"/>
      <c r="V560" s="229"/>
      <c r="W560" s="229"/>
      <c r="X560" s="229"/>
      <c r="Y560" s="136"/>
      <c r="Z560" s="166"/>
      <c r="AA560" s="166"/>
      <c r="AB560" s="71"/>
      <c r="AC560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  <c r="BA560" s="39"/>
      <c r="BB560" s="39"/>
      <c r="BC560" s="39"/>
      <c r="BD560" s="39"/>
      <c r="BE560" s="39"/>
      <c r="BF560" s="39"/>
      <c r="BG560" s="39"/>
      <c r="BH560" s="39"/>
      <c r="BI560" s="39"/>
      <c r="BJ560" s="39"/>
      <c r="BK560" s="39"/>
      <c r="BL560" s="39"/>
      <c r="BM560" s="39"/>
      <c r="BN560" s="39"/>
      <c r="BO560" s="39"/>
      <c r="BP560" s="39"/>
      <c r="BQ560" s="39"/>
      <c r="BR560" s="39"/>
      <c r="BS560" s="39"/>
      <c r="BT560" s="39"/>
      <c r="BU560" s="39"/>
      <c r="BV560" s="39"/>
      <c r="BW560" s="39"/>
      <c r="BX560" s="39"/>
      <c r="BY560" s="39"/>
      <c r="BZ560" s="39"/>
      <c r="CA560" s="39"/>
      <c r="CB560" s="39"/>
      <c r="CC560" s="39"/>
      <c r="CD560" s="39"/>
      <c r="CE560" s="39"/>
      <c r="CF560" s="39"/>
      <c r="CG560" s="39"/>
      <c r="CH560" s="39"/>
      <c r="CI560" s="39"/>
      <c r="CJ560" s="39"/>
      <c r="CK560" s="39"/>
      <c r="CL560" s="39"/>
      <c r="CM560" s="39"/>
      <c r="CN560" s="39"/>
      <c r="CO560" s="39"/>
      <c r="CP560" s="39"/>
      <c r="CQ560" s="39"/>
      <c r="CR560" s="39"/>
      <c r="CS560" s="39"/>
      <c r="CT560" s="39"/>
      <c r="CU560" s="39"/>
      <c r="CV560" s="39"/>
      <c r="CW560" s="39"/>
      <c r="CX560" s="39"/>
      <c r="CY560" s="39"/>
      <c r="CZ560" s="39"/>
      <c r="DA560" s="39"/>
      <c r="DB560" s="39"/>
      <c r="DC560" s="39"/>
    </row>
    <row r="561" spans="1:107" s="92" customFormat="1" ht="39.950000000000003" customHeight="1" x14ac:dyDescent="0.25">
      <c r="A561"/>
      <c r="B561"/>
      <c r="C561"/>
      <c r="D561"/>
      <c r="E561"/>
      <c r="F561"/>
      <c r="G561"/>
      <c r="H561"/>
      <c r="I561" s="68"/>
      <c r="J561" s="71"/>
      <c r="K561"/>
      <c r="L561"/>
      <c r="M561"/>
      <c r="N561"/>
      <c r="O561"/>
      <c r="P561"/>
      <c r="Q561" s="121"/>
      <c r="R561"/>
      <c r="S561"/>
      <c r="T561" s="229"/>
      <c r="U561" s="229"/>
      <c r="V561" s="229"/>
      <c r="W561" s="229"/>
      <c r="X561" s="229"/>
      <c r="Y561" s="136"/>
      <c r="Z561" s="166"/>
      <c r="AA561" s="166"/>
      <c r="AB561" s="71"/>
      <c r="AC561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  <c r="BA561" s="39"/>
      <c r="BB561" s="39"/>
      <c r="BC561" s="39"/>
      <c r="BD561" s="39"/>
      <c r="BE561" s="39"/>
      <c r="BF561" s="39"/>
      <c r="BG561" s="39"/>
      <c r="BH561" s="39"/>
      <c r="BI561" s="39"/>
      <c r="BJ561" s="39"/>
      <c r="BK561" s="39"/>
      <c r="BL561" s="39"/>
      <c r="BM561" s="39"/>
      <c r="BN561" s="39"/>
      <c r="BO561" s="39"/>
      <c r="BP561" s="39"/>
      <c r="BQ561" s="39"/>
      <c r="BR561" s="39"/>
      <c r="BS561" s="39"/>
      <c r="BT561" s="39"/>
      <c r="BU561" s="39"/>
      <c r="BV561" s="39"/>
      <c r="BW561" s="39"/>
      <c r="BX561" s="39"/>
      <c r="BY561" s="39"/>
      <c r="BZ561" s="39"/>
      <c r="CA561" s="39"/>
      <c r="CB561" s="39"/>
      <c r="CC561" s="39"/>
      <c r="CD561" s="39"/>
      <c r="CE561" s="39"/>
      <c r="CF561" s="39"/>
      <c r="CG561" s="39"/>
      <c r="CH561" s="39"/>
      <c r="CI561" s="39"/>
      <c r="CJ561" s="39"/>
      <c r="CK561" s="39"/>
      <c r="CL561" s="39"/>
      <c r="CM561" s="39"/>
      <c r="CN561" s="39"/>
      <c r="CO561" s="39"/>
      <c r="CP561" s="39"/>
      <c r="CQ561" s="39"/>
      <c r="CR561" s="39"/>
      <c r="CS561" s="39"/>
      <c r="CT561" s="39"/>
      <c r="CU561" s="39"/>
      <c r="CV561" s="39"/>
      <c r="CW561" s="39"/>
      <c r="CX561" s="39"/>
      <c r="CY561" s="39"/>
      <c r="CZ561" s="39"/>
      <c r="DA561" s="39"/>
      <c r="DB561" s="39"/>
      <c r="DC561" s="39"/>
    </row>
    <row r="562" spans="1:107" s="92" customFormat="1" ht="39.950000000000003" customHeight="1" x14ac:dyDescent="0.25">
      <c r="A562"/>
      <c r="B562"/>
      <c r="C562"/>
      <c r="D562"/>
      <c r="E562"/>
      <c r="F562"/>
      <c r="G562"/>
      <c r="H562"/>
      <c r="I562" s="68"/>
      <c r="J562" s="71"/>
      <c r="K562"/>
      <c r="L562"/>
      <c r="M562"/>
      <c r="N562"/>
      <c r="O562"/>
      <c r="P562"/>
      <c r="Q562" s="121"/>
      <c r="R562"/>
      <c r="S562"/>
      <c r="T562" s="229"/>
      <c r="U562" s="229"/>
      <c r="V562" s="229"/>
      <c r="W562" s="229"/>
      <c r="X562" s="229"/>
      <c r="Y562" s="136"/>
      <c r="Z562" s="166"/>
      <c r="AA562" s="166"/>
      <c r="AB562" s="71"/>
      <c r="AC562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  <c r="BA562" s="39"/>
      <c r="BB562" s="39"/>
      <c r="BC562" s="39"/>
      <c r="BD562" s="39"/>
      <c r="BE562" s="39"/>
      <c r="BF562" s="39"/>
      <c r="BG562" s="39"/>
      <c r="BH562" s="39"/>
      <c r="BI562" s="39"/>
      <c r="BJ562" s="39"/>
      <c r="BK562" s="39"/>
      <c r="BL562" s="39"/>
      <c r="BM562" s="39"/>
      <c r="BN562" s="39"/>
      <c r="BO562" s="39"/>
      <c r="BP562" s="39"/>
      <c r="BQ562" s="39"/>
      <c r="BR562" s="39"/>
      <c r="BS562" s="39"/>
      <c r="BT562" s="39"/>
      <c r="BU562" s="39"/>
      <c r="BV562" s="39"/>
      <c r="BW562" s="39"/>
      <c r="BX562" s="39"/>
      <c r="BY562" s="39"/>
      <c r="BZ562" s="39"/>
      <c r="CA562" s="39"/>
      <c r="CB562" s="39"/>
      <c r="CC562" s="39"/>
      <c r="CD562" s="39"/>
      <c r="CE562" s="39"/>
      <c r="CF562" s="39"/>
      <c r="CG562" s="39"/>
      <c r="CH562" s="39"/>
      <c r="CI562" s="39"/>
      <c r="CJ562" s="39"/>
      <c r="CK562" s="39"/>
      <c r="CL562" s="39"/>
      <c r="CM562" s="39"/>
      <c r="CN562" s="39"/>
      <c r="CO562" s="39"/>
      <c r="CP562" s="39"/>
      <c r="CQ562" s="39"/>
      <c r="CR562" s="39"/>
      <c r="CS562" s="39"/>
      <c r="CT562" s="39"/>
      <c r="CU562" s="39"/>
      <c r="CV562" s="39"/>
      <c r="CW562" s="39"/>
      <c r="CX562" s="39"/>
      <c r="CY562" s="39"/>
      <c r="CZ562" s="39"/>
      <c r="DA562" s="39"/>
      <c r="DB562" s="39"/>
      <c r="DC562" s="39"/>
    </row>
    <row r="563" spans="1:107" s="92" customFormat="1" ht="39.950000000000003" customHeight="1" x14ac:dyDescent="0.25">
      <c r="A563"/>
      <c r="B563"/>
      <c r="C563"/>
      <c r="D563"/>
      <c r="E563"/>
      <c r="F563"/>
      <c r="G563"/>
      <c r="H563"/>
      <c r="I563" s="68"/>
      <c r="J563" s="71"/>
      <c r="K563"/>
      <c r="L563"/>
      <c r="M563"/>
      <c r="N563"/>
      <c r="O563"/>
      <c r="P563"/>
      <c r="Q563" s="121"/>
      <c r="R563"/>
      <c r="S563"/>
      <c r="T563" s="229"/>
      <c r="U563" s="229"/>
      <c r="V563" s="229"/>
      <c r="W563" s="229"/>
      <c r="X563" s="229"/>
      <c r="Y563" s="136"/>
      <c r="Z563" s="166"/>
      <c r="AA563" s="166"/>
      <c r="AB563" s="71"/>
      <c r="AC563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  <c r="BA563" s="39"/>
      <c r="BB563" s="39"/>
      <c r="BC563" s="39"/>
      <c r="BD563" s="39"/>
      <c r="BE563" s="39"/>
      <c r="BF563" s="39"/>
      <c r="BG563" s="39"/>
      <c r="BH563" s="39"/>
      <c r="BI563" s="39"/>
      <c r="BJ563" s="39"/>
      <c r="BK563" s="39"/>
      <c r="BL563" s="39"/>
      <c r="BM563" s="39"/>
      <c r="BN563" s="39"/>
      <c r="BO563" s="39"/>
      <c r="BP563" s="39"/>
      <c r="BQ563" s="39"/>
      <c r="BR563" s="39"/>
      <c r="BS563" s="39"/>
      <c r="BT563" s="39"/>
      <c r="BU563" s="39"/>
      <c r="BV563" s="39"/>
      <c r="BW563" s="39"/>
      <c r="BX563" s="39"/>
      <c r="BY563" s="39"/>
      <c r="BZ563" s="39"/>
      <c r="CA563" s="39"/>
      <c r="CB563" s="39"/>
      <c r="CC563" s="39"/>
      <c r="CD563" s="39"/>
      <c r="CE563" s="39"/>
      <c r="CF563" s="39"/>
      <c r="CG563" s="39"/>
      <c r="CH563" s="39"/>
      <c r="CI563" s="39"/>
      <c r="CJ563" s="39"/>
      <c r="CK563" s="39"/>
      <c r="CL563" s="39"/>
      <c r="CM563" s="39"/>
      <c r="CN563" s="39"/>
      <c r="CO563" s="39"/>
      <c r="CP563" s="39"/>
      <c r="CQ563" s="39"/>
      <c r="CR563" s="39"/>
      <c r="CS563" s="39"/>
      <c r="CT563" s="39"/>
      <c r="CU563" s="39"/>
      <c r="CV563" s="39"/>
      <c r="CW563" s="39"/>
      <c r="CX563" s="39"/>
      <c r="CY563" s="39"/>
      <c r="CZ563" s="39"/>
      <c r="DA563" s="39"/>
      <c r="DB563" s="39"/>
      <c r="DC563" s="39"/>
    </row>
    <row r="564" spans="1:107" s="92" customFormat="1" ht="39.950000000000003" customHeight="1" x14ac:dyDescent="0.25">
      <c r="A564"/>
      <c r="B564"/>
      <c r="C564"/>
      <c r="D564"/>
      <c r="E564"/>
      <c r="F564"/>
      <c r="G564"/>
      <c r="H564"/>
      <c r="I564" s="68"/>
      <c r="J564" s="71"/>
      <c r="K564"/>
      <c r="L564"/>
      <c r="M564"/>
      <c r="N564"/>
      <c r="O564"/>
      <c r="P564"/>
      <c r="Q564" s="121"/>
      <c r="R564"/>
      <c r="S564"/>
      <c r="T564" s="229"/>
      <c r="U564" s="229"/>
      <c r="V564" s="229"/>
      <c r="W564" s="229"/>
      <c r="X564" s="229"/>
      <c r="Y564" s="136"/>
      <c r="Z564" s="166"/>
      <c r="AA564" s="166"/>
      <c r="AB564" s="71"/>
      <c r="AC564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  <c r="BA564" s="39"/>
      <c r="BB564" s="39"/>
      <c r="BC564" s="39"/>
      <c r="BD564" s="39"/>
      <c r="BE564" s="39"/>
      <c r="BF564" s="39"/>
      <c r="BG564" s="39"/>
      <c r="BH564" s="39"/>
      <c r="BI564" s="39"/>
      <c r="BJ564" s="39"/>
      <c r="BK564" s="39"/>
      <c r="BL564" s="39"/>
      <c r="BM564" s="39"/>
      <c r="BN564" s="39"/>
      <c r="BO564" s="39"/>
      <c r="BP564" s="39"/>
      <c r="BQ564" s="39"/>
      <c r="BR564" s="39"/>
      <c r="BS564" s="39"/>
      <c r="BT564" s="39"/>
      <c r="BU564" s="39"/>
      <c r="BV564" s="39"/>
      <c r="BW564" s="39"/>
      <c r="BX564" s="39"/>
      <c r="BY564" s="39"/>
      <c r="BZ564" s="39"/>
      <c r="CA564" s="39"/>
      <c r="CB564" s="39"/>
      <c r="CC564" s="39"/>
      <c r="CD564" s="39"/>
      <c r="CE564" s="39"/>
      <c r="CF564" s="39"/>
      <c r="CG564" s="39"/>
      <c r="CH564" s="39"/>
      <c r="CI564" s="39"/>
      <c r="CJ564" s="39"/>
      <c r="CK564" s="39"/>
      <c r="CL564" s="39"/>
      <c r="CM564" s="39"/>
      <c r="CN564" s="39"/>
      <c r="CO564" s="39"/>
      <c r="CP564" s="39"/>
      <c r="CQ564" s="39"/>
      <c r="CR564" s="39"/>
      <c r="CS564" s="39"/>
      <c r="CT564" s="39"/>
      <c r="CU564" s="39"/>
      <c r="CV564" s="39"/>
      <c r="CW564" s="39"/>
      <c r="CX564" s="39"/>
      <c r="CY564" s="39"/>
      <c r="CZ564" s="39"/>
      <c r="DA564" s="39"/>
      <c r="DB564" s="39"/>
      <c r="DC564" s="39"/>
    </row>
    <row r="565" spans="1:107" s="92" customFormat="1" ht="39.950000000000003" customHeight="1" x14ac:dyDescent="0.25">
      <c r="A565"/>
      <c r="B565"/>
      <c r="C565"/>
      <c r="D565"/>
      <c r="E565"/>
      <c r="F565"/>
      <c r="G565"/>
      <c r="H565"/>
      <c r="I565" s="68"/>
      <c r="J565" s="71"/>
      <c r="K565"/>
      <c r="L565"/>
      <c r="M565"/>
      <c r="N565"/>
      <c r="O565"/>
      <c r="P565"/>
      <c r="Q565" s="121"/>
      <c r="R565"/>
      <c r="S565"/>
      <c r="T565" s="229"/>
      <c r="U565" s="229"/>
      <c r="V565" s="229"/>
      <c r="W565" s="229"/>
      <c r="X565" s="229"/>
      <c r="Y565" s="136"/>
      <c r="Z565" s="166"/>
      <c r="AA565" s="166"/>
      <c r="AB565" s="71"/>
      <c r="AC565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  <c r="BA565" s="39"/>
      <c r="BB565" s="39"/>
      <c r="BC565" s="39"/>
      <c r="BD565" s="39"/>
      <c r="BE565" s="39"/>
      <c r="BF565" s="39"/>
      <c r="BG565" s="39"/>
      <c r="BH565" s="39"/>
      <c r="BI565" s="39"/>
      <c r="BJ565" s="39"/>
      <c r="BK565" s="39"/>
      <c r="BL565" s="39"/>
      <c r="BM565" s="39"/>
      <c r="BN565" s="39"/>
      <c r="BO565" s="39"/>
      <c r="BP565" s="39"/>
      <c r="BQ565" s="39"/>
      <c r="BR565" s="39"/>
      <c r="BS565" s="39"/>
      <c r="BT565" s="39"/>
      <c r="BU565" s="39"/>
      <c r="BV565" s="39"/>
      <c r="BW565" s="39"/>
      <c r="BX565" s="39"/>
      <c r="BY565" s="39"/>
      <c r="BZ565" s="39"/>
      <c r="CA565" s="39"/>
      <c r="CB565" s="39"/>
      <c r="CC565" s="39"/>
      <c r="CD565" s="39"/>
      <c r="CE565" s="39"/>
      <c r="CF565" s="39"/>
      <c r="CG565" s="39"/>
      <c r="CH565" s="39"/>
      <c r="CI565" s="39"/>
      <c r="CJ565" s="39"/>
      <c r="CK565" s="39"/>
      <c r="CL565" s="39"/>
      <c r="CM565" s="39"/>
      <c r="CN565" s="39"/>
      <c r="CO565" s="39"/>
      <c r="CP565" s="39"/>
      <c r="CQ565" s="39"/>
      <c r="CR565" s="39"/>
      <c r="CS565" s="39"/>
      <c r="CT565" s="39"/>
      <c r="CU565" s="39"/>
      <c r="CV565" s="39"/>
      <c r="CW565" s="39"/>
      <c r="CX565" s="39"/>
      <c r="CY565" s="39"/>
      <c r="CZ565" s="39"/>
      <c r="DA565" s="39"/>
      <c r="DB565" s="39"/>
      <c r="DC565" s="39"/>
    </row>
    <row r="566" spans="1:107" s="92" customFormat="1" ht="39.950000000000003" customHeight="1" x14ac:dyDescent="0.25">
      <c r="A566"/>
      <c r="B566"/>
      <c r="C566"/>
      <c r="D566"/>
      <c r="E566"/>
      <c r="F566"/>
      <c r="G566"/>
      <c r="H566"/>
      <c r="I566" s="68"/>
      <c r="J566" s="71"/>
      <c r="K566"/>
      <c r="L566"/>
      <c r="M566"/>
      <c r="N566"/>
      <c r="O566"/>
      <c r="P566"/>
      <c r="Q566" s="121"/>
      <c r="R566"/>
      <c r="S566"/>
      <c r="T566" s="229"/>
      <c r="U566" s="229"/>
      <c r="V566" s="229"/>
      <c r="W566" s="229"/>
      <c r="X566" s="229"/>
      <c r="Y566" s="136"/>
      <c r="Z566" s="166"/>
      <c r="AA566" s="166"/>
      <c r="AB566" s="71"/>
      <c r="AC566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  <c r="BA566" s="39"/>
      <c r="BB566" s="39"/>
      <c r="BC566" s="39"/>
      <c r="BD566" s="39"/>
      <c r="BE566" s="39"/>
      <c r="BF566" s="39"/>
      <c r="BG566" s="39"/>
      <c r="BH566" s="39"/>
      <c r="BI566" s="39"/>
      <c r="BJ566" s="39"/>
      <c r="BK566" s="39"/>
      <c r="BL566" s="39"/>
      <c r="BM566" s="39"/>
      <c r="BN566" s="39"/>
      <c r="BO566" s="39"/>
      <c r="BP566" s="39"/>
      <c r="BQ566" s="39"/>
      <c r="BR566" s="39"/>
      <c r="BS566" s="39"/>
      <c r="BT566" s="39"/>
      <c r="BU566" s="39"/>
      <c r="BV566" s="39"/>
      <c r="BW566" s="39"/>
      <c r="BX566" s="39"/>
      <c r="BY566" s="39"/>
      <c r="BZ566" s="39"/>
      <c r="CA566" s="39"/>
      <c r="CB566" s="39"/>
      <c r="CC566" s="39"/>
      <c r="CD566" s="39"/>
      <c r="CE566" s="39"/>
      <c r="CF566" s="39"/>
      <c r="CG566" s="39"/>
      <c r="CH566" s="39"/>
      <c r="CI566" s="39"/>
      <c r="CJ566" s="39"/>
      <c r="CK566" s="39"/>
      <c r="CL566" s="39"/>
      <c r="CM566" s="39"/>
      <c r="CN566" s="39"/>
      <c r="CO566" s="39"/>
      <c r="CP566" s="39"/>
      <c r="CQ566" s="39"/>
      <c r="CR566" s="39"/>
      <c r="CS566" s="39"/>
      <c r="CT566" s="39"/>
      <c r="CU566" s="39"/>
      <c r="CV566" s="39"/>
      <c r="CW566" s="39"/>
      <c r="CX566" s="39"/>
      <c r="CY566" s="39"/>
      <c r="CZ566" s="39"/>
      <c r="DA566" s="39"/>
      <c r="DB566" s="39"/>
      <c r="DC566" s="39"/>
    </row>
    <row r="567" spans="1:107" s="92" customFormat="1" ht="39.950000000000003" customHeight="1" x14ac:dyDescent="0.25">
      <c r="A567"/>
      <c r="B567"/>
      <c r="C567"/>
      <c r="D567"/>
      <c r="E567"/>
      <c r="F567"/>
      <c r="G567"/>
      <c r="H567"/>
      <c r="I567" s="68"/>
      <c r="J567" s="71"/>
      <c r="K567"/>
      <c r="L567"/>
      <c r="M567"/>
      <c r="N567"/>
      <c r="O567"/>
      <c r="P567"/>
      <c r="Q567" s="121"/>
      <c r="R567"/>
      <c r="S567"/>
      <c r="T567" s="229"/>
      <c r="U567" s="229"/>
      <c r="V567" s="229"/>
      <c r="W567" s="229"/>
      <c r="X567" s="229"/>
      <c r="Y567" s="136"/>
      <c r="Z567" s="166"/>
      <c r="AA567" s="166"/>
      <c r="AB567" s="71"/>
      <c r="AC567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  <c r="BA567" s="39"/>
      <c r="BB567" s="39"/>
      <c r="BC567" s="39"/>
      <c r="BD567" s="39"/>
      <c r="BE567" s="39"/>
      <c r="BF567" s="39"/>
      <c r="BG567" s="39"/>
      <c r="BH567" s="39"/>
      <c r="BI567" s="39"/>
      <c r="BJ567" s="39"/>
      <c r="BK567" s="39"/>
      <c r="BL567" s="39"/>
      <c r="BM567" s="39"/>
      <c r="BN567" s="39"/>
      <c r="BO567" s="39"/>
      <c r="BP567" s="39"/>
      <c r="BQ567" s="39"/>
      <c r="BR567" s="39"/>
      <c r="BS567" s="39"/>
      <c r="BT567" s="39"/>
      <c r="BU567" s="39"/>
      <c r="BV567" s="39"/>
      <c r="BW567" s="39"/>
      <c r="BX567" s="39"/>
      <c r="BY567" s="39"/>
      <c r="BZ567" s="39"/>
      <c r="CA567" s="39"/>
      <c r="CB567" s="39"/>
      <c r="CC567" s="39"/>
      <c r="CD567" s="39"/>
      <c r="CE567" s="39"/>
      <c r="CF567" s="39"/>
      <c r="CG567" s="39"/>
      <c r="CH567" s="39"/>
      <c r="CI567" s="39"/>
      <c r="CJ567" s="39"/>
      <c r="CK567" s="39"/>
      <c r="CL567" s="39"/>
      <c r="CM567" s="39"/>
      <c r="CN567" s="39"/>
      <c r="CO567" s="39"/>
      <c r="CP567" s="39"/>
      <c r="CQ567" s="39"/>
      <c r="CR567" s="39"/>
      <c r="CS567" s="39"/>
      <c r="CT567" s="39"/>
      <c r="CU567" s="39"/>
      <c r="CV567" s="39"/>
      <c r="CW567" s="39"/>
      <c r="CX567" s="39"/>
      <c r="CY567" s="39"/>
      <c r="CZ567" s="39"/>
      <c r="DA567" s="39"/>
      <c r="DB567" s="39"/>
      <c r="DC567" s="39"/>
    </row>
    <row r="568" spans="1:107" s="92" customFormat="1" ht="39.950000000000003" customHeight="1" x14ac:dyDescent="0.25">
      <c r="A568"/>
      <c r="B568"/>
      <c r="C568"/>
      <c r="D568"/>
      <c r="E568"/>
      <c r="F568"/>
      <c r="G568"/>
      <c r="H568"/>
      <c r="I568" s="68"/>
      <c r="J568" s="71"/>
      <c r="K568"/>
      <c r="L568"/>
      <c r="M568"/>
      <c r="N568"/>
      <c r="O568"/>
      <c r="P568"/>
      <c r="Q568" s="121"/>
      <c r="R568"/>
      <c r="S568"/>
      <c r="T568" s="229"/>
      <c r="U568" s="229"/>
      <c r="V568" s="229"/>
      <c r="W568" s="229"/>
      <c r="X568" s="229"/>
      <c r="Y568" s="136"/>
      <c r="Z568" s="166"/>
      <c r="AA568" s="166"/>
      <c r="AB568" s="71"/>
      <c r="AC568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  <c r="BA568" s="39"/>
      <c r="BB568" s="39"/>
      <c r="BC568" s="39"/>
      <c r="BD568" s="39"/>
      <c r="BE568" s="39"/>
      <c r="BF568" s="39"/>
      <c r="BG568" s="39"/>
      <c r="BH568" s="39"/>
      <c r="BI568" s="39"/>
      <c r="BJ568" s="39"/>
      <c r="BK568" s="39"/>
      <c r="BL568" s="39"/>
      <c r="BM568" s="39"/>
      <c r="BN568" s="39"/>
      <c r="BO568" s="39"/>
      <c r="BP568" s="39"/>
      <c r="BQ568" s="39"/>
      <c r="BR568" s="39"/>
      <c r="BS568" s="39"/>
      <c r="BT568" s="39"/>
      <c r="BU568" s="39"/>
      <c r="BV568" s="39"/>
      <c r="BW568" s="39"/>
      <c r="BX568" s="39"/>
      <c r="BY568" s="39"/>
      <c r="BZ568" s="39"/>
      <c r="CA568" s="39"/>
      <c r="CB568" s="39"/>
      <c r="CC568" s="39"/>
      <c r="CD568" s="39"/>
      <c r="CE568" s="39"/>
      <c r="CF568" s="39"/>
      <c r="CG568" s="39"/>
      <c r="CH568" s="39"/>
      <c r="CI568" s="39"/>
      <c r="CJ568" s="39"/>
      <c r="CK568" s="39"/>
      <c r="CL568" s="39"/>
      <c r="CM568" s="39"/>
      <c r="CN568" s="39"/>
      <c r="CO568" s="39"/>
      <c r="CP568" s="39"/>
      <c r="CQ568" s="39"/>
      <c r="CR568" s="39"/>
      <c r="CS568" s="39"/>
      <c r="CT568" s="39"/>
      <c r="CU568" s="39"/>
      <c r="CV568" s="39"/>
      <c r="CW568" s="39"/>
      <c r="CX568" s="39"/>
      <c r="CY568" s="39"/>
      <c r="CZ568" s="39"/>
      <c r="DA568" s="39"/>
      <c r="DB568" s="39"/>
      <c r="DC568" s="39"/>
    </row>
    <row r="569" spans="1:107" s="92" customFormat="1" ht="39.950000000000003" customHeight="1" x14ac:dyDescent="0.25">
      <c r="A569"/>
      <c r="B569"/>
      <c r="C569"/>
      <c r="D569"/>
      <c r="E569"/>
      <c r="F569"/>
      <c r="G569"/>
      <c r="H569"/>
      <c r="I569" s="68"/>
      <c r="J569" s="71"/>
      <c r="K569"/>
      <c r="L569"/>
      <c r="M569"/>
      <c r="N569"/>
      <c r="O569"/>
      <c r="P569"/>
      <c r="Q569" s="121"/>
      <c r="R569"/>
      <c r="S569"/>
      <c r="T569" s="229"/>
      <c r="U569" s="229"/>
      <c r="V569" s="229"/>
      <c r="W569" s="229"/>
      <c r="X569" s="229"/>
      <c r="Y569" s="136"/>
      <c r="Z569" s="166"/>
      <c r="AA569" s="166"/>
      <c r="AB569" s="71"/>
      <c r="AC56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  <c r="BA569" s="39"/>
      <c r="BB569" s="39"/>
      <c r="BC569" s="39"/>
      <c r="BD569" s="39"/>
      <c r="BE569" s="39"/>
      <c r="BF569" s="39"/>
      <c r="BG569" s="39"/>
      <c r="BH569" s="39"/>
      <c r="BI569" s="39"/>
      <c r="BJ569" s="39"/>
      <c r="BK569" s="39"/>
      <c r="BL569" s="39"/>
      <c r="BM569" s="39"/>
      <c r="BN569" s="39"/>
      <c r="BO569" s="39"/>
      <c r="BP569" s="39"/>
      <c r="BQ569" s="39"/>
      <c r="BR569" s="39"/>
      <c r="BS569" s="39"/>
      <c r="BT569" s="39"/>
      <c r="BU569" s="39"/>
      <c r="BV569" s="39"/>
      <c r="BW569" s="39"/>
      <c r="BX569" s="39"/>
      <c r="BY569" s="39"/>
      <c r="BZ569" s="39"/>
      <c r="CA569" s="39"/>
      <c r="CB569" s="39"/>
      <c r="CC569" s="39"/>
      <c r="CD569" s="39"/>
      <c r="CE569" s="39"/>
      <c r="CF569" s="39"/>
      <c r="CG569" s="39"/>
      <c r="CH569" s="39"/>
      <c r="CI569" s="39"/>
      <c r="CJ569" s="39"/>
      <c r="CK569" s="39"/>
      <c r="CL569" s="39"/>
      <c r="CM569" s="39"/>
      <c r="CN569" s="39"/>
      <c r="CO569" s="39"/>
      <c r="CP569" s="39"/>
      <c r="CQ569" s="39"/>
      <c r="CR569" s="39"/>
      <c r="CS569" s="39"/>
      <c r="CT569" s="39"/>
      <c r="CU569" s="39"/>
      <c r="CV569" s="39"/>
      <c r="CW569" s="39"/>
      <c r="CX569" s="39"/>
      <c r="CY569" s="39"/>
      <c r="CZ569" s="39"/>
      <c r="DA569" s="39"/>
      <c r="DB569" s="39"/>
      <c r="DC569" s="39"/>
    </row>
    <row r="570" spans="1:107" s="92" customFormat="1" ht="39.950000000000003" customHeight="1" x14ac:dyDescent="0.25">
      <c r="A570"/>
      <c r="B570"/>
      <c r="C570"/>
      <c r="D570"/>
      <c r="E570"/>
      <c r="F570"/>
      <c r="G570"/>
      <c r="H570"/>
      <c r="I570" s="68"/>
      <c r="J570" s="71"/>
      <c r="K570"/>
      <c r="L570"/>
      <c r="M570"/>
      <c r="N570"/>
      <c r="O570"/>
      <c r="P570"/>
      <c r="Q570" s="121"/>
      <c r="R570"/>
      <c r="S570"/>
      <c r="T570" s="229"/>
      <c r="U570" s="229"/>
      <c r="V570" s="229"/>
      <c r="W570" s="229"/>
      <c r="X570" s="229"/>
      <c r="Y570" s="136"/>
      <c r="Z570" s="166"/>
      <c r="AA570" s="166"/>
      <c r="AB570" s="71"/>
      <c r="AC570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  <c r="BA570" s="39"/>
      <c r="BB570" s="39"/>
      <c r="BC570" s="39"/>
      <c r="BD570" s="39"/>
      <c r="BE570" s="39"/>
      <c r="BF570" s="39"/>
      <c r="BG570" s="39"/>
      <c r="BH570" s="39"/>
      <c r="BI570" s="39"/>
      <c r="BJ570" s="39"/>
      <c r="BK570" s="39"/>
      <c r="BL570" s="39"/>
      <c r="BM570" s="39"/>
      <c r="BN570" s="39"/>
      <c r="BO570" s="39"/>
      <c r="BP570" s="39"/>
      <c r="BQ570" s="39"/>
      <c r="BR570" s="39"/>
      <c r="BS570" s="39"/>
      <c r="BT570" s="39"/>
      <c r="BU570" s="39"/>
      <c r="BV570" s="39"/>
      <c r="BW570" s="39"/>
      <c r="BX570" s="39"/>
      <c r="BY570" s="39"/>
      <c r="BZ570" s="39"/>
      <c r="CA570" s="39"/>
      <c r="CB570" s="39"/>
      <c r="CC570" s="39"/>
      <c r="CD570" s="39"/>
      <c r="CE570" s="39"/>
      <c r="CF570" s="39"/>
      <c r="CG570" s="39"/>
      <c r="CH570" s="39"/>
      <c r="CI570" s="39"/>
      <c r="CJ570" s="39"/>
      <c r="CK570" s="39"/>
      <c r="CL570" s="39"/>
      <c r="CM570" s="39"/>
      <c r="CN570" s="39"/>
      <c r="CO570" s="39"/>
      <c r="CP570" s="39"/>
      <c r="CQ570" s="39"/>
      <c r="CR570" s="39"/>
      <c r="CS570" s="39"/>
      <c r="CT570" s="39"/>
      <c r="CU570" s="39"/>
      <c r="CV570" s="39"/>
      <c r="CW570" s="39"/>
      <c r="CX570" s="39"/>
      <c r="CY570" s="39"/>
      <c r="CZ570" s="39"/>
      <c r="DA570" s="39"/>
      <c r="DB570" s="39"/>
      <c r="DC570" s="39"/>
    </row>
    <row r="571" spans="1:107" s="92" customFormat="1" ht="39.950000000000003" customHeight="1" x14ac:dyDescent="0.25">
      <c r="A571"/>
      <c r="B571"/>
      <c r="C571"/>
      <c r="D571"/>
      <c r="E571"/>
      <c r="F571"/>
      <c r="G571"/>
      <c r="H571"/>
      <c r="I571" s="68"/>
      <c r="J571" s="71"/>
      <c r="K571"/>
      <c r="L571"/>
      <c r="M571"/>
      <c r="N571"/>
      <c r="O571"/>
      <c r="P571"/>
      <c r="Q571" s="121"/>
      <c r="R571"/>
      <c r="S571"/>
      <c r="T571" s="229"/>
      <c r="U571" s="229"/>
      <c r="V571" s="229"/>
      <c r="W571" s="229"/>
      <c r="X571" s="229"/>
      <c r="Y571" s="136"/>
      <c r="Z571" s="166"/>
      <c r="AA571" s="166"/>
      <c r="AB571" s="71"/>
      <c r="AC571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  <c r="BA571" s="39"/>
      <c r="BB571" s="39"/>
      <c r="BC571" s="39"/>
      <c r="BD571" s="39"/>
      <c r="BE571" s="39"/>
      <c r="BF571" s="39"/>
      <c r="BG571" s="39"/>
      <c r="BH571" s="39"/>
      <c r="BI571" s="39"/>
      <c r="BJ571" s="39"/>
      <c r="BK571" s="39"/>
      <c r="BL571" s="39"/>
      <c r="BM571" s="39"/>
      <c r="BN571" s="39"/>
      <c r="BO571" s="39"/>
      <c r="BP571" s="39"/>
      <c r="BQ571" s="39"/>
      <c r="BR571" s="39"/>
      <c r="BS571" s="39"/>
      <c r="BT571" s="39"/>
      <c r="BU571" s="39"/>
      <c r="BV571" s="39"/>
      <c r="BW571" s="39"/>
      <c r="BX571" s="39"/>
      <c r="BY571" s="39"/>
      <c r="BZ571" s="39"/>
      <c r="CA571" s="39"/>
      <c r="CB571" s="39"/>
      <c r="CC571" s="39"/>
      <c r="CD571" s="39"/>
      <c r="CE571" s="39"/>
      <c r="CF571" s="39"/>
      <c r="CG571" s="39"/>
      <c r="CH571" s="39"/>
      <c r="CI571" s="39"/>
      <c r="CJ571" s="39"/>
      <c r="CK571" s="39"/>
      <c r="CL571" s="39"/>
      <c r="CM571" s="39"/>
      <c r="CN571" s="39"/>
      <c r="CO571" s="39"/>
      <c r="CP571" s="39"/>
      <c r="CQ571" s="39"/>
      <c r="CR571" s="39"/>
      <c r="CS571" s="39"/>
      <c r="CT571" s="39"/>
      <c r="CU571" s="39"/>
      <c r="CV571" s="39"/>
      <c r="CW571" s="39"/>
      <c r="CX571" s="39"/>
      <c r="CY571" s="39"/>
      <c r="CZ571" s="39"/>
      <c r="DA571" s="39"/>
      <c r="DB571" s="39"/>
      <c r="DC571" s="39"/>
    </row>
    <row r="572" spans="1:107" s="92" customFormat="1" ht="39.950000000000003" customHeight="1" x14ac:dyDescent="0.25">
      <c r="A572"/>
      <c r="B572"/>
      <c r="C572"/>
      <c r="D572"/>
      <c r="E572"/>
      <c r="F572"/>
      <c r="G572"/>
      <c r="H572"/>
      <c r="I572" s="68"/>
      <c r="J572" s="71"/>
      <c r="K572"/>
      <c r="L572"/>
      <c r="M572"/>
      <c r="N572"/>
      <c r="O572"/>
      <c r="P572"/>
      <c r="Q572" s="121"/>
      <c r="R572"/>
      <c r="S572"/>
      <c r="T572" s="229"/>
      <c r="U572" s="229"/>
      <c r="V572" s="229"/>
      <c r="W572" s="229"/>
      <c r="X572" s="229"/>
      <c r="Y572" s="136"/>
      <c r="Z572" s="166"/>
      <c r="AA572" s="166"/>
      <c r="AB572" s="71"/>
      <c r="AC572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  <c r="BA572" s="39"/>
      <c r="BB572" s="39"/>
      <c r="BC572" s="39"/>
      <c r="BD572" s="39"/>
      <c r="BE572" s="39"/>
      <c r="BF572" s="39"/>
      <c r="BG572" s="39"/>
      <c r="BH572" s="39"/>
      <c r="BI572" s="39"/>
      <c r="BJ572" s="39"/>
      <c r="BK572" s="39"/>
      <c r="BL572" s="39"/>
      <c r="BM572" s="39"/>
      <c r="BN572" s="39"/>
      <c r="BO572" s="39"/>
      <c r="BP572" s="39"/>
      <c r="BQ572" s="39"/>
      <c r="BR572" s="39"/>
      <c r="BS572" s="39"/>
      <c r="BT572" s="39"/>
      <c r="BU572" s="39"/>
      <c r="BV572" s="39"/>
      <c r="BW572" s="39"/>
      <c r="BX572" s="39"/>
      <c r="BY572" s="39"/>
      <c r="BZ572" s="39"/>
      <c r="CA572" s="39"/>
      <c r="CB572" s="39"/>
      <c r="CC572" s="39"/>
      <c r="CD572" s="39"/>
      <c r="CE572" s="39"/>
      <c r="CF572" s="39"/>
      <c r="CG572" s="39"/>
      <c r="CH572" s="39"/>
      <c r="CI572" s="39"/>
      <c r="CJ572" s="39"/>
      <c r="CK572" s="39"/>
      <c r="CL572" s="39"/>
      <c r="CM572" s="39"/>
      <c r="CN572" s="39"/>
      <c r="CO572" s="39"/>
      <c r="CP572" s="39"/>
      <c r="CQ572" s="39"/>
      <c r="CR572" s="39"/>
      <c r="CS572" s="39"/>
      <c r="CT572" s="39"/>
      <c r="CU572" s="39"/>
      <c r="CV572" s="39"/>
      <c r="CW572" s="39"/>
      <c r="CX572" s="39"/>
      <c r="CY572" s="39"/>
      <c r="CZ572" s="39"/>
      <c r="DA572" s="39"/>
      <c r="DB572" s="39"/>
      <c r="DC572" s="39"/>
    </row>
    <row r="573" spans="1:107" s="92" customFormat="1" ht="39.950000000000003" customHeight="1" x14ac:dyDescent="0.25">
      <c r="A573"/>
      <c r="B573"/>
      <c r="C573"/>
      <c r="D573"/>
      <c r="E573"/>
      <c r="F573"/>
      <c r="G573"/>
      <c r="H573"/>
      <c r="I573" s="68"/>
      <c r="J573" s="71"/>
      <c r="K573"/>
      <c r="L573"/>
      <c r="M573"/>
      <c r="N573"/>
      <c r="O573"/>
      <c r="P573"/>
      <c r="Q573" s="121"/>
      <c r="R573"/>
      <c r="S573"/>
      <c r="T573" s="229"/>
      <c r="U573" s="229"/>
      <c r="V573" s="229"/>
      <c r="W573" s="229"/>
      <c r="X573" s="229"/>
      <c r="Y573" s="136"/>
      <c r="Z573" s="166"/>
      <c r="AA573" s="166"/>
      <c r="AB573" s="71"/>
      <c r="AC573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  <c r="BA573" s="39"/>
      <c r="BB573" s="39"/>
      <c r="BC573" s="39"/>
      <c r="BD573" s="39"/>
      <c r="BE573" s="39"/>
      <c r="BF573" s="39"/>
      <c r="BG573" s="39"/>
      <c r="BH573" s="39"/>
      <c r="BI573" s="39"/>
      <c r="BJ573" s="39"/>
      <c r="BK573" s="39"/>
      <c r="BL573" s="39"/>
      <c r="BM573" s="39"/>
      <c r="BN573" s="39"/>
      <c r="BO573" s="39"/>
      <c r="BP573" s="39"/>
      <c r="BQ573" s="39"/>
      <c r="BR573" s="39"/>
      <c r="BS573" s="39"/>
      <c r="BT573" s="39"/>
      <c r="BU573" s="39"/>
      <c r="BV573" s="39"/>
      <c r="BW573" s="39"/>
      <c r="BX573" s="39"/>
      <c r="BY573" s="39"/>
      <c r="BZ573" s="39"/>
      <c r="CA573" s="39"/>
      <c r="CB573" s="39"/>
      <c r="CC573" s="39"/>
      <c r="CD573" s="39"/>
      <c r="CE573" s="39"/>
      <c r="CF573" s="39"/>
      <c r="CG573" s="39"/>
      <c r="CH573" s="39"/>
      <c r="CI573" s="39"/>
      <c r="CJ573" s="39"/>
      <c r="CK573" s="39"/>
      <c r="CL573" s="39"/>
      <c r="CM573" s="39"/>
      <c r="CN573" s="39"/>
      <c r="CO573" s="39"/>
      <c r="CP573" s="39"/>
      <c r="CQ573" s="39"/>
      <c r="CR573" s="39"/>
      <c r="CS573" s="39"/>
      <c r="CT573" s="39"/>
      <c r="CU573" s="39"/>
      <c r="CV573" s="39"/>
      <c r="CW573" s="39"/>
      <c r="CX573" s="39"/>
      <c r="CY573" s="39"/>
      <c r="CZ573" s="39"/>
      <c r="DA573" s="39"/>
      <c r="DB573" s="39"/>
      <c r="DC573" s="39"/>
    </row>
    <row r="574" spans="1:107" s="92" customFormat="1" ht="39.950000000000003" customHeight="1" x14ac:dyDescent="0.25">
      <c r="A574"/>
      <c r="B574"/>
      <c r="C574"/>
      <c r="D574"/>
      <c r="E574"/>
      <c r="F574"/>
      <c r="G574"/>
      <c r="H574"/>
      <c r="I574" s="68"/>
      <c r="J574" s="71"/>
      <c r="K574"/>
      <c r="L574"/>
      <c r="M574"/>
      <c r="N574"/>
      <c r="O574"/>
      <c r="P574"/>
      <c r="Q574" s="121"/>
      <c r="R574"/>
      <c r="S574"/>
      <c r="T574" s="229"/>
      <c r="U574" s="229"/>
      <c r="V574" s="229"/>
      <c r="W574" s="229"/>
      <c r="X574" s="229"/>
      <c r="Y574" s="136"/>
      <c r="Z574" s="166"/>
      <c r="AA574" s="166"/>
      <c r="AB574" s="71"/>
      <c r="AC574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  <c r="BA574" s="39"/>
      <c r="BB574" s="39"/>
      <c r="BC574" s="39"/>
      <c r="BD574" s="39"/>
      <c r="BE574" s="39"/>
      <c r="BF574" s="39"/>
      <c r="BG574" s="39"/>
      <c r="BH574" s="39"/>
      <c r="BI574" s="39"/>
      <c r="BJ574" s="39"/>
      <c r="BK574" s="39"/>
      <c r="BL574" s="39"/>
      <c r="BM574" s="39"/>
      <c r="BN574" s="39"/>
      <c r="BO574" s="39"/>
      <c r="BP574" s="39"/>
      <c r="BQ574" s="39"/>
      <c r="BR574" s="39"/>
      <c r="BS574" s="39"/>
      <c r="BT574" s="39"/>
      <c r="BU574" s="39"/>
      <c r="BV574" s="39"/>
      <c r="BW574" s="39"/>
      <c r="BX574" s="39"/>
      <c r="BY574" s="39"/>
      <c r="BZ574" s="39"/>
      <c r="CA574" s="39"/>
      <c r="CB574" s="39"/>
      <c r="CC574" s="39"/>
      <c r="CD574" s="39"/>
      <c r="CE574" s="39"/>
      <c r="CF574" s="39"/>
      <c r="CG574" s="39"/>
      <c r="CH574" s="39"/>
      <c r="CI574" s="39"/>
      <c r="CJ574" s="39"/>
      <c r="CK574" s="39"/>
      <c r="CL574" s="39"/>
      <c r="CM574" s="39"/>
      <c r="CN574" s="39"/>
      <c r="CO574" s="39"/>
      <c r="CP574" s="39"/>
      <c r="CQ574" s="39"/>
      <c r="CR574" s="39"/>
      <c r="CS574" s="39"/>
      <c r="CT574" s="39"/>
      <c r="CU574" s="39"/>
      <c r="CV574" s="39"/>
      <c r="CW574" s="39"/>
      <c r="CX574" s="39"/>
      <c r="CY574" s="39"/>
      <c r="CZ574" s="39"/>
      <c r="DA574" s="39"/>
      <c r="DB574" s="39"/>
      <c r="DC574" s="39"/>
    </row>
    <row r="575" spans="1:107" s="92" customFormat="1" ht="39.950000000000003" customHeight="1" x14ac:dyDescent="0.25">
      <c r="A575"/>
      <c r="B575"/>
      <c r="C575"/>
      <c r="D575"/>
      <c r="E575"/>
      <c r="F575"/>
      <c r="G575"/>
      <c r="H575"/>
      <c r="I575" s="68"/>
      <c r="J575" s="71"/>
      <c r="K575"/>
      <c r="L575"/>
      <c r="M575"/>
      <c r="N575"/>
      <c r="O575"/>
      <c r="P575"/>
      <c r="Q575" s="121"/>
      <c r="R575"/>
      <c r="S575"/>
      <c r="T575" s="229"/>
      <c r="U575" s="229"/>
      <c r="V575" s="229"/>
      <c r="W575" s="229"/>
      <c r="X575" s="229"/>
      <c r="Y575" s="136"/>
      <c r="Z575" s="166"/>
      <c r="AA575" s="166"/>
      <c r="AB575" s="71"/>
      <c r="AC575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  <c r="BA575" s="39"/>
      <c r="BB575" s="39"/>
      <c r="BC575" s="39"/>
      <c r="BD575" s="39"/>
      <c r="BE575" s="39"/>
      <c r="BF575" s="39"/>
      <c r="BG575" s="39"/>
      <c r="BH575" s="39"/>
      <c r="BI575" s="39"/>
      <c r="BJ575" s="39"/>
      <c r="BK575" s="39"/>
      <c r="BL575" s="39"/>
      <c r="BM575" s="39"/>
      <c r="BN575" s="39"/>
      <c r="BO575" s="39"/>
      <c r="BP575" s="39"/>
      <c r="BQ575" s="39"/>
      <c r="BR575" s="39"/>
      <c r="BS575" s="39"/>
      <c r="BT575" s="39"/>
      <c r="BU575" s="39"/>
      <c r="BV575" s="39"/>
      <c r="BW575" s="39"/>
      <c r="BX575" s="39"/>
      <c r="BY575" s="39"/>
      <c r="BZ575" s="39"/>
      <c r="CA575" s="39"/>
      <c r="CB575" s="39"/>
      <c r="CC575" s="39"/>
      <c r="CD575" s="39"/>
      <c r="CE575" s="39"/>
      <c r="CF575" s="39"/>
      <c r="CG575" s="39"/>
      <c r="CH575" s="39"/>
      <c r="CI575" s="39"/>
      <c r="CJ575" s="39"/>
      <c r="CK575" s="39"/>
      <c r="CL575" s="39"/>
      <c r="CM575" s="39"/>
      <c r="CN575" s="39"/>
      <c r="CO575" s="39"/>
      <c r="CP575" s="39"/>
      <c r="CQ575" s="39"/>
      <c r="CR575" s="39"/>
      <c r="CS575" s="39"/>
      <c r="CT575" s="39"/>
      <c r="CU575" s="39"/>
      <c r="CV575" s="39"/>
      <c r="CW575" s="39"/>
      <c r="CX575" s="39"/>
      <c r="CY575" s="39"/>
      <c r="CZ575" s="39"/>
      <c r="DA575" s="39"/>
      <c r="DB575" s="39"/>
      <c r="DC575" s="39"/>
    </row>
    <row r="576" spans="1:107" s="92" customFormat="1" ht="39.950000000000003" customHeight="1" x14ac:dyDescent="0.25">
      <c r="A576"/>
      <c r="B576"/>
      <c r="C576"/>
      <c r="D576"/>
      <c r="E576"/>
      <c r="F576"/>
      <c r="G576"/>
      <c r="H576"/>
      <c r="I576" s="68"/>
      <c r="J576" s="71"/>
      <c r="K576"/>
      <c r="L576"/>
      <c r="M576"/>
      <c r="N576"/>
      <c r="O576"/>
      <c r="P576"/>
      <c r="Q576" s="121"/>
      <c r="R576"/>
      <c r="S576"/>
      <c r="T576" s="229"/>
      <c r="U576" s="229"/>
      <c r="V576" s="229"/>
      <c r="W576" s="229"/>
      <c r="X576" s="229"/>
      <c r="Y576" s="136"/>
      <c r="Z576" s="166"/>
      <c r="AA576" s="166"/>
      <c r="AB576" s="71"/>
      <c r="AC576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  <c r="BA576" s="39"/>
      <c r="BB576" s="39"/>
      <c r="BC576" s="39"/>
      <c r="BD576" s="39"/>
      <c r="BE576" s="39"/>
      <c r="BF576" s="39"/>
      <c r="BG576" s="39"/>
      <c r="BH576" s="39"/>
      <c r="BI576" s="39"/>
      <c r="BJ576" s="39"/>
      <c r="BK576" s="39"/>
      <c r="BL576" s="39"/>
      <c r="BM576" s="39"/>
      <c r="BN576" s="39"/>
      <c r="BO576" s="39"/>
      <c r="BP576" s="39"/>
      <c r="BQ576" s="39"/>
      <c r="BR576" s="39"/>
      <c r="BS576" s="39"/>
      <c r="BT576" s="39"/>
      <c r="BU576" s="39"/>
      <c r="BV576" s="39"/>
      <c r="BW576" s="39"/>
      <c r="BX576" s="39"/>
      <c r="BY576" s="39"/>
      <c r="BZ576" s="39"/>
      <c r="CA576" s="39"/>
      <c r="CB576" s="39"/>
      <c r="CC576" s="39"/>
      <c r="CD576" s="39"/>
      <c r="CE576" s="39"/>
      <c r="CF576" s="39"/>
      <c r="CG576" s="39"/>
      <c r="CH576" s="39"/>
      <c r="CI576" s="39"/>
      <c r="CJ576" s="39"/>
      <c r="CK576" s="39"/>
      <c r="CL576" s="39"/>
      <c r="CM576" s="39"/>
      <c r="CN576" s="39"/>
      <c r="CO576" s="39"/>
      <c r="CP576" s="39"/>
      <c r="CQ576" s="39"/>
      <c r="CR576" s="39"/>
      <c r="CS576" s="39"/>
      <c r="CT576" s="39"/>
      <c r="CU576" s="39"/>
      <c r="CV576" s="39"/>
      <c r="CW576" s="39"/>
      <c r="CX576" s="39"/>
      <c r="CY576" s="39"/>
      <c r="CZ576" s="39"/>
      <c r="DA576" s="39"/>
      <c r="DB576" s="39"/>
      <c r="DC576" s="39"/>
    </row>
    <row r="577" spans="1:107" s="92" customFormat="1" ht="39.950000000000003" customHeight="1" x14ac:dyDescent="0.25">
      <c r="A577"/>
      <c r="B577"/>
      <c r="C577"/>
      <c r="D577"/>
      <c r="E577"/>
      <c r="F577"/>
      <c r="G577"/>
      <c r="H577"/>
      <c r="I577" s="68"/>
      <c r="J577" s="71"/>
      <c r="K577"/>
      <c r="L577"/>
      <c r="M577"/>
      <c r="N577"/>
      <c r="O577"/>
      <c r="P577"/>
      <c r="Q577" s="121"/>
      <c r="R577"/>
      <c r="S577"/>
      <c r="T577" s="229"/>
      <c r="U577" s="229"/>
      <c r="V577" s="229"/>
      <c r="W577" s="229"/>
      <c r="X577" s="229"/>
      <c r="Y577" s="136"/>
      <c r="Z577" s="166"/>
      <c r="AA577" s="166"/>
      <c r="AB577" s="71"/>
      <c r="AC577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  <c r="BA577" s="39"/>
      <c r="BB577" s="39"/>
      <c r="BC577" s="39"/>
      <c r="BD577" s="39"/>
      <c r="BE577" s="39"/>
      <c r="BF577" s="39"/>
      <c r="BG577" s="39"/>
      <c r="BH577" s="39"/>
      <c r="BI577" s="39"/>
      <c r="BJ577" s="39"/>
      <c r="BK577" s="39"/>
      <c r="BL577" s="39"/>
      <c r="BM577" s="39"/>
      <c r="BN577" s="39"/>
      <c r="BO577" s="39"/>
      <c r="BP577" s="39"/>
      <c r="BQ577" s="39"/>
      <c r="BR577" s="39"/>
      <c r="BS577" s="39"/>
      <c r="BT577" s="39"/>
      <c r="BU577" s="39"/>
      <c r="BV577" s="39"/>
      <c r="BW577" s="39"/>
      <c r="BX577" s="39"/>
      <c r="BY577" s="39"/>
      <c r="BZ577" s="39"/>
      <c r="CA577" s="39"/>
      <c r="CB577" s="39"/>
      <c r="CC577" s="39"/>
      <c r="CD577" s="39"/>
      <c r="CE577" s="39"/>
      <c r="CF577" s="39"/>
      <c r="CG577" s="39"/>
      <c r="CH577" s="39"/>
      <c r="CI577" s="39"/>
      <c r="CJ577" s="39"/>
      <c r="CK577" s="39"/>
      <c r="CL577" s="39"/>
      <c r="CM577" s="39"/>
      <c r="CN577" s="39"/>
      <c r="CO577" s="39"/>
      <c r="CP577" s="39"/>
      <c r="CQ577" s="39"/>
      <c r="CR577" s="39"/>
      <c r="CS577" s="39"/>
      <c r="CT577" s="39"/>
      <c r="CU577" s="39"/>
      <c r="CV577" s="39"/>
      <c r="CW577" s="39"/>
      <c r="CX577" s="39"/>
      <c r="CY577" s="39"/>
      <c r="CZ577" s="39"/>
      <c r="DA577" s="39"/>
      <c r="DB577" s="39"/>
      <c r="DC577" s="39"/>
    </row>
    <row r="578" spans="1:107" ht="33" customHeight="1" x14ac:dyDescent="0.25">
      <c r="AD578" s="23"/>
      <c r="AE578" s="23"/>
      <c r="AF578" s="23"/>
      <c r="AG578" s="23"/>
      <c r="AH578" s="23"/>
      <c r="AI578" s="23"/>
      <c r="AJ578" s="23"/>
      <c r="AK578" s="23"/>
      <c r="AL578" s="23"/>
      <c r="AM578" s="23"/>
      <c r="AN578" s="23"/>
      <c r="AO578" s="23"/>
      <c r="AP578" s="23"/>
      <c r="AQ578" s="23"/>
      <c r="AR578" s="23"/>
      <c r="AS578" s="23"/>
      <c r="AT578" s="23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</row>
    <row r="579" spans="1:107" ht="33" customHeight="1" x14ac:dyDescent="0.25"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3"/>
      <c r="CP579" s="3"/>
      <c r="CQ579" s="3"/>
    </row>
    <row r="580" spans="1:107" ht="33" customHeight="1" x14ac:dyDescent="0.25"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3"/>
      <c r="CP580" s="3"/>
      <c r="CQ580" s="3"/>
    </row>
    <row r="581" spans="1:107" s="93" customFormat="1" ht="33" customHeight="1" x14ac:dyDescent="0.25">
      <c r="A581"/>
      <c r="B581"/>
      <c r="C581"/>
      <c r="D581"/>
      <c r="E581"/>
      <c r="F581"/>
      <c r="G581"/>
      <c r="H581"/>
      <c r="I581" s="68"/>
      <c r="J581" s="71"/>
      <c r="K581"/>
      <c r="L581"/>
      <c r="M581"/>
      <c r="N581"/>
      <c r="O581"/>
      <c r="P581"/>
      <c r="Q581" s="121"/>
      <c r="R581"/>
      <c r="S581"/>
      <c r="T581" s="229"/>
      <c r="U581" s="229"/>
      <c r="V581" s="229"/>
      <c r="W581" s="229"/>
      <c r="X581" s="229"/>
      <c r="Y581" s="136"/>
      <c r="Z581" s="166"/>
      <c r="AA581" s="166"/>
      <c r="AB581" s="71"/>
      <c r="AC581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3"/>
      <c r="CP581" s="3"/>
      <c r="CQ581" s="3"/>
    </row>
    <row r="582" spans="1:107" s="93" customFormat="1" ht="33" hidden="1" customHeight="1" x14ac:dyDescent="0.25">
      <c r="A582"/>
      <c r="B582"/>
      <c r="C582"/>
      <c r="D582"/>
      <c r="E582"/>
      <c r="F582"/>
      <c r="G582"/>
      <c r="H582"/>
      <c r="I582" s="68"/>
      <c r="J582" s="71"/>
      <c r="K582"/>
      <c r="L582"/>
      <c r="M582"/>
      <c r="N582"/>
      <c r="O582"/>
      <c r="P582"/>
      <c r="Q582" s="121"/>
      <c r="R582"/>
      <c r="S582"/>
      <c r="T582" s="229"/>
      <c r="U582" s="229"/>
      <c r="V582" s="229"/>
      <c r="W582" s="229"/>
      <c r="X582" s="229"/>
      <c r="Y582" s="136"/>
      <c r="Z582" s="166"/>
      <c r="AA582" s="166"/>
      <c r="AB582" s="71"/>
      <c r="AC582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3"/>
      <c r="CP582" s="3"/>
      <c r="CQ582" s="3"/>
    </row>
    <row r="583" spans="1:107" s="93" customFormat="1" ht="33" customHeight="1" x14ac:dyDescent="0.25">
      <c r="A583"/>
      <c r="B583"/>
      <c r="C583"/>
      <c r="D583"/>
      <c r="E583"/>
      <c r="F583"/>
      <c r="G583"/>
      <c r="H583"/>
      <c r="I583" s="68"/>
      <c r="J583" s="71"/>
      <c r="K583"/>
      <c r="L583"/>
      <c r="M583"/>
      <c r="N583"/>
      <c r="O583"/>
      <c r="P583"/>
      <c r="Q583" s="121"/>
      <c r="R583"/>
      <c r="S583"/>
      <c r="T583" s="229"/>
      <c r="U583" s="229"/>
      <c r="V583" s="229"/>
      <c r="W583" s="229"/>
      <c r="X583" s="229"/>
      <c r="Y583" s="136"/>
      <c r="Z583" s="166"/>
      <c r="AA583" s="166"/>
      <c r="AB583" s="71"/>
      <c r="AC583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3"/>
      <c r="CP583" s="3"/>
      <c r="CQ583" s="3"/>
    </row>
    <row r="584" spans="1:107" s="93" customFormat="1" ht="33" customHeight="1" x14ac:dyDescent="0.25">
      <c r="A584"/>
      <c r="B584"/>
      <c r="C584"/>
      <c r="D584"/>
      <c r="E584"/>
      <c r="F584"/>
      <c r="G584"/>
      <c r="H584"/>
      <c r="I584" s="68"/>
      <c r="J584" s="71"/>
      <c r="K584"/>
      <c r="L584"/>
      <c r="M584"/>
      <c r="N584"/>
      <c r="O584"/>
      <c r="P584"/>
      <c r="Q584" s="121"/>
      <c r="R584"/>
      <c r="S584"/>
      <c r="T584" s="229"/>
      <c r="U584" s="229"/>
      <c r="V584" s="229"/>
      <c r="W584" s="229"/>
      <c r="X584" s="229"/>
      <c r="Y584" s="136"/>
      <c r="Z584" s="166"/>
      <c r="AA584" s="166"/>
      <c r="AB584" s="71"/>
      <c r="AC584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3"/>
      <c r="CP584" s="3"/>
      <c r="CQ584" s="3"/>
    </row>
    <row r="585" spans="1:107" s="93" customFormat="1" ht="33" customHeight="1" x14ac:dyDescent="0.25">
      <c r="A585"/>
      <c r="B585"/>
      <c r="C585"/>
      <c r="D585"/>
      <c r="E585"/>
      <c r="F585"/>
      <c r="G585"/>
      <c r="H585"/>
      <c r="I585" s="68"/>
      <c r="J585" s="71"/>
      <c r="K585"/>
      <c r="L585"/>
      <c r="M585"/>
      <c r="N585"/>
      <c r="O585"/>
      <c r="P585"/>
      <c r="Q585" s="121"/>
      <c r="R585"/>
      <c r="S585"/>
      <c r="T585" s="229"/>
      <c r="U585" s="229"/>
      <c r="V585" s="229"/>
      <c r="W585" s="229"/>
      <c r="X585" s="229"/>
      <c r="Y585" s="136"/>
      <c r="Z585" s="166"/>
      <c r="AA585" s="166"/>
      <c r="AB585" s="71"/>
      <c r="AC58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3"/>
      <c r="CP585" s="3"/>
      <c r="CQ585" s="3"/>
    </row>
    <row r="586" spans="1:107" s="93" customFormat="1" ht="33" hidden="1" customHeight="1" x14ac:dyDescent="0.25">
      <c r="A586"/>
      <c r="B586"/>
      <c r="C586"/>
      <c r="D586"/>
      <c r="E586"/>
      <c r="F586"/>
      <c r="G586"/>
      <c r="H586"/>
      <c r="I586" s="68"/>
      <c r="J586" s="71"/>
      <c r="K586"/>
      <c r="L586"/>
      <c r="M586"/>
      <c r="N586"/>
      <c r="O586"/>
      <c r="P586"/>
      <c r="Q586" s="121"/>
      <c r="R586"/>
      <c r="S586"/>
      <c r="T586" s="229"/>
      <c r="U586" s="229"/>
      <c r="V586" s="229"/>
      <c r="W586" s="229"/>
      <c r="X586" s="229"/>
      <c r="Y586" s="136"/>
      <c r="Z586" s="166"/>
      <c r="AA586" s="166"/>
      <c r="AB586" s="71"/>
      <c r="AC586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3"/>
      <c r="CP586" s="3"/>
      <c r="CQ586" s="3"/>
    </row>
    <row r="587" spans="1:107" s="93" customFormat="1" ht="33" hidden="1" customHeight="1" x14ac:dyDescent="0.25">
      <c r="A587"/>
      <c r="B587"/>
      <c r="C587"/>
      <c r="D587"/>
      <c r="E587"/>
      <c r="F587"/>
      <c r="G587"/>
      <c r="H587"/>
      <c r="I587" s="68"/>
      <c r="J587" s="71"/>
      <c r="K587"/>
      <c r="L587"/>
      <c r="M587"/>
      <c r="N587"/>
      <c r="O587"/>
      <c r="P587"/>
      <c r="Q587" s="121"/>
      <c r="R587"/>
      <c r="S587"/>
      <c r="T587" s="229"/>
      <c r="U587" s="229"/>
      <c r="V587" s="229"/>
      <c r="W587" s="229"/>
      <c r="X587" s="229"/>
      <c r="Y587" s="136"/>
      <c r="Z587" s="166"/>
      <c r="AA587" s="166"/>
      <c r="AB587" s="71"/>
      <c r="AC587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3"/>
      <c r="CP587" s="3"/>
      <c r="CQ587" s="3"/>
    </row>
    <row r="588" spans="1:107" s="93" customFormat="1" ht="33" customHeight="1" x14ac:dyDescent="0.25">
      <c r="A588"/>
      <c r="B588"/>
      <c r="C588"/>
      <c r="D588"/>
      <c r="E588"/>
      <c r="F588"/>
      <c r="G588"/>
      <c r="H588"/>
      <c r="I588" s="68"/>
      <c r="J588" s="71"/>
      <c r="K588"/>
      <c r="L588"/>
      <c r="M588"/>
      <c r="N588"/>
      <c r="O588"/>
      <c r="P588"/>
      <c r="Q588" s="121"/>
      <c r="R588"/>
      <c r="S588"/>
      <c r="T588" s="229"/>
      <c r="U588" s="229"/>
      <c r="V588" s="229"/>
      <c r="W588" s="229"/>
      <c r="X588" s="229"/>
      <c r="Y588" s="136"/>
      <c r="Z588" s="166"/>
      <c r="AA588" s="166"/>
      <c r="AB588" s="71"/>
      <c r="AC588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3"/>
      <c r="CP588" s="3"/>
      <c r="CQ588" s="3"/>
    </row>
    <row r="589" spans="1:107" s="93" customFormat="1" ht="33" customHeight="1" x14ac:dyDescent="0.25">
      <c r="A589"/>
      <c r="B589"/>
      <c r="C589"/>
      <c r="D589"/>
      <c r="E589"/>
      <c r="F589"/>
      <c r="G589"/>
      <c r="H589"/>
      <c r="I589" s="68"/>
      <c r="J589" s="71"/>
      <c r="K589"/>
      <c r="L589"/>
      <c r="M589"/>
      <c r="N589"/>
      <c r="O589"/>
      <c r="P589"/>
      <c r="Q589" s="121"/>
      <c r="R589"/>
      <c r="S589"/>
      <c r="T589" s="229"/>
      <c r="U589" s="229"/>
      <c r="V589" s="229"/>
      <c r="W589" s="229"/>
      <c r="X589" s="229"/>
      <c r="Y589" s="136"/>
      <c r="Z589" s="166"/>
      <c r="AA589" s="166"/>
      <c r="AB589" s="71"/>
      <c r="AC589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3"/>
      <c r="CP589" s="3"/>
      <c r="CQ589" s="3"/>
    </row>
    <row r="590" spans="1:107" s="93" customFormat="1" ht="33" hidden="1" customHeight="1" x14ac:dyDescent="0.25">
      <c r="A590"/>
      <c r="B590"/>
      <c r="C590"/>
      <c r="D590"/>
      <c r="E590"/>
      <c r="F590"/>
      <c r="G590"/>
      <c r="H590"/>
      <c r="I590" s="68"/>
      <c r="J590" s="71"/>
      <c r="K590"/>
      <c r="L590"/>
      <c r="M590"/>
      <c r="N590"/>
      <c r="O590"/>
      <c r="P590"/>
      <c r="Q590" s="121"/>
      <c r="R590"/>
      <c r="S590"/>
      <c r="T590" s="229"/>
      <c r="U590" s="229"/>
      <c r="V590" s="229"/>
      <c r="W590" s="229"/>
      <c r="X590" s="229"/>
      <c r="Y590" s="136"/>
      <c r="Z590" s="166"/>
      <c r="AA590" s="166"/>
      <c r="AB590" s="71"/>
      <c r="AC590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3"/>
      <c r="CP590" s="3"/>
      <c r="CQ590" s="3"/>
    </row>
    <row r="591" spans="1:107" s="93" customFormat="1" ht="33" customHeight="1" x14ac:dyDescent="0.25">
      <c r="A591"/>
      <c r="B591"/>
      <c r="C591"/>
      <c r="D591"/>
      <c r="E591"/>
      <c r="F591"/>
      <c r="G591"/>
      <c r="H591"/>
      <c r="I591" s="68"/>
      <c r="J591" s="71"/>
      <c r="K591"/>
      <c r="L591"/>
      <c r="M591"/>
      <c r="N591"/>
      <c r="O591"/>
      <c r="P591"/>
      <c r="Q591" s="121"/>
      <c r="R591"/>
      <c r="S591"/>
      <c r="T591" s="229"/>
      <c r="U591" s="229"/>
      <c r="V591" s="229"/>
      <c r="W591" s="229"/>
      <c r="X591" s="229"/>
      <c r="Y591" s="136"/>
      <c r="Z591" s="166"/>
      <c r="AA591" s="166"/>
      <c r="AB591" s="71"/>
      <c r="AC591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3"/>
      <c r="CP591" s="3"/>
      <c r="CQ591" s="3"/>
    </row>
    <row r="592" spans="1:107" s="93" customFormat="1" ht="33" hidden="1" customHeight="1" x14ac:dyDescent="0.25">
      <c r="A592"/>
      <c r="B592"/>
      <c r="C592"/>
      <c r="D592"/>
      <c r="E592"/>
      <c r="F592"/>
      <c r="G592"/>
      <c r="H592"/>
      <c r="I592" s="68"/>
      <c r="J592" s="71"/>
      <c r="K592"/>
      <c r="L592"/>
      <c r="M592"/>
      <c r="N592"/>
      <c r="O592"/>
      <c r="P592"/>
      <c r="Q592" s="121"/>
      <c r="R592"/>
      <c r="S592"/>
      <c r="T592" s="229"/>
      <c r="U592" s="229"/>
      <c r="V592" s="229"/>
      <c r="W592" s="229"/>
      <c r="X592" s="229"/>
      <c r="Y592" s="136"/>
      <c r="Z592" s="166"/>
      <c r="AA592" s="166"/>
      <c r="AB592" s="71"/>
      <c r="AC592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3"/>
      <c r="CP592" s="3"/>
      <c r="CQ592" s="3"/>
    </row>
    <row r="593" spans="1:95" s="121" customFormat="1" ht="33" customHeight="1" x14ac:dyDescent="0.25">
      <c r="A593"/>
      <c r="B593"/>
      <c r="C593"/>
      <c r="D593"/>
      <c r="E593"/>
      <c r="F593"/>
      <c r="G593"/>
      <c r="H593"/>
      <c r="I593" s="68"/>
      <c r="J593" s="71"/>
      <c r="K593"/>
      <c r="L593"/>
      <c r="M593"/>
      <c r="N593"/>
      <c r="O593"/>
      <c r="P593"/>
      <c r="R593"/>
      <c r="S593"/>
      <c r="T593" s="229"/>
      <c r="U593" s="229"/>
      <c r="V593" s="229"/>
      <c r="W593" s="229"/>
      <c r="X593" s="229"/>
      <c r="Y593" s="136"/>
      <c r="Z593" s="166"/>
      <c r="AA593" s="166"/>
      <c r="AB593" s="71"/>
      <c r="AC593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3"/>
      <c r="CP593" s="3"/>
      <c r="CQ593" s="3"/>
    </row>
    <row r="594" spans="1:95" ht="33" customHeight="1" x14ac:dyDescent="0.25"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</row>
    <row r="1048303" spans="2:2" x14ac:dyDescent="0.25">
      <c r="B1048303" s="632">
        <f>SUM(B1:B1048302)</f>
        <v>6069784</v>
      </c>
    </row>
  </sheetData>
  <sortState ref="A4:AB93">
    <sortCondition ref="A4"/>
  </sortState>
  <mergeCells count="1">
    <mergeCell ref="D3:E3"/>
  </mergeCells>
  <pageMargins left="0.23622047244094491" right="0.23622047244094491" top="0.74803149606299213" bottom="0.74803149606299213" header="0.31496062992125984" footer="0.31496062992125984"/>
  <pageSetup paperSize="9" scale="52" fitToHeight="0" orientation="landscape" r:id="rId1"/>
  <headerFooter>
    <oddHeader>&amp;RСтраница &amp;P</oddHeader>
    <oddFooter>&amp;CРЕГИСТРАЦИЯ АВАНСОВЫХ ОТЧЕТОВ ПО КОМАНДИРОВКАМ ЗА ЯНВАРЬ
 2023 ГОД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pageSetUpPr fitToPage="1"/>
  </sheetPr>
  <dimension ref="A1:CQ506"/>
  <sheetViews>
    <sheetView zoomScale="90" zoomScaleNormal="90" zoomScaleSheetLayoutView="5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A2" sqref="A2"/>
    </sheetView>
  </sheetViews>
  <sheetFormatPr defaultColWidth="9.140625" defaultRowHeight="15" x14ac:dyDescent="0.25"/>
  <cols>
    <col min="1" max="1" width="8.85546875" style="229" customWidth="1"/>
    <col min="2" max="2" width="12.140625" style="229" customWidth="1"/>
    <col min="3" max="3" width="30.5703125" style="229" customWidth="1"/>
    <col min="4" max="4" width="12.28515625" style="229" customWidth="1"/>
    <col min="5" max="5" width="11" style="229" customWidth="1"/>
    <col min="6" max="6" width="11.5703125" style="229" customWidth="1"/>
    <col min="7" max="7" width="10.7109375" style="229" customWidth="1"/>
    <col min="8" max="8" width="13.28515625" style="229" customWidth="1"/>
    <col min="9" max="9" width="31.28515625" style="68" customWidth="1"/>
    <col min="10" max="10" width="59.140625" style="71" customWidth="1"/>
    <col min="11" max="11" width="21" style="229" customWidth="1"/>
    <col min="12" max="12" width="16.42578125" style="229" customWidth="1"/>
    <col min="13" max="13" width="18.140625" style="229" customWidth="1"/>
    <col min="14" max="15" width="13.42578125" style="229" customWidth="1"/>
    <col min="16" max="16" width="32.140625" style="71" customWidth="1"/>
    <col min="17" max="17" width="14.42578125" style="229" customWidth="1"/>
    <col min="18" max="18" width="19.5703125" style="229" customWidth="1"/>
    <col min="19" max="24" width="12" style="229" customWidth="1"/>
    <col min="25" max="16384" width="9.140625" style="229"/>
  </cols>
  <sheetData>
    <row r="1" spans="1:95" x14ac:dyDescent="0.25">
      <c r="A1" s="26" t="s">
        <v>3762</v>
      </c>
      <c r="B1" s="32"/>
      <c r="C1" s="10"/>
      <c r="D1" s="11"/>
      <c r="E1" s="12"/>
      <c r="F1" s="13"/>
      <c r="G1" s="13"/>
      <c r="H1" s="14"/>
      <c r="I1" s="30"/>
      <c r="J1" s="70"/>
      <c r="K1" s="29"/>
      <c r="L1" s="29"/>
      <c r="M1" s="29"/>
      <c r="N1" s="29"/>
      <c r="O1" s="29"/>
      <c r="P1" s="69"/>
      <c r="Q1" s="29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</row>
    <row r="2" spans="1:95" ht="15.75" thickBot="1" x14ac:dyDescent="0.3">
      <c r="A2" s="26"/>
      <c r="B2" s="32"/>
      <c r="C2" s="34"/>
      <c r="D2" s="11"/>
      <c r="E2" s="12"/>
      <c r="F2" s="13"/>
      <c r="G2" s="13"/>
      <c r="H2" s="14"/>
      <c r="I2" s="30"/>
      <c r="J2" s="70"/>
      <c r="K2" s="29"/>
      <c r="L2" s="29"/>
      <c r="M2" s="29"/>
      <c r="N2" s="29"/>
      <c r="O2" s="29"/>
      <c r="P2" s="69"/>
      <c r="Q2" s="29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</row>
    <row r="3" spans="1:95" ht="113.25" customHeight="1" x14ac:dyDescent="0.25">
      <c r="A3" s="96" t="s">
        <v>1060</v>
      </c>
      <c r="B3" s="97" t="s">
        <v>1090</v>
      </c>
      <c r="C3" s="98" t="s">
        <v>1</v>
      </c>
      <c r="D3" s="692" t="s">
        <v>1061</v>
      </c>
      <c r="E3" s="693"/>
      <c r="F3" s="99" t="s">
        <v>1062</v>
      </c>
      <c r="G3" s="100"/>
      <c r="H3" s="101" t="s">
        <v>1063</v>
      </c>
      <c r="I3" s="102" t="s">
        <v>1064</v>
      </c>
      <c r="J3" s="103" t="s">
        <v>1065</v>
      </c>
      <c r="K3" s="105" t="s">
        <v>1237</v>
      </c>
      <c r="L3" s="106" t="s">
        <v>1108</v>
      </c>
      <c r="M3" s="105" t="s">
        <v>1238</v>
      </c>
      <c r="N3" s="107" t="s">
        <v>3758</v>
      </c>
      <c r="O3" s="107" t="s">
        <v>3760</v>
      </c>
      <c r="P3" s="109" t="s">
        <v>1068</v>
      </c>
      <c r="Q3" s="110" t="s">
        <v>1069</v>
      </c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</row>
    <row r="4" spans="1:95" s="604" customFormat="1" ht="53.25" customHeight="1" x14ac:dyDescent="0.2">
      <c r="A4" s="200">
        <v>501</v>
      </c>
      <c r="B4" s="200">
        <v>2177</v>
      </c>
      <c r="C4" s="590" t="str">
        <f>VLOOKUP(B4,база!A:F,2,FALSE)</f>
        <v>Кулишкина Анна Вячеславовна</v>
      </c>
      <c r="D4" s="611">
        <v>45313</v>
      </c>
      <c r="E4" s="611">
        <v>45316</v>
      </c>
      <c r="F4" s="612">
        <f t="shared" ref="F4" si="0">E4-D4+1</f>
        <v>4</v>
      </c>
      <c r="G4" s="612">
        <v>1300</v>
      </c>
      <c r="H4" s="612">
        <f t="shared" ref="H4" si="1">G4*F4</f>
        <v>5200</v>
      </c>
      <c r="I4" s="613" t="s">
        <v>3694</v>
      </c>
      <c r="J4" s="613" t="s">
        <v>3695</v>
      </c>
      <c r="K4" s="535"/>
      <c r="L4" s="535"/>
      <c r="M4" s="111">
        <v>54000</v>
      </c>
      <c r="N4" s="535"/>
      <c r="O4" s="535"/>
      <c r="P4" s="602"/>
      <c r="Q4" s="535">
        <f>SUM(K4:O4)</f>
        <v>54000</v>
      </c>
      <c r="R4" s="603"/>
      <c r="S4" s="83"/>
      <c r="T4" s="438"/>
      <c r="U4" s="438"/>
      <c r="V4" s="438"/>
      <c r="W4" s="438"/>
      <c r="X4" s="438"/>
      <c r="Y4" s="438"/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8"/>
      <c r="AP4" s="438"/>
      <c r="AQ4" s="438"/>
      <c r="AR4" s="438"/>
      <c r="AS4" s="438"/>
      <c r="AT4" s="438"/>
      <c r="AU4" s="438"/>
      <c r="AV4" s="438"/>
      <c r="AW4" s="438"/>
      <c r="AX4" s="438"/>
      <c r="AY4" s="438"/>
      <c r="AZ4" s="438"/>
      <c r="BA4" s="438"/>
      <c r="BB4" s="438"/>
      <c r="BC4" s="438"/>
      <c r="BD4" s="438"/>
      <c r="BE4" s="438"/>
      <c r="BF4" s="438"/>
      <c r="BG4" s="438"/>
      <c r="BH4" s="438"/>
      <c r="BI4" s="438"/>
      <c r="BJ4" s="438"/>
      <c r="BK4" s="438"/>
      <c r="BL4" s="438"/>
      <c r="BM4" s="438"/>
      <c r="BN4" s="438"/>
      <c r="BO4" s="438"/>
      <c r="BP4" s="438"/>
      <c r="BQ4" s="438"/>
      <c r="BR4" s="438"/>
      <c r="BS4" s="438"/>
      <c r="BT4" s="438"/>
      <c r="BU4" s="438"/>
      <c r="BV4" s="438"/>
      <c r="BW4" s="438"/>
      <c r="BX4" s="438"/>
      <c r="BY4" s="438"/>
      <c r="BZ4" s="438"/>
      <c r="CA4" s="438"/>
      <c r="CB4" s="438"/>
      <c r="CC4" s="438"/>
      <c r="CD4" s="438"/>
      <c r="CE4" s="438"/>
      <c r="CF4" s="438"/>
      <c r="CG4" s="438"/>
      <c r="CH4" s="438"/>
      <c r="CI4" s="438"/>
      <c r="CJ4" s="438"/>
      <c r="CK4" s="438"/>
      <c r="CL4" s="438"/>
      <c r="CM4" s="438"/>
      <c r="CN4" s="438"/>
      <c r="CO4" s="438"/>
      <c r="CP4" s="438"/>
      <c r="CQ4" s="438"/>
    </row>
    <row r="5" spans="1:95" s="170" customFormat="1" ht="48.75" customHeight="1" x14ac:dyDescent="0.25">
      <c r="A5" s="75"/>
      <c r="B5" s="75"/>
      <c r="C5" s="77"/>
      <c r="D5" s="78"/>
      <c r="E5" s="9" t="s">
        <v>1062</v>
      </c>
      <c r="F5" s="114">
        <f>SUM(F4:F4)</f>
        <v>4</v>
      </c>
      <c r="G5" s="80"/>
      <c r="H5" s="79">
        <f>SUM(H4:H4)</f>
        <v>5200</v>
      </c>
      <c r="I5" s="81"/>
      <c r="J5" s="74"/>
      <c r="K5" s="82">
        <f t="shared" ref="K5:O5" si="2">SUM(K4:K4)</f>
        <v>0</v>
      </c>
      <c r="L5" s="82">
        <f t="shared" si="2"/>
        <v>0</v>
      </c>
      <c r="M5" s="82">
        <f t="shared" si="2"/>
        <v>54000</v>
      </c>
      <c r="N5" s="82">
        <f t="shared" si="2"/>
        <v>0</v>
      </c>
      <c r="O5" s="82">
        <f t="shared" si="2"/>
        <v>0</v>
      </c>
      <c r="P5" s="82"/>
      <c r="Q5" s="82">
        <f>SUM(Q4:Q4)</f>
        <v>54000</v>
      </c>
      <c r="R5" s="196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  <c r="AD5" s="196"/>
      <c r="AE5" s="196"/>
      <c r="AF5" s="196"/>
      <c r="AG5" s="196"/>
      <c r="AH5" s="196"/>
      <c r="AI5" s="196"/>
      <c r="AJ5" s="196"/>
      <c r="AK5" s="196"/>
      <c r="AL5" s="196"/>
      <c r="AM5" s="196"/>
      <c r="AN5" s="196"/>
      <c r="AO5" s="196"/>
      <c r="AP5" s="196"/>
      <c r="AQ5" s="196"/>
      <c r="AR5" s="196"/>
      <c r="AS5" s="196"/>
      <c r="AT5" s="196"/>
      <c r="AU5" s="196"/>
      <c r="AV5" s="196"/>
      <c r="AW5" s="196"/>
      <c r="AX5" s="196"/>
      <c r="AY5" s="196"/>
      <c r="AZ5" s="196"/>
      <c r="BA5" s="196"/>
      <c r="BB5" s="196"/>
      <c r="BC5" s="196"/>
      <c r="BD5" s="196"/>
      <c r="BE5" s="196"/>
      <c r="BF5" s="196"/>
      <c r="BG5" s="196"/>
      <c r="BH5" s="196"/>
      <c r="BI5" s="196"/>
      <c r="BJ5" s="196"/>
      <c r="BK5" s="196"/>
      <c r="BL5" s="196"/>
      <c r="BM5" s="196"/>
      <c r="BN5" s="196"/>
      <c r="BO5" s="196"/>
      <c r="BP5" s="196"/>
      <c r="BQ5" s="196"/>
      <c r="BR5" s="196"/>
      <c r="BS5" s="196"/>
      <c r="BT5" s="196"/>
      <c r="BU5" s="196"/>
    </row>
    <row r="6" spans="1:95" s="170" customFormat="1" ht="39.950000000000003" customHeight="1" x14ac:dyDescent="0.25">
      <c r="A6" s="27"/>
      <c r="B6" s="25"/>
      <c r="C6" s="29"/>
      <c r="D6" s="8"/>
      <c r="E6" s="9"/>
      <c r="F6" s="115"/>
      <c r="G6" s="87"/>
      <c r="H6" s="86"/>
      <c r="I6" s="81" t="s">
        <v>1071</v>
      </c>
      <c r="J6" s="197" t="s">
        <v>1072</v>
      </c>
      <c r="K6" s="64"/>
      <c r="L6" s="64"/>
      <c r="M6" s="64"/>
      <c r="N6" s="64"/>
      <c r="O6" s="64"/>
      <c r="P6" s="70"/>
      <c r="Q6" s="279"/>
      <c r="R6" s="196"/>
      <c r="S6" s="196"/>
      <c r="T6" s="196"/>
      <c r="U6" s="196"/>
      <c r="V6" s="196"/>
      <c r="W6" s="196"/>
      <c r="X6" s="196"/>
      <c r="Y6" s="196"/>
      <c r="Z6" s="196"/>
      <c r="AA6" s="196"/>
      <c r="AB6" s="196"/>
      <c r="AC6" s="196"/>
      <c r="AD6" s="196"/>
      <c r="AE6" s="196"/>
      <c r="AF6" s="196"/>
      <c r="AG6" s="196"/>
      <c r="AH6" s="196"/>
      <c r="AI6" s="196"/>
      <c r="AJ6" s="196"/>
      <c r="AK6" s="196"/>
      <c r="AL6" s="196"/>
      <c r="AM6" s="196"/>
      <c r="AN6" s="196"/>
      <c r="AO6" s="196"/>
      <c r="AP6" s="196"/>
      <c r="AQ6" s="196"/>
      <c r="AR6" s="196"/>
      <c r="AS6" s="196"/>
      <c r="AT6" s="196"/>
      <c r="AU6" s="196"/>
      <c r="AV6" s="196"/>
      <c r="AW6" s="196"/>
      <c r="AX6" s="196"/>
      <c r="AY6" s="196"/>
      <c r="AZ6" s="196"/>
      <c r="BA6" s="196"/>
      <c r="BB6" s="196"/>
      <c r="BC6" s="196"/>
      <c r="BD6" s="196"/>
      <c r="BE6" s="196"/>
      <c r="BF6" s="196"/>
      <c r="BG6" s="196"/>
      <c r="BH6" s="196"/>
      <c r="BI6" s="196"/>
      <c r="BJ6" s="196"/>
      <c r="BK6" s="196"/>
      <c r="BL6" s="196"/>
      <c r="BM6" s="196"/>
      <c r="BN6" s="196"/>
      <c r="BO6" s="196"/>
      <c r="BP6" s="196"/>
      <c r="BQ6" s="196"/>
      <c r="BR6" s="196"/>
      <c r="BS6" s="196"/>
      <c r="BT6" s="196"/>
      <c r="BU6" s="196"/>
    </row>
    <row r="7" spans="1:95" s="170" customFormat="1" ht="39.950000000000003" customHeight="1" x14ac:dyDescent="0.25">
      <c r="A7" s="26"/>
      <c r="B7" s="32"/>
      <c r="C7" s="34"/>
      <c r="D7" s="8"/>
      <c r="E7" s="9" t="s">
        <v>1062</v>
      </c>
      <c r="F7" s="115">
        <f>SUM(F5:F6)</f>
        <v>4</v>
      </c>
      <c r="G7" s="87" t="s">
        <v>1073</v>
      </c>
      <c r="H7" s="86">
        <f>SUM(H5:H6)</f>
        <v>5200</v>
      </c>
      <c r="I7" s="117"/>
      <c r="J7" s="89" t="s">
        <v>2845</v>
      </c>
      <c r="K7" s="89"/>
      <c r="L7" s="92"/>
      <c r="M7" s="64"/>
      <c r="N7" s="64"/>
      <c r="O7" s="64"/>
      <c r="P7" s="70"/>
      <c r="Q7" s="279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  <c r="AD7" s="196"/>
      <c r="AE7" s="196"/>
      <c r="AF7" s="196"/>
      <c r="AG7" s="196"/>
      <c r="AH7" s="196"/>
      <c r="AI7" s="196"/>
      <c r="AJ7" s="196"/>
      <c r="AK7" s="196"/>
      <c r="AL7" s="196"/>
      <c r="AM7" s="196"/>
      <c r="AN7" s="196"/>
      <c r="AO7" s="196"/>
      <c r="AP7" s="196"/>
      <c r="AQ7" s="196"/>
      <c r="AR7" s="196"/>
      <c r="AS7" s="196"/>
      <c r="AT7" s="196"/>
      <c r="AU7" s="196"/>
      <c r="AV7" s="196"/>
      <c r="AW7" s="196"/>
      <c r="AX7" s="196"/>
      <c r="AY7" s="196"/>
      <c r="AZ7" s="196"/>
      <c r="BA7" s="196"/>
      <c r="BB7" s="196"/>
      <c r="BC7" s="196"/>
      <c r="BD7" s="196"/>
      <c r="BE7" s="196"/>
      <c r="BF7" s="196"/>
      <c r="BG7" s="196"/>
      <c r="BH7" s="196"/>
      <c r="BI7" s="196"/>
      <c r="BJ7" s="196"/>
      <c r="BK7" s="196"/>
      <c r="BL7" s="196"/>
      <c r="BM7" s="196"/>
      <c r="BN7" s="196"/>
      <c r="BO7" s="196"/>
      <c r="BP7" s="196"/>
      <c r="BQ7" s="196"/>
      <c r="BR7" s="196"/>
      <c r="BS7" s="196"/>
      <c r="BT7" s="196"/>
      <c r="BU7" s="196"/>
    </row>
    <row r="8" spans="1:95" s="170" customFormat="1" ht="39.950000000000003" hidden="1" customHeight="1" x14ac:dyDescent="0.25">
      <c r="A8" s="26"/>
      <c r="B8" s="32"/>
      <c r="C8" s="34"/>
      <c r="D8" s="94"/>
      <c r="E8" s="95"/>
      <c r="F8" s="31"/>
      <c r="G8" s="43"/>
      <c r="H8" s="31"/>
      <c r="I8" s="88"/>
      <c r="J8" s="89"/>
      <c r="K8" s="198"/>
      <c r="L8" s="64"/>
      <c r="M8" s="64"/>
      <c r="N8" s="64"/>
      <c r="O8" s="64"/>
      <c r="P8" s="70"/>
      <c r="Q8" s="279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  <c r="AD8" s="196"/>
      <c r="AE8" s="196"/>
      <c r="AF8" s="196"/>
      <c r="AG8" s="196"/>
      <c r="AH8" s="196"/>
      <c r="AI8" s="196"/>
      <c r="AJ8" s="196"/>
      <c r="AK8" s="196"/>
      <c r="AL8" s="196"/>
      <c r="AM8" s="196"/>
      <c r="AN8" s="196"/>
      <c r="AO8" s="196"/>
      <c r="AP8" s="196"/>
      <c r="AQ8" s="196"/>
      <c r="AR8" s="196"/>
      <c r="AS8" s="196"/>
      <c r="AT8" s="196"/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</row>
    <row r="9" spans="1:95" s="170" customFormat="1" ht="39.950000000000003" customHeight="1" x14ac:dyDescent="0.25">
      <c r="A9" s="26"/>
      <c r="B9" s="32"/>
      <c r="C9" s="34"/>
      <c r="D9" s="229"/>
      <c r="E9" s="229"/>
      <c r="F9" s="229"/>
      <c r="G9" s="43"/>
      <c r="H9" s="31"/>
      <c r="I9" s="125" t="s">
        <v>1077</v>
      </c>
      <c r="J9" s="124">
        <f>K5+L5</f>
        <v>0</v>
      </c>
      <c r="K9" s="199"/>
      <c r="L9" s="120"/>
      <c r="M9" s="120"/>
      <c r="N9" s="120"/>
      <c r="O9" s="64"/>
      <c r="P9" s="70"/>
      <c r="Q9" s="279"/>
      <c r="R9" s="196"/>
      <c r="S9" s="196"/>
      <c r="T9" s="196"/>
      <c r="U9" s="196"/>
      <c r="V9" s="196"/>
      <c r="W9" s="196"/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96"/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6"/>
      <c r="BQ9" s="196"/>
      <c r="BR9" s="196"/>
      <c r="BS9" s="196"/>
      <c r="BT9" s="196"/>
      <c r="BU9" s="196"/>
    </row>
    <row r="10" spans="1:95" s="170" customFormat="1" ht="39.950000000000003" hidden="1" customHeight="1" x14ac:dyDescent="0.25">
      <c r="A10" s="26"/>
      <c r="B10" s="32"/>
      <c r="C10" s="34"/>
      <c r="D10" s="229"/>
      <c r="E10" s="229"/>
      <c r="F10" s="229"/>
      <c r="G10" s="43"/>
      <c r="H10" s="31"/>
      <c r="I10" s="125" t="s">
        <v>1078</v>
      </c>
      <c r="J10" s="124">
        <f>O5</f>
        <v>0</v>
      </c>
      <c r="K10" s="198"/>
      <c r="L10" s="64"/>
      <c r="M10" s="64"/>
      <c r="N10" s="64"/>
      <c r="O10" s="64"/>
      <c r="P10" s="70"/>
      <c r="Q10" s="279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  <c r="AF10" s="196"/>
      <c r="AG10" s="196"/>
      <c r="AH10" s="196"/>
      <c r="AI10" s="196"/>
      <c r="AJ10" s="196"/>
      <c r="AK10" s="196"/>
      <c r="AL10" s="196"/>
      <c r="AM10" s="196"/>
      <c r="AN10" s="196"/>
      <c r="AO10" s="196"/>
      <c r="AP10" s="196"/>
      <c r="AQ10" s="196"/>
      <c r="AR10" s="196"/>
      <c r="AS10" s="196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6"/>
      <c r="BQ10" s="196"/>
      <c r="BR10" s="196"/>
      <c r="BS10" s="196"/>
      <c r="BT10" s="196"/>
      <c r="BU10" s="196"/>
    </row>
    <row r="11" spans="1:95" s="170" customFormat="1" ht="39.950000000000003" hidden="1" customHeight="1" x14ac:dyDescent="0.25">
      <c r="A11" s="26"/>
      <c r="B11" s="32"/>
      <c r="C11" s="34"/>
      <c r="D11" s="229"/>
      <c r="E11" s="229"/>
      <c r="F11" s="229"/>
      <c r="G11" s="43"/>
      <c r="H11" s="31"/>
      <c r="I11" s="125" t="s">
        <v>1079</v>
      </c>
      <c r="J11" s="124">
        <f>N5</f>
        <v>0</v>
      </c>
      <c r="K11" s="124"/>
      <c r="L11" s="64"/>
      <c r="M11" s="64"/>
      <c r="N11" s="64"/>
      <c r="O11" s="64"/>
      <c r="P11" s="70"/>
      <c r="Q11" s="279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</row>
    <row r="12" spans="1:95" s="170" customFormat="1" ht="39.950000000000003" customHeight="1" x14ac:dyDescent="0.25">
      <c r="A12" s="26"/>
      <c r="B12" s="32"/>
      <c r="C12" s="34"/>
      <c r="D12" s="229"/>
      <c r="E12" s="229"/>
      <c r="F12" s="229"/>
      <c r="G12" s="43"/>
      <c r="H12" s="31"/>
      <c r="I12" s="125" t="s">
        <v>1239</v>
      </c>
      <c r="J12" s="124">
        <f>M5</f>
        <v>54000</v>
      </c>
      <c r="K12" s="124"/>
      <c r="L12" s="293"/>
      <c r="M12" s="64"/>
      <c r="N12" s="64"/>
      <c r="O12" s="64"/>
      <c r="P12" s="70"/>
      <c r="Q12" s="279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6"/>
      <c r="BQ12" s="196"/>
      <c r="BR12" s="196"/>
      <c r="BS12" s="196"/>
      <c r="BT12" s="196"/>
      <c r="BU12" s="196"/>
    </row>
    <row r="13" spans="1:95" s="170" customFormat="1" ht="39.950000000000003" customHeight="1" x14ac:dyDescent="0.3">
      <c r="A13" s="28" t="s">
        <v>173</v>
      </c>
      <c r="B13" s="32"/>
      <c r="C13" s="18"/>
      <c r="D13" s="229"/>
      <c r="E13" s="229"/>
      <c r="F13" s="229"/>
      <c r="G13" s="13"/>
      <c r="H13" s="19"/>
      <c r="I13" s="20"/>
      <c r="J13" s="72" t="s">
        <v>1057</v>
      </c>
      <c r="K13" s="29"/>
      <c r="L13" s="29"/>
      <c r="M13" s="29"/>
      <c r="N13" s="29"/>
      <c r="O13" s="29"/>
      <c r="P13" s="69"/>
      <c r="Q13" s="279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6"/>
      <c r="BN13" s="196"/>
      <c r="BO13" s="196"/>
      <c r="BP13" s="196"/>
      <c r="BQ13" s="196"/>
      <c r="BR13" s="196"/>
      <c r="BS13" s="196"/>
      <c r="BT13" s="196"/>
      <c r="BU13" s="196"/>
    </row>
    <row r="14" spans="1:95" s="170" customFormat="1" ht="39.950000000000003" customHeight="1" x14ac:dyDescent="0.25">
      <c r="A14" s="229"/>
      <c r="B14" s="229"/>
      <c r="C14" s="229"/>
      <c r="D14" s="229"/>
      <c r="E14" s="229"/>
      <c r="F14" s="229"/>
      <c r="G14" s="229"/>
      <c r="H14" s="229"/>
      <c r="I14" s="68"/>
      <c r="J14" s="71"/>
      <c r="K14" s="229"/>
      <c r="L14" s="229"/>
      <c r="M14" s="229"/>
      <c r="N14" s="229"/>
      <c r="O14" s="229"/>
      <c r="P14" s="71"/>
      <c r="Q14" s="279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  <c r="AF14" s="196"/>
      <c r="AG14" s="196"/>
      <c r="AH14" s="196"/>
      <c r="AI14" s="196"/>
      <c r="AJ14" s="196"/>
      <c r="AK14" s="196"/>
      <c r="AL14" s="196"/>
      <c r="AM14" s="196"/>
      <c r="AN14" s="196"/>
      <c r="AO14" s="196"/>
      <c r="AP14" s="196"/>
      <c r="AQ14" s="196"/>
      <c r="AR14" s="196"/>
      <c r="AS14" s="196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6"/>
      <c r="BE14" s="196"/>
      <c r="BF14" s="196"/>
      <c r="BG14" s="196"/>
      <c r="BH14" s="196"/>
      <c r="BI14" s="196"/>
      <c r="BJ14" s="196"/>
      <c r="BK14" s="196"/>
      <c r="BL14" s="196"/>
      <c r="BM14" s="196"/>
      <c r="BN14" s="196"/>
      <c r="BO14" s="196"/>
      <c r="BP14" s="196"/>
      <c r="BQ14" s="196"/>
      <c r="BR14" s="196"/>
      <c r="BS14" s="196"/>
      <c r="BT14" s="196"/>
      <c r="BU14" s="196"/>
    </row>
    <row r="15" spans="1:95" s="170" customFormat="1" ht="39.950000000000003" customHeight="1" x14ac:dyDescent="0.25">
      <c r="A15" s="229"/>
      <c r="B15" s="229"/>
      <c r="C15" s="229"/>
      <c r="D15" s="229"/>
      <c r="E15" s="229"/>
      <c r="F15" s="229"/>
      <c r="G15" s="229"/>
      <c r="H15" s="229"/>
      <c r="I15" s="68"/>
      <c r="J15" s="71"/>
      <c r="K15" s="229"/>
      <c r="L15" s="229"/>
      <c r="M15" s="229"/>
      <c r="N15" s="229"/>
      <c r="O15" s="229"/>
      <c r="P15" s="71"/>
      <c r="Q15" s="279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  <c r="AD15" s="196"/>
      <c r="AE15" s="196"/>
      <c r="AF15" s="196"/>
      <c r="AG15" s="196"/>
      <c r="AH15" s="196"/>
      <c r="AI15" s="196"/>
      <c r="AJ15" s="196"/>
      <c r="AK15" s="196"/>
      <c r="AL15" s="196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96"/>
      <c r="BH15" s="196"/>
      <c r="BI15" s="196"/>
      <c r="BJ15" s="196"/>
      <c r="BK15" s="196"/>
      <c r="BL15" s="196"/>
      <c r="BM15" s="196"/>
      <c r="BN15" s="196"/>
      <c r="BO15" s="196"/>
      <c r="BP15" s="196"/>
      <c r="BQ15" s="196"/>
      <c r="BR15" s="196"/>
      <c r="BS15" s="196"/>
      <c r="BT15" s="196"/>
      <c r="BU15" s="196"/>
    </row>
    <row r="16" spans="1:95" s="170" customFormat="1" ht="39.950000000000003" customHeight="1" x14ac:dyDescent="0.25">
      <c r="A16" s="229"/>
      <c r="B16" s="229"/>
      <c r="C16" s="229"/>
      <c r="D16" s="229"/>
      <c r="E16" s="229"/>
      <c r="F16" s="229"/>
      <c r="G16" s="229"/>
      <c r="H16" s="229"/>
      <c r="I16" s="68"/>
      <c r="J16" s="71"/>
      <c r="K16" s="229"/>
      <c r="L16" s="229"/>
      <c r="M16" s="229"/>
      <c r="N16" s="229"/>
      <c r="O16" s="229"/>
      <c r="P16" s="71"/>
      <c r="Q16" s="279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196"/>
      <c r="AC16" s="196"/>
      <c r="AD16" s="196"/>
      <c r="AE16" s="196"/>
      <c r="AF16" s="196"/>
      <c r="AG16" s="196"/>
      <c r="AH16" s="196"/>
      <c r="AI16" s="196"/>
      <c r="AJ16" s="196"/>
      <c r="AK16" s="196"/>
      <c r="AL16" s="196"/>
      <c r="AM16" s="196"/>
      <c r="AN16" s="196"/>
      <c r="AO16" s="196"/>
      <c r="AP16" s="196"/>
      <c r="AQ16" s="196"/>
      <c r="AR16" s="196"/>
      <c r="AS16" s="196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6"/>
      <c r="BG16" s="196"/>
      <c r="BH16" s="196"/>
      <c r="BI16" s="196"/>
      <c r="BJ16" s="196"/>
      <c r="BK16" s="196"/>
      <c r="BL16" s="196"/>
      <c r="BM16" s="196"/>
      <c r="BN16" s="196"/>
      <c r="BO16" s="196"/>
      <c r="BP16" s="196"/>
      <c r="BQ16" s="196"/>
      <c r="BR16" s="196"/>
      <c r="BS16" s="196"/>
      <c r="BT16" s="196"/>
      <c r="BU16" s="196"/>
    </row>
    <row r="17" spans="1:73" s="170" customFormat="1" ht="39.950000000000003" customHeight="1" x14ac:dyDescent="0.25">
      <c r="A17" s="229"/>
      <c r="B17" s="229"/>
      <c r="C17" s="229"/>
      <c r="D17" s="229"/>
      <c r="E17" s="229"/>
      <c r="F17" s="229"/>
      <c r="G17" s="229"/>
      <c r="H17" s="229"/>
      <c r="I17" s="68"/>
      <c r="J17" s="71"/>
      <c r="K17" s="229"/>
      <c r="L17" s="229"/>
      <c r="M17" s="229"/>
      <c r="N17" s="229"/>
      <c r="O17" s="229"/>
      <c r="P17" s="71"/>
      <c r="Q17" s="279"/>
      <c r="R17" s="196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6"/>
      <c r="AD17" s="196"/>
      <c r="AE17" s="196"/>
      <c r="AF17" s="196"/>
      <c r="AG17" s="196"/>
      <c r="AH17" s="196"/>
      <c r="AI17" s="196"/>
      <c r="AJ17" s="196"/>
      <c r="AK17" s="196"/>
      <c r="AL17" s="196"/>
      <c r="AM17" s="196"/>
      <c r="AN17" s="196"/>
      <c r="AO17" s="196"/>
      <c r="AP17" s="196"/>
      <c r="AQ17" s="196"/>
      <c r="AR17" s="196"/>
      <c r="AS17" s="196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/>
      <c r="BD17" s="196"/>
      <c r="BE17" s="196"/>
      <c r="BF17" s="196"/>
      <c r="BG17" s="196"/>
      <c r="BH17" s="196"/>
      <c r="BI17" s="196"/>
      <c r="BJ17" s="196"/>
      <c r="BK17" s="196"/>
      <c r="BL17" s="196"/>
      <c r="BM17" s="196"/>
      <c r="BN17" s="196"/>
      <c r="BO17" s="196"/>
      <c r="BP17" s="196"/>
      <c r="BQ17" s="196"/>
      <c r="BR17" s="196"/>
      <c r="BS17" s="196"/>
      <c r="BT17" s="196"/>
      <c r="BU17" s="196"/>
    </row>
    <row r="18" spans="1:73" s="170" customFormat="1" ht="39.950000000000003" customHeight="1" x14ac:dyDescent="0.25">
      <c r="A18" s="229"/>
      <c r="B18" s="229"/>
      <c r="C18" s="229"/>
      <c r="D18" s="229"/>
      <c r="E18" s="229"/>
      <c r="F18" s="229"/>
      <c r="G18" s="229"/>
      <c r="H18" s="229"/>
      <c r="I18" s="68"/>
      <c r="J18" s="71"/>
      <c r="K18" s="229"/>
      <c r="L18" s="229"/>
      <c r="M18" s="229"/>
      <c r="N18" s="229"/>
      <c r="O18" s="229"/>
      <c r="P18" s="71"/>
      <c r="Q18" s="229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  <c r="AF18" s="196"/>
      <c r="AG18" s="196"/>
      <c r="AH18" s="196"/>
      <c r="AI18" s="196"/>
      <c r="AJ18" s="196"/>
      <c r="AK18" s="196"/>
      <c r="AL18" s="196"/>
      <c r="AM18" s="196"/>
      <c r="AN18" s="196"/>
      <c r="AO18" s="196"/>
      <c r="AP18" s="196"/>
      <c r="AQ18" s="196"/>
      <c r="AR18" s="196"/>
      <c r="AS18" s="196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6"/>
      <c r="BE18" s="196"/>
      <c r="BF18" s="196"/>
      <c r="BG18" s="196"/>
      <c r="BH18" s="196"/>
      <c r="BI18" s="196"/>
      <c r="BJ18" s="196"/>
      <c r="BK18" s="196"/>
      <c r="BL18" s="196"/>
      <c r="BM18" s="196"/>
      <c r="BN18" s="196"/>
      <c r="BO18" s="196"/>
      <c r="BP18" s="196"/>
      <c r="BQ18" s="196"/>
      <c r="BR18" s="196"/>
      <c r="BS18" s="196"/>
      <c r="BT18" s="196"/>
      <c r="BU18" s="196"/>
    </row>
    <row r="19" spans="1:73" s="170" customFormat="1" ht="39.950000000000003" customHeight="1" x14ac:dyDescent="0.25">
      <c r="A19" s="229"/>
      <c r="B19" s="229"/>
      <c r="C19" s="229"/>
      <c r="D19" s="229"/>
      <c r="E19" s="229"/>
      <c r="F19" s="229"/>
      <c r="G19" s="229"/>
      <c r="H19" s="229"/>
      <c r="I19" s="68"/>
      <c r="J19" s="71"/>
      <c r="K19" s="229"/>
      <c r="L19" s="229"/>
      <c r="M19" s="229"/>
      <c r="N19" s="229"/>
      <c r="O19" s="229"/>
      <c r="P19" s="71"/>
      <c r="Q19" s="229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6"/>
      <c r="AH19" s="196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</row>
    <row r="20" spans="1:73" s="170" customFormat="1" ht="39.950000000000003" customHeight="1" x14ac:dyDescent="0.25">
      <c r="A20" s="229"/>
      <c r="B20" s="229"/>
      <c r="C20" s="229"/>
      <c r="D20" s="229"/>
      <c r="E20" s="229"/>
      <c r="F20" s="229"/>
      <c r="G20" s="229"/>
      <c r="H20" s="229"/>
      <c r="I20" s="68"/>
      <c r="J20" s="71"/>
      <c r="K20" s="229"/>
      <c r="L20" s="229"/>
      <c r="M20" s="229"/>
      <c r="N20" s="229"/>
      <c r="O20" s="229"/>
      <c r="P20" s="71"/>
      <c r="Q20" s="229"/>
      <c r="R20" s="196"/>
      <c r="S20" s="196"/>
      <c r="T20" s="196"/>
      <c r="U20" s="196"/>
      <c r="V20" s="196"/>
      <c r="W20" s="196"/>
      <c r="X20" s="196"/>
      <c r="Y20" s="196"/>
      <c r="Z20" s="196"/>
      <c r="AA20" s="196"/>
      <c r="AB20" s="196"/>
      <c r="AC20" s="196"/>
      <c r="AD20" s="196"/>
      <c r="AE20" s="196"/>
      <c r="AF20" s="196"/>
      <c r="AG20" s="196"/>
      <c r="AH20" s="196"/>
      <c r="AI20" s="196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6"/>
      <c r="BQ20" s="196"/>
      <c r="BR20" s="196"/>
      <c r="BS20" s="196"/>
      <c r="BT20" s="196"/>
      <c r="BU20" s="196"/>
    </row>
    <row r="21" spans="1:73" s="170" customFormat="1" ht="39.950000000000003" customHeight="1" x14ac:dyDescent="0.25">
      <c r="A21" s="229"/>
      <c r="B21" s="229"/>
      <c r="C21" s="229"/>
      <c r="D21" s="229"/>
      <c r="E21" s="229"/>
      <c r="F21" s="229"/>
      <c r="G21" s="229"/>
      <c r="H21" s="229"/>
      <c r="I21" s="68"/>
      <c r="J21" s="71"/>
      <c r="K21" s="229"/>
      <c r="L21" s="229"/>
      <c r="M21" s="229"/>
      <c r="N21" s="229"/>
      <c r="O21" s="229"/>
      <c r="P21" s="71"/>
      <c r="Q21" s="229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</row>
    <row r="22" spans="1:73" s="170" customFormat="1" ht="39.950000000000003" customHeight="1" x14ac:dyDescent="0.25">
      <c r="A22" s="229"/>
      <c r="B22" s="229"/>
      <c r="C22" s="229"/>
      <c r="D22" s="229"/>
      <c r="E22" s="229"/>
      <c r="F22" s="229"/>
      <c r="G22" s="229"/>
      <c r="H22" s="229"/>
      <c r="I22" s="68"/>
      <c r="J22" s="71"/>
      <c r="K22" s="229"/>
      <c r="L22" s="229"/>
      <c r="M22" s="229"/>
      <c r="N22" s="229"/>
      <c r="O22" s="229"/>
      <c r="P22" s="71"/>
      <c r="Q22" s="229"/>
      <c r="R22" s="196"/>
      <c r="S22" s="196"/>
      <c r="T22" s="196"/>
      <c r="U22" s="196"/>
      <c r="V22" s="196"/>
      <c r="W22" s="196"/>
      <c r="X22" s="196"/>
      <c r="Y22" s="196"/>
      <c r="Z22" s="196"/>
      <c r="AA22" s="196"/>
      <c r="AB22" s="196"/>
      <c r="AC22" s="196"/>
      <c r="AD22" s="196"/>
      <c r="AE22" s="196"/>
      <c r="AF22" s="196"/>
      <c r="AG22" s="196"/>
      <c r="AH22" s="196"/>
      <c r="AI22" s="196"/>
      <c r="AJ22" s="196"/>
      <c r="AK22" s="196"/>
      <c r="AL22" s="196"/>
      <c r="AM22" s="196"/>
      <c r="AN22" s="196"/>
      <c r="AO22" s="196"/>
      <c r="AP22" s="196"/>
      <c r="AQ22" s="196"/>
      <c r="AR22" s="196"/>
      <c r="AS22" s="196"/>
      <c r="AT22" s="196"/>
      <c r="AU22" s="196"/>
      <c r="AV22" s="196"/>
      <c r="AW22" s="196"/>
      <c r="AX22" s="196"/>
      <c r="AY22" s="196"/>
      <c r="AZ22" s="196"/>
      <c r="BA22" s="196"/>
      <c r="BB22" s="196"/>
      <c r="BC22" s="196"/>
      <c r="BD22" s="196"/>
      <c r="BE22" s="196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6"/>
      <c r="BQ22" s="196"/>
      <c r="BR22" s="196"/>
      <c r="BS22" s="196"/>
      <c r="BT22" s="196"/>
      <c r="BU22" s="196"/>
    </row>
    <row r="23" spans="1:73" s="170" customFormat="1" ht="39.950000000000003" customHeight="1" x14ac:dyDescent="0.25">
      <c r="A23" s="229"/>
      <c r="B23" s="229"/>
      <c r="C23" s="229"/>
      <c r="D23" s="229"/>
      <c r="E23" s="229"/>
      <c r="F23" s="229"/>
      <c r="G23" s="229"/>
      <c r="H23" s="229"/>
      <c r="I23" s="68"/>
      <c r="J23" s="71"/>
      <c r="K23" s="229"/>
      <c r="L23" s="229"/>
      <c r="M23" s="229"/>
      <c r="N23" s="229"/>
      <c r="O23" s="229"/>
      <c r="P23" s="71"/>
      <c r="Q23" s="229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  <c r="AD23" s="196"/>
      <c r="AE23" s="196"/>
      <c r="AF23" s="196"/>
      <c r="AG23" s="196"/>
      <c r="AH23" s="196"/>
      <c r="AI23" s="196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/>
      <c r="BO23" s="196"/>
      <c r="BP23" s="196"/>
      <c r="BQ23" s="196"/>
      <c r="BR23" s="196"/>
      <c r="BS23" s="196"/>
      <c r="BT23" s="196"/>
      <c r="BU23" s="196"/>
    </row>
    <row r="24" spans="1:73" s="170" customFormat="1" ht="39.950000000000003" customHeight="1" x14ac:dyDescent="0.25">
      <c r="A24" s="229"/>
      <c r="B24" s="229"/>
      <c r="C24" s="229"/>
      <c r="D24" s="229"/>
      <c r="E24" s="229"/>
      <c r="F24" s="229"/>
      <c r="G24" s="229"/>
      <c r="H24" s="229"/>
      <c r="I24" s="68"/>
      <c r="J24" s="71"/>
      <c r="K24" s="229"/>
      <c r="L24" s="229"/>
      <c r="M24" s="229"/>
      <c r="N24" s="229"/>
      <c r="O24" s="229"/>
      <c r="P24" s="71"/>
      <c r="Q24" s="229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  <c r="AD24" s="196"/>
      <c r="AE24" s="196"/>
      <c r="AF24" s="196"/>
      <c r="AG24" s="196"/>
      <c r="AH24" s="196"/>
      <c r="AI24" s="196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6"/>
      <c r="AU24" s="196"/>
      <c r="AV24" s="196"/>
      <c r="AW24" s="196"/>
      <c r="AX24" s="196"/>
      <c r="AY24" s="196"/>
      <c r="AZ24" s="196"/>
      <c r="BA24" s="196"/>
      <c r="BB24" s="196"/>
      <c r="BC24" s="196"/>
      <c r="BD24" s="196"/>
      <c r="BE24" s="196"/>
      <c r="BF24" s="196"/>
      <c r="BG24" s="196"/>
      <c r="BH24" s="196"/>
      <c r="BI24" s="196"/>
      <c r="BJ24" s="196"/>
      <c r="BK24" s="196"/>
      <c r="BL24" s="196"/>
      <c r="BM24" s="196"/>
      <c r="BN24" s="196"/>
      <c r="BO24" s="196"/>
      <c r="BP24" s="196"/>
      <c r="BQ24" s="196"/>
      <c r="BR24" s="196"/>
      <c r="BS24" s="196"/>
      <c r="BT24" s="196"/>
      <c r="BU24" s="196"/>
    </row>
    <row r="25" spans="1:73" s="170" customFormat="1" ht="39.950000000000003" customHeight="1" x14ac:dyDescent="0.25">
      <c r="A25" s="229"/>
      <c r="B25" s="229"/>
      <c r="C25" s="229"/>
      <c r="D25" s="229"/>
      <c r="E25" s="229"/>
      <c r="F25" s="229"/>
      <c r="G25" s="229"/>
      <c r="H25" s="229"/>
      <c r="I25" s="68"/>
      <c r="J25" s="71"/>
      <c r="K25" s="229"/>
      <c r="L25" s="229"/>
      <c r="M25" s="229"/>
      <c r="N25" s="229"/>
      <c r="O25" s="229"/>
      <c r="P25" s="71"/>
      <c r="Q25" s="229"/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  <c r="AD25" s="196"/>
      <c r="AE25" s="196"/>
      <c r="AF25" s="196"/>
      <c r="AG25" s="196"/>
      <c r="AH25" s="196"/>
      <c r="AI25" s="196"/>
      <c r="AJ25" s="196"/>
      <c r="AK25" s="196"/>
      <c r="AL25" s="196"/>
      <c r="AM25" s="196"/>
      <c r="AN25" s="196"/>
      <c r="AO25" s="196"/>
      <c r="AP25" s="196"/>
      <c r="AQ25" s="196"/>
      <c r="AR25" s="196"/>
      <c r="AS25" s="196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/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/>
      <c r="BO25" s="196"/>
      <c r="BP25" s="196"/>
      <c r="BQ25" s="196"/>
      <c r="BR25" s="196"/>
      <c r="BS25" s="196"/>
      <c r="BT25" s="196"/>
      <c r="BU25" s="196"/>
    </row>
    <row r="26" spans="1:73" s="170" customFormat="1" ht="39.950000000000003" customHeight="1" x14ac:dyDescent="0.25">
      <c r="A26" s="229"/>
      <c r="B26" s="229"/>
      <c r="C26" s="229"/>
      <c r="D26" s="229"/>
      <c r="E26" s="229"/>
      <c r="F26" s="229"/>
      <c r="G26" s="229"/>
      <c r="H26" s="229"/>
      <c r="I26" s="68"/>
      <c r="J26" s="71"/>
      <c r="K26" s="229"/>
      <c r="L26" s="229"/>
      <c r="M26" s="229"/>
      <c r="N26" s="229"/>
      <c r="O26" s="229"/>
      <c r="P26" s="71"/>
      <c r="Q26" s="229"/>
      <c r="R26" s="196"/>
      <c r="S26" s="196"/>
      <c r="T26" s="196"/>
      <c r="U26" s="196"/>
      <c r="V26" s="196"/>
      <c r="W26" s="196"/>
      <c r="X26" s="196"/>
      <c r="Y26" s="196"/>
      <c r="Z26" s="196"/>
      <c r="AA26" s="196"/>
      <c r="AB26" s="196"/>
      <c r="AC26" s="196"/>
      <c r="AD26" s="196"/>
      <c r="AE26" s="196"/>
      <c r="AF26" s="196"/>
      <c r="AG26" s="196"/>
      <c r="AH26" s="196"/>
      <c r="AI26" s="196"/>
      <c r="AJ26" s="196"/>
      <c r="AK26" s="196"/>
      <c r="AL26" s="196"/>
      <c r="AM26" s="196"/>
      <c r="AN26" s="196"/>
      <c r="AO26" s="196"/>
      <c r="AP26" s="196"/>
      <c r="AQ26" s="196"/>
      <c r="AR26" s="196"/>
      <c r="AS26" s="196"/>
      <c r="AT26" s="196"/>
      <c r="AU26" s="196"/>
      <c r="AV26" s="196"/>
      <c r="AW26" s="196"/>
      <c r="AX26" s="196"/>
      <c r="AY26" s="196"/>
      <c r="AZ26" s="196"/>
      <c r="BA26" s="196"/>
      <c r="BB26" s="196"/>
      <c r="BC26" s="196"/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/>
      <c r="BO26" s="196"/>
      <c r="BP26" s="196"/>
      <c r="BQ26" s="196"/>
      <c r="BR26" s="196"/>
      <c r="BS26" s="196"/>
      <c r="BT26" s="196"/>
      <c r="BU26" s="196"/>
    </row>
    <row r="27" spans="1:73" s="170" customFormat="1" ht="39.950000000000003" customHeight="1" x14ac:dyDescent="0.25">
      <c r="A27" s="229"/>
      <c r="B27" s="229"/>
      <c r="C27" s="229"/>
      <c r="D27" s="229"/>
      <c r="E27" s="229"/>
      <c r="F27" s="229"/>
      <c r="G27" s="229"/>
      <c r="H27" s="229"/>
      <c r="I27" s="68"/>
      <c r="J27" s="71"/>
      <c r="K27" s="229"/>
      <c r="L27" s="229"/>
      <c r="M27" s="229"/>
      <c r="N27" s="229"/>
      <c r="O27" s="229"/>
      <c r="P27" s="71"/>
      <c r="Q27" s="229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  <c r="AD27" s="196"/>
      <c r="AE27" s="196"/>
      <c r="AF27" s="196"/>
      <c r="AG27" s="196"/>
      <c r="AH27" s="196"/>
      <c r="AI27" s="196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/>
      <c r="BL27" s="196"/>
      <c r="BM27" s="196"/>
      <c r="BN27" s="196"/>
      <c r="BO27" s="196"/>
      <c r="BP27" s="196"/>
      <c r="BQ27" s="196"/>
      <c r="BR27" s="196"/>
      <c r="BS27" s="196"/>
      <c r="BT27" s="196"/>
      <c r="BU27" s="196"/>
    </row>
    <row r="28" spans="1:73" s="170" customFormat="1" ht="39.950000000000003" customHeight="1" x14ac:dyDescent="0.25">
      <c r="A28" s="229"/>
      <c r="B28" s="229"/>
      <c r="C28" s="229"/>
      <c r="D28" s="229"/>
      <c r="E28" s="229"/>
      <c r="F28" s="229"/>
      <c r="G28" s="229"/>
      <c r="H28" s="229"/>
      <c r="I28" s="68"/>
      <c r="J28" s="71"/>
      <c r="K28" s="229"/>
      <c r="L28" s="229"/>
      <c r="M28" s="229"/>
      <c r="N28" s="229"/>
      <c r="O28" s="229"/>
      <c r="P28" s="71"/>
      <c r="Q28" s="229"/>
      <c r="R28" s="196"/>
      <c r="S28" s="196"/>
      <c r="T28" s="196"/>
      <c r="U28" s="196"/>
      <c r="V28" s="196"/>
      <c r="W28" s="196"/>
      <c r="X28" s="196"/>
      <c r="Y28" s="196"/>
      <c r="Z28" s="196"/>
      <c r="AA28" s="196"/>
      <c r="AB28" s="196"/>
      <c r="AC28" s="196"/>
      <c r="AD28" s="196"/>
      <c r="AE28" s="196"/>
      <c r="AF28" s="196"/>
      <c r="AG28" s="196"/>
      <c r="AH28" s="196"/>
      <c r="AI28" s="196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/>
      <c r="BM28" s="196"/>
      <c r="BN28" s="196"/>
      <c r="BO28" s="196"/>
      <c r="BP28" s="196"/>
      <c r="BQ28" s="196"/>
      <c r="BR28" s="196"/>
      <c r="BS28" s="196"/>
      <c r="BT28" s="196"/>
      <c r="BU28" s="196"/>
    </row>
    <row r="29" spans="1:73" s="170" customFormat="1" ht="39.950000000000003" customHeight="1" x14ac:dyDescent="0.25">
      <c r="A29" s="229"/>
      <c r="B29" s="229"/>
      <c r="C29" s="229"/>
      <c r="D29" s="229"/>
      <c r="E29" s="229"/>
      <c r="F29" s="229"/>
      <c r="G29" s="229"/>
      <c r="H29" s="229"/>
      <c r="I29" s="68"/>
      <c r="J29" s="71"/>
      <c r="K29" s="229"/>
      <c r="L29" s="229"/>
      <c r="M29" s="229"/>
      <c r="N29" s="229"/>
      <c r="O29" s="229"/>
      <c r="P29" s="71"/>
      <c r="Q29" s="229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  <c r="AD29" s="196"/>
      <c r="AE29" s="196"/>
      <c r="AF29" s="196"/>
      <c r="AG29" s="196"/>
      <c r="AH29" s="196"/>
      <c r="AI29" s="196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F29" s="196"/>
      <c r="BG29" s="196"/>
      <c r="BH29" s="196"/>
      <c r="BI29" s="196"/>
      <c r="BJ29" s="196"/>
      <c r="BK29" s="196"/>
      <c r="BL29" s="196"/>
      <c r="BM29" s="196"/>
      <c r="BN29" s="196"/>
      <c r="BO29" s="196"/>
      <c r="BP29" s="196"/>
      <c r="BQ29" s="196"/>
      <c r="BR29" s="196"/>
      <c r="BS29" s="196"/>
      <c r="BT29" s="196"/>
      <c r="BU29" s="196"/>
    </row>
    <row r="30" spans="1:73" s="170" customFormat="1" ht="39.950000000000003" customHeight="1" x14ac:dyDescent="0.25">
      <c r="A30" s="229"/>
      <c r="B30" s="229"/>
      <c r="C30" s="229"/>
      <c r="D30" s="229"/>
      <c r="E30" s="229"/>
      <c r="F30" s="229"/>
      <c r="G30" s="229"/>
      <c r="H30" s="229"/>
      <c r="I30" s="68"/>
      <c r="J30" s="71"/>
      <c r="K30" s="229"/>
      <c r="L30" s="229"/>
      <c r="M30" s="229"/>
      <c r="N30" s="229"/>
      <c r="O30" s="229"/>
      <c r="P30" s="71"/>
      <c r="Q30" s="229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  <c r="AF30" s="196"/>
      <c r="AG30" s="196"/>
      <c r="AH30" s="196"/>
      <c r="AI30" s="196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6"/>
      <c r="AU30" s="196"/>
      <c r="AV30" s="196"/>
      <c r="AW30" s="196"/>
      <c r="AX30" s="196"/>
      <c r="AY30" s="196"/>
      <c r="AZ30" s="196"/>
      <c r="BA30" s="196"/>
      <c r="BB30" s="196"/>
      <c r="BC30" s="196"/>
      <c r="BD30" s="196"/>
      <c r="BE30" s="196"/>
      <c r="BF30" s="196"/>
      <c r="BG30" s="196"/>
      <c r="BH30" s="196"/>
      <c r="BI30" s="196"/>
      <c r="BJ30" s="196"/>
      <c r="BK30" s="196"/>
      <c r="BL30" s="196"/>
      <c r="BM30" s="196"/>
      <c r="BN30" s="196"/>
      <c r="BO30" s="196"/>
      <c r="BP30" s="196"/>
      <c r="BQ30" s="196"/>
      <c r="BR30" s="196"/>
      <c r="BS30" s="196"/>
      <c r="BT30" s="196"/>
      <c r="BU30" s="196"/>
    </row>
    <row r="31" spans="1:73" s="170" customFormat="1" ht="39.950000000000003" customHeight="1" x14ac:dyDescent="0.25">
      <c r="A31" s="229"/>
      <c r="B31" s="229"/>
      <c r="C31" s="229"/>
      <c r="D31" s="229"/>
      <c r="E31" s="229"/>
      <c r="F31" s="229"/>
      <c r="G31" s="229"/>
      <c r="H31" s="229"/>
      <c r="I31" s="68"/>
      <c r="J31" s="71"/>
      <c r="K31" s="229"/>
      <c r="L31" s="229"/>
      <c r="M31" s="229"/>
      <c r="N31" s="229"/>
      <c r="O31" s="229"/>
      <c r="P31" s="71"/>
      <c r="Q31" s="229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6"/>
      <c r="AC31" s="196"/>
      <c r="AD31" s="196"/>
      <c r="AE31" s="196"/>
      <c r="AF31" s="196"/>
      <c r="AG31" s="196"/>
      <c r="AH31" s="196"/>
      <c r="AI31" s="196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6"/>
      <c r="AU31" s="196"/>
      <c r="AV31" s="196"/>
      <c r="AW31" s="196"/>
      <c r="AX31" s="196"/>
      <c r="AY31" s="196"/>
      <c r="AZ31" s="196"/>
      <c r="BA31" s="196"/>
      <c r="BB31" s="196"/>
      <c r="BC31" s="196"/>
      <c r="BD31" s="196"/>
      <c r="BE31" s="196"/>
      <c r="BF31" s="196"/>
      <c r="BG31" s="196"/>
      <c r="BH31" s="196"/>
      <c r="BI31" s="196"/>
      <c r="BJ31" s="196"/>
      <c r="BK31" s="196"/>
      <c r="BL31" s="196"/>
      <c r="BM31" s="196"/>
      <c r="BN31" s="196"/>
      <c r="BO31" s="196"/>
      <c r="BP31" s="196"/>
      <c r="BQ31" s="196"/>
      <c r="BR31" s="196"/>
      <c r="BS31" s="196"/>
      <c r="BT31" s="196"/>
      <c r="BU31" s="196"/>
    </row>
    <row r="32" spans="1:73" s="170" customFormat="1" ht="39.950000000000003" customHeight="1" x14ac:dyDescent="0.25">
      <c r="A32" s="229"/>
      <c r="B32" s="229"/>
      <c r="C32" s="229"/>
      <c r="D32" s="229"/>
      <c r="E32" s="229"/>
      <c r="F32" s="229"/>
      <c r="G32" s="229"/>
      <c r="H32" s="229"/>
      <c r="I32" s="68"/>
      <c r="J32" s="71"/>
      <c r="K32" s="229"/>
      <c r="L32" s="229"/>
      <c r="M32" s="229"/>
      <c r="N32" s="229"/>
      <c r="O32" s="229"/>
      <c r="P32" s="71"/>
      <c r="Q32" s="229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196"/>
      <c r="AC32" s="196"/>
      <c r="AD32" s="196"/>
      <c r="AE32" s="196"/>
      <c r="AF32" s="196"/>
      <c r="AG32" s="196"/>
      <c r="AH32" s="196"/>
      <c r="AI32" s="196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6"/>
      <c r="AU32" s="196"/>
      <c r="AV32" s="196"/>
      <c r="AW32" s="196"/>
      <c r="AX32" s="196"/>
      <c r="AY32" s="196"/>
      <c r="AZ32" s="196"/>
      <c r="BA32" s="196"/>
      <c r="BB32" s="196"/>
      <c r="BC32" s="196"/>
      <c r="BD32" s="196"/>
      <c r="BE32" s="196"/>
      <c r="BF32" s="196"/>
      <c r="BG32" s="196"/>
      <c r="BH32" s="196"/>
      <c r="BI32" s="196"/>
      <c r="BJ32" s="196"/>
      <c r="BK32" s="196"/>
      <c r="BL32" s="196"/>
      <c r="BM32" s="196"/>
      <c r="BN32" s="196"/>
      <c r="BO32" s="196"/>
      <c r="BP32" s="196"/>
      <c r="BQ32" s="196"/>
      <c r="BR32" s="196"/>
      <c r="BS32" s="196"/>
      <c r="BT32" s="196"/>
      <c r="BU32" s="196"/>
    </row>
    <row r="33" spans="1:73" s="170" customFormat="1" ht="39.950000000000003" customHeight="1" x14ac:dyDescent="0.25">
      <c r="A33" s="229"/>
      <c r="B33" s="229"/>
      <c r="C33" s="229"/>
      <c r="D33" s="229"/>
      <c r="E33" s="229"/>
      <c r="F33" s="229"/>
      <c r="G33" s="229"/>
      <c r="H33" s="229"/>
      <c r="I33" s="68"/>
      <c r="J33" s="71"/>
      <c r="K33" s="229"/>
      <c r="L33" s="229"/>
      <c r="M33" s="229"/>
      <c r="N33" s="229"/>
      <c r="O33" s="229"/>
      <c r="P33" s="71"/>
      <c r="Q33" s="229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6"/>
      <c r="AU33" s="196"/>
      <c r="AV33" s="196"/>
      <c r="AW33" s="196"/>
      <c r="AX33" s="196"/>
      <c r="AY33" s="196"/>
      <c r="AZ33" s="196"/>
      <c r="BA33" s="196"/>
      <c r="BB33" s="196"/>
      <c r="BC33" s="196"/>
      <c r="BD33" s="196"/>
      <c r="BE33" s="196"/>
      <c r="BF33" s="196"/>
      <c r="BG33" s="196"/>
      <c r="BH33" s="196"/>
      <c r="BI33" s="196"/>
      <c r="BJ33" s="196"/>
      <c r="BK33" s="196"/>
      <c r="BL33" s="196"/>
      <c r="BM33" s="196"/>
      <c r="BN33" s="196"/>
      <c r="BO33" s="196"/>
      <c r="BP33" s="196"/>
      <c r="BQ33" s="196"/>
      <c r="BR33" s="196"/>
      <c r="BS33" s="196"/>
      <c r="BT33" s="196"/>
      <c r="BU33" s="196"/>
    </row>
    <row r="34" spans="1:73" s="170" customFormat="1" ht="39.950000000000003" customHeight="1" x14ac:dyDescent="0.25">
      <c r="A34" s="229"/>
      <c r="B34" s="229"/>
      <c r="C34" s="229"/>
      <c r="D34" s="229"/>
      <c r="E34" s="229"/>
      <c r="F34" s="229"/>
      <c r="G34" s="229"/>
      <c r="H34" s="229"/>
      <c r="I34" s="68"/>
      <c r="J34" s="71"/>
      <c r="K34" s="229"/>
      <c r="L34" s="229"/>
      <c r="M34" s="229"/>
      <c r="N34" s="229"/>
      <c r="O34" s="229"/>
      <c r="P34" s="71"/>
      <c r="Q34" s="229"/>
      <c r="R34" s="196"/>
      <c r="S34" s="196"/>
      <c r="T34" s="196"/>
      <c r="U34" s="196"/>
      <c r="V34" s="196"/>
      <c r="W34" s="196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6"/>
      <c r="AU34" s="196"/>
      <c r="AV34" s="196"/>
      <c r="AW34" s="196"/>
      <c r="AX34" s="196"/>
      <c r="AY34" s="196"/>
      <c r="AZ34" s="196"/>
      <c r="BA34" s="196"/>
      <c r="BB34" s="196"/>
      <c r="BC34" s="196"/>
      <c r="BD34" s="196"/>
      <c r="BE34" s="196"/>
      <c r="BF34" s="196"/>
      <c r="BG34" s="196"/>
      <c r="BH34" s="196"/>
      <c r="BI34" s="196"/>
      <c r="BJ34" s="196"/>
      <c r="BK34" s="196"/>
      <c r="BL34" s="196"/>
      <c r="BM34" s="196"/>
      <c r="BN34" s="196"/>
      <c r="BO34" s="196"/>
      <c r="BP34" s="196"/>
      <c r="BQ34" s="196"/>
      <c r="BR34" s="196"/>
      <c r="BS34" s="196"/>
      <c r="BT34" s="196"/>
      <c r="BU34" s="196"/>
    </row>
    <row r="35" spans="1:73" s="170" customFormat="1" ht="39.950000000000003" customHeight="1" x14ac:dyDescent="0.25">
      <c r="A35" s="229"/>
      <c r="B35" s="229"/>
      <c r="C35" s="229"/>
      <c r="D35" s="229"/>
      <c r="E35" s="229"/>
      <c r="F35" s="229"/>
      <c r="G35" s="229"/>
      <c r="H35" s="229"/>
      <c r="I35" s="68"/>
      <c r="J35" s="71"/>
      <c r="K35" s="229"/>
      <c r="L35" s="229"/>
      <c r="M35" s="229"/>
      <c r="N35" s="229"/>
      <c r="O35" s="229"/>
      <c r="P35" s="71"/>
      <c r="Q35" s="229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6"/>
      <c r="AU35" s="196"/>
      <c r="AV35" s="196"/>
      <c r="AW35" s="196"/>
      <c r="AX35" s="196"/>
      <c r="AY35" s="196"/>
      <c r="AZ35" s="196"/>
      <c r="BA35" s="196"/>
      <c r="BB35" s="196"/>
      <c r="BC35" s="196"/>
      <c r="BD35" s="196"/>
      <c r="BE35" s="196"/>
      <c r="BF35" s="196"/>
      <c r="BG35" s="196"/>
      <c r="BH35" s="196"/>
      <c r="BI35" s="196"/>
      <c r="BJ35" s="196"/>
      <c r="BK35" s="196"/>
      <c r="BL35" s="196"/>
      <c r="BM35" s="196"/>
      <c r="BN35" s="196"/>
      <c r="BO35" s="196"/>
      <c r="BP35" s="196"/>
      <c r="BQ35" s="196"/>
      <c r="BR35" s="196"/>
      <c r="BS35" s="196"/>
      <c r="BT35" s="196"/>
      <c r="BU35" s="196"/>
    </row>
    <row r="36" spans="1:73" s="170" customFormat="1" ht="39.950000000000003" customHeight="1" x14ac:dyDescent="0.25">
      <c r="A36" s="229"/>
      <c r="B36" s="229"/>
      <c r="C36" s="229"/>
      <c r="D36" s="229"/>
      <c r="E36" s="229"/>
      <c r="F36" s="229"/>
      <c r="G36" s="229"/>
      <c r="H36" s="229"/>
      <c r="I36" s="68"/>
      <c r="J36" s="71"/>
      <c r="K36" s="229"/>
      <c r="L36" s="229"/>
      <c r="M36" s="229"/>
      <c r="N36" s="229"/>
      <c r="O36" s="229"/>
      <c r="P36" s="71"/>
      <c r="Q36" s="229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6"/>
      <c r="AU36" s="196"/>
      <c r="AV36" s="196"/>
      <c r="AW36" s="196"/>
      <c r="AX36" s="196"/>
      <c r="AY36" s="196"/>
      <c r="AZ36" s="196"/>
      <c r="BA36" s="196"/>
      <c r="BB36" s="196"/>
      <c r="BC36" s="196"/>
      <c r="BD36" s="196"/>
      <c r="BE36" s="196"/>
      <c r="BF36" s="196"/>
      <c r="BG36" s="196"/>
      <c r="BH36" s="196"/>
      <c r="BI36" s="196"/>
      <c r="BJ36" s="196"/>
      <c r="BK36" s="196"/>
      <c r="BL36" s="196"/>
      <c r="BM36" s="196"/>
      <c r="BN36" s="196"/>
      <c r="BO36" s="196"/>
      <c r="BP36" s="196"/>
      <c r="BQ36" s="196"/>
      <c r="BR36" s="196"/>
      <c r="BS36" s="196"/>
      <c r="BT36" s="196"/>
      <c r="BU36" s="196"/>
    </row>
    <row r="37" spans="1:73" s="170" customFormat="1" ht="39.950000000000003" customHeight="1" x14ac:dyDescent="0.25">
      <c r="A37" s="229"/>
      <c r="B37" s="229"/>
      <c r="C37" s="229"/>
      <c r="D37" s="229"/>
      <c r="E37" s="229"/>
      <c r="F37" s="229"/>
      <c r="G37" s="229"/>
      <c r="H37" s="229"/>
      <c r="I37" s="68"/>
      <c r="J37" s="71"/>
      <c r="K37" s="229"/>
      <c r="L37" s="229"/>
      <c r="M37" s="229"/>
      <c r="N37" s="229"/>
      <c r="O37" s="229"/>
      <c r="P37" s="71"/>
      <c r="Q37" s="229"/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196"/>
      <c r="AW37" s="196"/>
      <c r="AX37" s="196"/>
      <c r="AY37" s="196"/>
      <c r="AZ37" s="196"/>
      <c r="BA37" s="196"/>
      <c r="BB37" s="196"/>
      <c r="BC37" s="196"/>
      <c r="BD37" s="196"/>
      <c r="BE37" s="196"/>
      <c r="BF37" s="196"/>
      <c r="BG37" s="196"/>
      <c r="BH37" s="196"/>
      <c r="BI37" s="196"/>
      <c r="BJ37" s="196"/>
      <c r="BK37" s="196"/>
      <c r="BL37" s="196"/>
      <c r="BM37" s="196"/>
      <c r="BN37" s="196"/>
      <c r="BO37" s="196"/>
      <c r="BP37" s="196"/>
      <c r="BQ37" s="196"/>
      <c r="BR37" s="196"/>
      <c r="BS37" s="196"/>
      <c r="BT37" s="196"/>
      <c r="BU37" s="196"/>
    </row>
    <row r="38" spans="1:73" s="170" customFormat="1" ht="39.950000000000003" customHeight="1" x14ac:dyDescent="0.25">
      <c r="A38" s="229"/>
      <c r="B38" s="229"/>
      <c r="C38" s="229"/>
      <c r="D38" s="229"/>
      <c r="E38" s="229"/>
      <c r="F38" s="229"/>
      <c r="G38" s="229"/>
      <c r="H38" s="229"/>
      <c r="I38" s="68"/>
      <c r="J38" s="71"/>
      <c r="K38" s="229"/>
      <c r="L38" s="229"/>
      <c r="M38" s="229"/>
      <c r="N38" s="229"/>
      <c r="O38" s="229"/>
      <c r="P38" s="71"/>
      <c r="Q38" s="229"/>
      <c r="R38" s="196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6"/>
      <c r="AY38" s="196"/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6"/>
      <c r="BQ38" s="196"/>
      <c r="BR38" s="196"/>
      <c r="BS38" s="196"/>
      <c r="BT38" s="196"/>
      <c r="BU38" s="196"/>
    </row>
    <row r="39" spans="1:73" s="170" customFormat="1" ht="39.950000000000003" customHeight="1" x14ac:dyDescent="0.25">
      <c r="A39" s="229"/>
      <c r="B39" s="229"/>
      <c r="C39" s="229"/>
      <c r="D39" s="229"/>
      <c r="E39" s="229"/>
      <c r="F39" s="229"/>
      <c r="G39" s="229"/>
      <c r="H39" s="229"/>
      <c r="I39" s="68"/>
      <c r="J39" s="71"/>
      <c r="K39" s="229"/>
      <c r="L39" s="229"/>
      <c r="M39" s="229"/>
      <c r="N39" s="229"/>
      <c r="O39" s="229"/>
      <c r="P39" s="71"/>
      <c r="Q39" s="229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6"/>
      <c r="BK39" s="196"/>
      <c r="BL39" s="196"/>
      <c r="BM39" s="196"/>
      <c r="BN39" s="196"/>
      <c r="BO39" s="196"/>
      <c r="BP39" s="196"/>
      <c r="BQ39" s="196"/>
      <c r="BR39" s="196"/>
      <c r="BS39" s="196"/>
      <c r="BT39" s="196"/>
      <c r="BU39" s="196"/>
    </row>
    <row r="40" spans="1:73" s="170" customFormat="1" ht="39.950000000000003" customHeight="1" x14ac:dyDescent="0.25">
      <c r="A40" s="229"/>
      <c r="B40" s="229"/>
      <c r="C40" s="229"/>
      <c r="D40" s="229"/>
      <c r="E40" s="229"/>
      <c r="F40" s="229"/>
      <c r="G40" s="229"/>
      <c r="H40" s="229"/>
      <c r="I40" s="68"/>
      <c r="J40" s="71"/>
      <c r="K40" s="229"/>
      <c r="L40" s="229"/>
      <c r="M40" s="229"/>
      <c r="N40" s="229"/>
      <c r="O40" s="229"/>
      <c r="P40" s="71"/>
      <c r="Q40" s="229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6"/>
      <c r="BK40" s="196"/>
      <c r="BL40" s="196"/>
      <c r="BM40" s="196"/>
      <c r="BN40" s="196"/>
      <c r="BO40" s="196"/>
      <c r="BP40" s="196"/>
      <c r="BQ40" s="196"/>
      <c r="BR40" s="196"/>
      <c r="BS40" s="196"/>
      <c r="BT40" s="196"/>
      <c r="BU40" s="196"/>
    </row>
    <row r="41" spans="1:73" s="170" customFormat="1" ht="39.950000000000003" customHeight="1" x14ac:dyDescent="0.25">
      <c r="A41" s="229"/>
      <c r="B41" s="229"/>
      <c r="C41" s="229"/>
      <c r="D41" s="229"/>
      <c r="E41" s="229"/>
      <c r="F41" s="229"/>
      <c r="G41" s="229"/>
      <c r="H41" s="229"/>
      <c r="I41" s="68"/>
      <c r="J41" s="71"/>
      <c r="K41" s="229"/>
      <c r="L41" s="229"/>
      <c r="M41" s="229"/>
      <c r="N41" s="229"/>
      <c r="O41" s="229"/>
      <c r="P41" s="71"/>
      <c r="Q41" s="229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6"/>
      <c r="BQ41" s="196"/>
      <c r="BR41" s="196"/>
      <c r="BS41" s="196"/>
      <c r="BT41" s="196"/>
      <c r="BU41" s="196"/>
    </row>
    <row r="42" spans="1:73" s="170" customFormat="1" ht="39.950000000000003" customHeight="1" x14ac:dyDescent="0.25">
      <c r="A42" s="229"/>
      <c r="B42" s="229"/>
      <c r="C42" s="229"/>
      <c r="D42" s="229"/>
      <c r="E42" s="229"/>
      <c r="F42" s="229"/>
      <c r="G42" s="229"/>
      <c r="H42" s="229"/>
      <c r="I42" s="68"/>
      <c r="J42" s="71"/>
      <c r="K42" s="229"/>
      <c r="L42" s="229"/>
      <c r="M42" s="229"/>
      <c r="N42" s="229"/>
      <c r="O42" s="229"/>
      <c r="P42" s="71"/>
      <c r="Q42" s="229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6"/>
      <c r="AU42" s="196"/>
      <c r="AV42" s="196"/>
      <c r="AW42" s="196"/>
      <c r="AX42" s="196"/>
      <c r="AY42" s="196"/>
      <c r="AZ42" s="196"/>
      <c r="BA42" s="196"/>
      <c r="BB42" s="196"/>
      <c r="BC42" s="196"/>
      <c r="BD42" s="196"/>
      <c r="BE42" s="196"/>
      <c r="BF42" s="196"/>
      <c r="BG42" s="196"/>
      <c r="BH42" s="196"/>
      <c r="BI42" s="196"/>
      <c r="BJ42" s="196"/>
      <c r="BK42" s="196"/>
      <c r="BL42" s="196"/>
      <c r="BM42" s="196"/>
      <c r="BN42" s="196"/>
      <c r="BO42" s="196"/>
      <c r="BP42" s="196"/>
      <c r="BQ42" s="196"/>
      <c r="BR42" s="196"/>
      <c r="BS42" s="196"/>
      <c r="BT42" s="196"/>
      <c r="BU42" s="196"/>
    </row>
    <row r="43" spans="1:73" s="170" customFormat="1" ht="39.950000000000003" customHeight="1" x14ac:dyDescent="0.25">
      <c r="A43" s="229"/>
      <c r="B43" s="229"/>
      <c r="C43" s="229"/>
      <c r="D43" s="229"/>
      <c r="E43" s="229"/>
      <c r="F43" s="229"/>
      <c r="G43" s="229"/>
      <c r="H43" s="229"/>
      <c r="I43" s="68"/>
      <c r="J43" s="71"/>
      <c r="K43" s="229"/>
      <c r="L43" s="229"/>
      <c r="M43" s="229"/>
      <c r="N43" s="229"/>
      <c r="O43" s="229"/>
      <c r="P43" s="71"/>
      <c r="Q43" s="229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6"/>
      <c r="AU43" s="196"/>
      <c r="AV43" s="196"/>
      <c r="AW43" s="196"/>
      <c r="AX43" s="196"/>
      <c r="AY43" s="196"/>
      <c r="AZ43" s="196"/>
      <c r="BA43" s="196"/>
      <c r="BB43" s="196"/>
      <c r="BC43" s="196"/>
      <c r="BD43" s="196"/>
      <c r="BE43" s="196"/>
      <c r="BF43" s="196"/>
      <c r="BG43" s="196"/>
      <c r="BH43" s="196"/>
      <c r="BI43" s="196"/>
      <c r="BJ43" s="196"/>
      <c r="BK43" s="196"/>
      <c r="BL43" s="196"/>
      <c r="BM43" s="196"/>
      <c r="BN43" s="196"/>
      <c r="BO43" s="196"/>
      <c r="BP43" s="196"/>
      <c r="BQ43" s="196"/>
      <c r="BR43" s="196"/>
      <c r="BS43" s="196"/>
      <c r="BT43" s="196"/>
      <c r="BU43" s="196"/>
    </row>
    <row r="44" spans="1:73" s="170" customFormat="1" ht="39.950000000000003" customHeight="1" x14ac:dyDescent="0.25">
      <c r="A44" s="229"/>
      <c r="B44" s="229"/>
      <c r="C44" s="229"/>
      <c r="D44" s="229"/>
      <c r="E44" s="229"/>
      <c r="F44" s="229"/>
      <c r="G44" s="229"/>
      <c r="H44" s="229"/>
      <c r="I44" s="68"/>
      <c r="J44" s="71"/>
      <c r="K44" s="229"/>
      <c r="L44" s="229"/>
      <c r="M44" s="229"/>
      <c r="N44" s="229"/>
      <c r="O44" s="229"/>
      <c r="P44" s="71"/>
      <c r="Q44" s="229"/>
      <c r="R44" s="196"/>
      <c r="S44" s="196"/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196"/>
      <c r="AO44" s="196"/>
      <c r="AP44" s="196"/>
      <c r="AQ44" s="196"/>
      <c r="AR44" s="196"/>
      <c r="AS44" s="196"/>
      <c r="AT44" s="196"/>
      <c r="AU44" s="196"/>
      <c r="AV44" s="196"/>
      <c r="AW44" s="196"/>
      <c r="AX44" s="196"/>
      <c r="AY44" s="196"/>
      <c r="AZ44" s="196"/>
      <c r="BA44" s="196"/>
      <c r="BB44" s="196"/>
      <c r="BC44" s="196"/>
      <c r="BD44" s="196"/>
      <c r="BE44" s="196"/>
      <c r="BF44" s="196"/>
      <c r="BG44" s="196"/>
      <c r="BH44" s="196"/>
      <c r="BI44" s="196"/>
      <c r="BJ44" s="196"/>
      <c r="BK44" s="196"/>
      <c r="BL44" s="196"/>
      <c r="BM44" s="196"/>
      <c r="BN44" s="196"/>
      <c r="BO44" s="196"/>
      <c r="BP44" s="196"/>
      <c r="BQ44" s="196"/>
      <c r="BR44" s="196"/>
      <c r="BS44" s="196"/>
      <c r="BT44" s="196"/>
      <c r="BU44" s="196"/>
    </row>
    <row r="45" spans="1:73" s="170" customFormat="1" ht="39.950000000000003" customHeight="1" x14ac:dyDescent="0.25">
      <c r="A45" s="229"/>
      <c r="B45" s="229"/>
      <c r="C45" s="229"/>
      <c r="D45" s="229"/>
      <c r="E45" s="229"/>
      <c r="F45" s="229"/>
      <c r="G45" s="229"/>
      <c r="H45" s="229"/>
      <c r="I45" s="68"/>
      <c r="J45" s="71"/>
      <c r="K45" s="229"/>
      <c r="L45" s="229"/>
      <c r="M45" s="229"/>
      <c r="N45" s="229"/>
      <c r="O45" s="229"/>
      <c r="P45" s="71"/>
      <c r="Q45" s="229"/>
      <c r="R45" s="196"/>
      <c r="S45" s="196"/>
      <c r="T45" s="196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6"/>
      <c r="AU45" s="196"/>
      <c r="AV45" s="196"/>
      <c r="AW45" s="196"/>
      <c r="AX45" s="196"/>
      <c r="AY45" s="196"/>
      <c r="AZ45" s="196"/>
      <c r="BA45" s="196"/>
      <c r="BB45" s="196"/>
      <c r="BC45" s="196"/>
      <c r="BD45" s="196"/>
      <c r="BE45" s="196"/>
      <c r="BF45" s="196"/>
      <c r="BG45" s="196"/>
      <c r="BH45" s="196"/>
      <c r="BI45" s="196"/>
      <c r="BJ45" s="196"/>
      <c r="BK45" s="196"/>
      <c r="BL45" s="196"/>
      <c r="BM45" s="196"/>
      <c r="BN45" s="196"/>
      <c r="BO45" s="196"/>
      <c r="BP45" s="196"/>
      <c r="BQ45" s="196"/>
      <c r="BR45" s="196"/>
      <c r="BS45" s="196"/>
      <c r="BT45" s="196"/>
      <c r="BU45" s="196"/>
    </row>
    <row r="46" spans="1:73" s="170" customFormat="1" ht="39.950000000000003" customHeight="1" x14ac:dyDescent="0.25">
      <c r="A46" s="229"/>
      <c r="B46" s="229"/>
      <c r="C46" s="229"/>
      <c r="D46" s="229"/>
      <c r="E46" s="229"/>
      <c r="F46" s="229"/>
      <c r="G46" s="229"/>
      <c r="H46" s="229"/>
      <c r="I46" s="68"/>
      <c r="J46" s="71"/>
      <c r="K46" s="229"/>
      <c r="L46" s="229"/>
      <c r="M46" s="229"/>
      <c r="N46" s="229"/>
      <c r="O46" s="229"/>
      <c r="P46" s="71"/>
      <c r="Q46" s="229"/>
      <c r="R46" s="196"/>
      <c r="S46" s="196"/>
      <c r="T46" s="196"/>
      <c r="U46" s="196"/>
      <c r="V46" s="196"/>
      <c r="W46" s="196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6"/>
      <c r="AU46" s="196"/>
      <c r="AV46" s="196"/>
      <c r="AW46" s="196"/>
      <c r="AX46" s="196"/>
      <c r="AY46" s="196"/>
      <c r="AZ46" s="196"/>
      <c r="BA46" s="196"/>
      <c r="BB46" s="196"/>
      <c r="BC46" s="196"/>
      <c r="BD46" s="196"/>
      <c r="BE46" s="196"/>
      <c r="BF46" s="196"/>
      <c r="BG46" s="196"/>
      <c r="BH46" s="196"/>
      <c r="BI46" s="196"/>
      <c r="BJ46" s="196"/>
      <c r="BK46" s="196"/>
      <c r="BL46" s="196"/>
      <c r="BM46" s="196"/>
      <c r="BN46" s="196"/>
      <c r="BO46" s="196"/>
      <c r="BP46" s="196"/>
      <c r="BQ46" s="196"/>
      <c r="BR46" s="196"/>
      <c r="BS46" s="196"/>
      <c r="BT46" s="196"/>
      <c r="BU46" s="196"/>
    </row>
    <row r="47" spans="1:73" s="170" customFormat="1" ht="39.950000000000003" customHeight="1" x14ac:dyDescent="0.25">
      <c r="A47" s="229"/>
      <c r="B47" s="229"/>
      <c r="C47" s="229"/>
      <c r="D47" s="229"/>
      <c r="E47" s="229"/>
      <c r="F47" s="229"/>
      <c r="G47" s="229"/>
      <c r="H47" s="229"/>
      <c r="I47" s="68"/>
      <c r="J47" s="71"/>
      <c r="K47" s="229"/>
      <c r="L47" s="229"/>
      <c r="M47" s="229"/>
      <c r="N47" s="229"/>
      <c r="O47" s="229"/>
      <c r="P47" s="71"/>
      <c r="Q47" s="229"/>
      <c r="R47" s="196"/>
      <c r="S47" s="196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6"/>
      <c r="AU47" s="196"/>
      <c r="AV47" s="196"/>
      <c r="AW47" s="196"/>
      <c r="AX47" s="196"/>
      <c r="AY47" s="196"/>
      <c r="AZ47" s="196"/>
      <c r="BA47" s="196"/>
      <c r="BB47" s="196"/>
      <c r="BC47" s="196"/>
      <c r="BD47" s="196"/>
      <c r="BE47" s="196"/>
      <c r="BF47" s="196"/>
      <c r="BG47" s="196"/>
      <c r="BH47" s="196"/>
      <c r="BI47" s="196"/>
      <c r="BJ47" s="196"/>
      <c r="BK47" s="196"/>
      <c r="BL47" s="196"/>
      <c r="BM47" s="196"/>
      <c r="BN47" s="196"/>
      <c r="BO47" s="196"/>
      <c r="BP47" s="196"/>
      <c r="BQ47" s="196"/>
      <c r="BR47" s="196"/>
      <c r="BS47" s="196"/>
      <c r="BT47" s="196"/>
      <c r="BU47" s="196"/>
    </row>
    <row r="48" spans="1:73" s="170" customFormat="1" ht="39.950000000000003" customHeight="1" x14ac:dyDescent="0.25">
      <c r="A48" s="229"/>
      <c r="B48" s="229"/>
      <c r="C48" s="229"/>
      <c r="D48" s="229"/>
      <c r="E48" s="229"/>
      <c r="F48" s="229"/>
      <c r="G48" s="229"/>
      <c r="H48" s="229"/>
      <c r="I48" s="68"/>
      <c r="J48" s="71"/>
      <c r="K48" s="229"/>
      <c r="L48" s="229"/>
      <c r="M48" s="229"/>
      <c r="N48" s="229"/>
      <c r="O48" s="229"/>
      <c r="P48" s="71"/>
      <c r="Q48" s="229"/>
      <c r="R48" s="196"/>
      <c r="S48" s="196"/>
      <c r="T48" s="196"/>
      <c r="U48" s="196"/>
      <c r="V48" s="196"/>
      <c r="W48" s="196"/>
      <c r="X48" s="196"/>
      <c r="Y48" s="196"/>
      <c r="Z48" s="196"/>
      <c r="AA48" s="196"/>
      <c r="AB48" s="196"/>
      <c r="AC48" s="196"/>
      <c r="AD48" s="196"/>
      <c r="AE48" s="196"/>
      <c r="AF48" s="196"/>
      <c r="AG48" s="196"/>
      <c r="AH48" s="196"/>
      <c r="AI48" s="196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6"/>
      <c r="AU48" s="196"/>
      <c r="AV48" s="196"/>
      <c r="AW48" s="196"/>
      <c r="AX48" s="196"/>
      <c r="AY48" s="196"/>
      <c r="AZ48" s="196"/>
      <c r="BA48" s="196"/>
      <c r="BB48" s="196"/>
      <c r="BC48" s="196"/>
      <c r="BD48" s="196"/>
      <c r="BE48" s="196"/>
      <c r="BF48" s="196"/>
      <c r="BG48" s="196"/>
      <c r="BH48" s="196"/>
      <c r="BI48" s="196"/>
      <c r="BJ48" s="196"/>
      <c r="BK48" s="196"/>
      <c r="BL48" s="196"/>
      <c r="BM48" s="196"/>
      <c r="BN48" s="196"/>
      <c r="BO48" s="196"/>
      <c r="BP48" s="196"/>
      <c r="BQ48" s="196"/>
      <c r="BR48" s="196"/>
      <c r="BS48" s="196"/>
      <c r="BT48" s="196"/>
      <c r="BU48" s="196"/>
    </row>
    <row r="49" spans="1:73" s="170" customFormat="1" ht="39.950000000000003" customHeight="1" x14ac:dyDescent="0.25">
      <c r="A49" s="229"/>
      <c r="B49" s="229"/>
      <c r="C49" s="229"/>
      <c r="D49" s="229"/>
      <c r="E49" s="229"/>
      <c r="F49" s="229"/>
      <c r="G49" s="229"/>
      <c r="H49" s="229"/>
      <c r="I49" s="68"/>
      <c r="J49" s="71"/>
      <c r="K49" s="229"/>
      <c r="L49" s="229"/>
      <c r="M49" s="229"/>
      <c r="N49" s="229"/>
      <c r="O49" s="229"/>
      <c r="P49" s="71"/>
      <c r="Q49" s="229"/>
      <c r="R49" s="196"/>
      <c r="S49" s="196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6"/>
      <c r="AU49" s="196"/>
      <c r="AV49" s="196"/>
      <c r="AW49" s="196"/>
      <c r="AX49" s="196"/>
      <c r="AY49" s="196"/>
      <c r="AZ49" s="196"/>
      <c r="BA49" s="196"/>
      <c r="BB49" s="196"/>
      <c r="BC49" s="196"/>
      <c r="BD49" s="196"/>
      <c r="BE49" s="196"/>
      <c r="BF49" s="196"/>
      <c r="BG49" s="196"/>
      <c r="BH49" s="196"/>
      <c r="BI49" s="196"/>
      <c r="BJ49" s="196"/>
      <c r="BK49" s="196"/>
      <c r="BL49" s="196"/>
      <c r="BM49" s="196"/>
      <c r="BN49" s="196"/>
      <c r="BO49" s="196"/>
      <c r="BP49" s="196"/>
      <c r="BQ49" s="196"/>
      <c r="BR49" s="196"/>
      <c r="BS49" s="196"/>
      <c r="BT49" s="196"/>
      <c r="BU49" s="196"/>
    </row>
    <row r="50" spans="1:73" s="170" customFormat="1" ht="39.950000000000003" customHeight="1" x14ac:dyDescent="0.25">
      <c r="A50" s="229"/>
      <c r="B50" s="229"/>
      <c r="C50" s="229"/>
      <c r="D50" s="229"/>
      <c r="E50" s="229"/>
      <c r="F50" s="229"/>
      <c r="G50" s="229"/>
      <c r="H50" s="229"/>
      <c r="I50" s="68"/>
      <c r="J50" s="71"/>
      <c r="K50" s="229"/>
      <c r="L50" s="229"/>
      <c r="M50" s="229"/>
      <c r="N50" s="229"/>
      <c r="O50" s="229"/>
      <c r="P50" s="71"/>
      <c r="Q50" s="229"/>
      <c r="R50" s="196"/>
      <c r="S50" s="196"/>
      <c r="T50" s="196"/>
      <c r="U50" s="196"/>
      <c r="V50" s="196"/>
      <c r="W50" s="196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6"/>
      <c r="AU50" s="196"/>
      <c r="AV50" s="196"/>
      <c r="AW50" s="196"/>
      <c r="AX50" s="196"/>
      <c r="AY50" s="196"/>
      <c r="AZ50" s="196"/>
      <c r="BA50" s="196"/>
      <c r="BB50" s="196"/>
      <c r="BC50" s="196"/>
      <c r="BD50" s="196"/>
      <c r="BE50" s="196"/>
      <c r="BF50" s="196"/>
      <c r="BG50" s="196"/>
      <c r="BH50" s="196"/>
      <c r="BI50" s="196"/>
      <c r="BJ50" s="196"/>
      <c r="BK50" s="196"/>
      <c r="BL50" s="196"/>
      <c r="BM50" s="196"/>
      <c r="BN50" s="196"/>
      <c r="BO50" s="196"/>
      <c r="BP50" s="196"/>
      <c r="BQ50" s="196"/>
      <c r="BR50" s="196"/>
      <c r="BS50" s="196"/>
      <c r="BT50" s="196"/>
      <c r="BU50" s="196"/>
    </row>
    <row r="51" spans="1:73" s="170" customFormat="1" ht="39.950000000000003" customHeight="1" x14ac:dyDescent="0.25">
      <c r="A51" s="229"/>
      <c r="B51" s="229"/>
      <c r="C51" s="229"/>
      <c r="D51" s="229"/>
      <c r="E51" s="229"/>
      <c r="F51" s="229"/>
      <c r="G51" s="229"/>
      <c r="H51" s="229"/>
      <c r="I51" s="68"/>
      <c r="J51" s="71"/>
      <c r="K51" s="229"/>
      <c r="L51" s="229"/>
      <c r="M51" s="229"/>
      <c r="N51" s="229"/>
      <c r="O51" s="229"/>
      <c r="P51" s="71"/>
      <c r="Q51" s="229"/>
      <c r="R51" s="196"/>
      <c r="S51" s="196"/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6"/>
      <c r="AU51" s="196"/>
      <c r="AV51" s="196"/>
      <c r="AW51" s="196"/>
      <c r="AX51" s="196"/>
      <c r="AY51" s="196"/>
      <c r="AZ51" s="196"/>
      <c r="BA51" s="196"/>
      <c r="BB51" s="196"/>
      <c r="BC51" s="196"/>
      <c r="BD51" s="196"/>
      <c r="BE51" s="196"/>
      <c r="BF51" s="196"/>
      <c r="BG51" s="196"/>
      <c r="BH51" s="196"/>
      <c r="BI51" s="196"/>
      <c r="BJ51" s="196"/>
      <c r="BK51" s="196"/>
      <c r="BL51" s="196"/>
      <c r="BM51" s="196"/>
      <c r="BN51" s="196"/>
      <c r="BO51" s="196"/>
      <c r="BP51" s="196"/>
      <c r="BQ51" s="196"/>
      <c r="BR51" s="196"/>
      <c r="BS51" s="196"/>
      <c r="BT51" s="196"/>
      <c r="BU51" s="196"/>
    </row>
    <row r="52" spans="1:73" s="170" customFormat="1" ht="39.950000000000003" customHeight="1" x14ac:dyDescent="0.25">
      <c r="A52" s="229"/>
      <c r="B52" s="229"/>
      <c r="C52" s="229"/>
      <c r="D52" s="229"/>
      <c r="E52" s="229"/>
      <c r="F52" s="229"/>
      <c r="G52" s="229"/>
      <c r="H52" s="229"/>
      <c r="I52" s="68"/>
      <c r="J52" s="71"/>
      <c r="K52" s="229"/>
      <c r="L52" s="229"/>
      <c r="M52" s="229"/>
      <c r="N52" s="229"/>
      <c r="O52" s="229"/>
      <c r="P52" s="71"/>
      <c r="Q52" s="229"/>
      <c r="R52" s="196"/>
      <c r="S52" s="196"/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6"/>
      <c r="AU52" s="196"/>
      <c r="AV52" s="196"/>
      <c r="AW52" s="196"/>
      <c r="AX52" s="196"/>
      <c r="AY52" s="196"/>
      <c r="AZ52" s="196"/>
      <c r="BA52" s="196"/>
      <c r="BB52" s="196"/>
      <c r="BC52" s="196"/>
      <c r="BD52" s="196"/>
      <c r="BE52" s="196"/>
      <c r="BF52" s="196"/>
      <c r="BG52" s="196"/>
      <c r="BH52" s="196"/>
      <c r="BI52" s="196"/>
      <c r="BJ52" s="196"/>
      <c r="BK52" s="196"/>
      <c r="BL52" s="196"/>
      <c r="BM52" s="196"/>
      <c r="BN52" s="196"/>
      <c r="BO52" s="196"/>
      <c r="BP52" s="196"/>
      <c r="BQ52" s="196"/>
      <c r="BR52" s="196"/>
      <c r="BS52" s="196"/>
      <c r="BT52" s="196"/>
      <c r="BU52" s="196"/>
    </row>
    <row r="53" spans="1:73" s="170" customFormat="1" ht="39.950000000000003" customHeight="1" x14ac:dyDescent="0.25">
      <c r="A53" s="229"/>
      <c r="B53" s="229"/>
      <c r="C53" s="229"/>
      <c r="D53" s="229"/>
      <c r="E53" s="229"/>
      <c r="F53" s="229"/>
      <c r="G53" s="229"/>
      <c r="H53" s="229"/>
      <c r="I53" s="68"/>
      <c r="J53" s="71"/>
      <c r="K53" s="229"/>
      <c r="L53" s="229"/>
      <c r="M53" s="229"/>
      <c r="N53" s="229"/>
      <c r="O53" s="229"/>
      <c r="P53" s="71"/>
      <c r="Q53" s="229"/>
      <c r="R53" s="196"/>
      <c r="S53" s="196"/>
      <c r="T53" s="196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6"/>
      <c r="AU53" s="196"/>
      <c r="AV53" s="196"/>
      <c r="AW53" s="196"/>
      <c r="AX53" s="196"/>
      <c r="AY53" s="196"/>
      <c r="AZ53" s="196"/>
      <c r="BA53" s="196"/>
      <c r="BB53" s="196"/>
      <c r="BC53" s="196"/>
      <c r="BD53" s="196"/>
      <c r="BE53" s="196"/>
      <c r="BF53" s="196"/>
      <c r="BG53" s="196"/>
      <c r="BH53" s="196"/>
      <c r="BI53" s="196"/>
      <c r="BJ53" s="196"/>
      <c r="BK53" s="196"/>
      <c r="BL53" s="196"/>
      <c r="BM53" s="196"/>
      <c r="BN53" s="196"/>
      <c r="BO53" s="196"/>
      <c r="BP53" s="196"/>
      <c r="BQ53" s="196"/>
      <c r="BR53" s="196"/>
      <c r="BS53" s="196"/>
      <c r="BT53" s="196"/>
      <c r="BU53" s="196"/>
    </row>
    <row r="54" spans="1:73" s="170" customFormat="1" ht="39.950000000000003" customHeight="1" x14ac:dyDescent="0.25">
      <c r="A54" s="229"/>
      <c r="B54" s="229"/>
      <c r="C54" s="229"/>
      <c r="D54" s="229"/>
      <c r="E54" s="229"/>
      <c r="F54" s="229"/>
      <c r="G54" s="229"/>
      <c r="H54" s="229"/>
      <c r="I54" s="68"/>
      <c r="J54" s="71"/>
      <c r="K54" s="229"/>
      <c r="L54" s="229"/>
      <c r="M54" s="229"/>
      <c r="N54" s="229"/>
      <c r="O54" s="229"/>
      <c r="P54" s="71"/>
      <c r="Q54" s="229"/>
      <c r="R54" s="196"/>
      <c r="S54" s="196"/>
      <c r="T54" s="196"/>
      <c r="U54" s="196"/>
      <c r="V54" s="196"/>
      <c r="W54" s="196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6"/>
      <c r="AU54" s="196"/>
      <c r="AV54" s="196"/>
      <c r="AW54" s="196"/>
      <c r="AX54" s="196"/>
      <c r="AY54" s="196"/>
      <c r="AZ54" s="196"/>
      <c r="BA54" s="196"/>
      <c r="BB54" s="196"/>
      <c r="BC54" s="196"/>
      <c r="BD54" s="196"/>
      <c r="BE54" s="196"/>
      <c r="BF54" s="196"/>
      <c r="BG54" s="196"/>
      <c r="BH54" s="196"/>
      <c r="BI54" s="196"/>
      <c r="BJ54" s="196"/>
      <c r="BK54" s="196"/>
      <c r="BL54" s="196"/>
      <c r="BM54" s="196"/>
      <c r="BN54" s="196"/>
      <c r="BO54" s="196"/>
      <c r="BP54" s="196"/>
      <c r="BQ54" s="196"/>
      <c r="BR54" s="196"/>
      <c r="BS54" s="196"/>
      <c r="BT54" s="196"/>
      <c r="BU54" s="196"/>
    </row>
    <row r="55" spans="1:73" s="170" customFormat="1" ht="39.950000000000003" customHeight="1" x14ac:dyDescent="0.25">
      <c r="A55" s="229"/>
      <c r="B55" s="229"/>
      <c r="C55" s="229"/>
      <c r="D55" s="229"/>
      <c r="E55" s="229"/>
      <c r="F55" s="229"/>
      <c r="G55" s="229"/>
      <c r="H55" s="229"/>
      <c r="I55" s="68"/>
      <c r="J55" s="71"/>
      <c r="K55" s="229"/>
      <c r="L55" s="229"/>
      <c r="M55" s="229"/>
      <c r="N55" s="229"/>
      <c r="O55" s="229"/>
      <c r="P55" s="71"/>
      <c r="Q55" s="229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6"/>
      <c r="AU55" s="196"/>
      <c r="AV55" s="196"/>
      <c r="AW55" s="196"/>
      <c r="AX55" s="196"/>
      <c r="AY55" s="196"/>
      <c r="AZ55" s="196"/>
      <c r="BA55" s="196"/>
      <c r="BB55" s="196"/>
      <c r="BC55" s="196"/>
      <c r="BD55" s="196"/>
      <c r="BE55" s="196"/>
      <c r="BF55" s="196"/>
      <c r="BG55" s="196"/>
      <c r="BH55" s="196"/>
      <c r="BI55" s="196"/>
      <c r="BJ55" s="196"/>
      <c r="BK55" s="196"/>
      <c r="BL55" s="196"/>
      <c r="BM55" s="196"/>
      <c r="BN55" s="196"/>
      <c r="BO55" s="196"/>
      <c r="BP55" s="196"/>
      <c r="BQ55" s="196"/>
      <c r="BR55" s="196"/>
      <c r="BS55" s="196"/>
      <c r="BT55" s="196"/>
      <c r="BU55" s="196"/>
    </row>
    <row r="56" spans="1:73" s="170" customFormat="1" ht="39.950000000000003" customHeight="1" x14ac:dyDescent="0.25">
      <c r="A56" s="229"/>
      <c r="B56" s="229"/>
      <c r="C56" s="229"/>
      <c r="D56" s="229"/>
      <c r="E56" s="229"/>
      <c r="F56" s="229"/>
      <c r="G56" s="229"/>
      <c r="H56" s="229"/>
      <c r="I56" s="68"/>
      <c r="J56" s="71"/>
      <c r="K56" s="229"/>
      <c r="L56" s="229"/>
      <c r="M56" s="229"/>
      <c r="N56" s="229"/>
      <c r="O56" s="229"/>
      <c r="P56" s="71"/>
      <c r="Q56" s="229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  <c r="AI56" s="196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6"/>
      <c r="AU56" s="196"/>
      <c r="AV56" s="196"/>
      <c r="AW56" s="196"/>
      <c r="AX56" s="196"/>
      <c r="AY56" s="196"/>
      <c r="AZ56" s="196"/>
      <c r="BA56" s="196"/>
      <c r="BB56" s="196"/>
      <c r="BC56" s="196"/>
      <c r="BD56" s="196"/>
      <c r="BE56" s="196"/>
      <c r="BF56" s="196"/>
      <c r="BG56" s="196"/>
      <c r="BH56" s="196"/>
      <c r="BI56" s="196"/>
      <c r="BJ56" s="196"/>
      <c r="BK56" s="196"/>
      <c r="BL56" s="196"/>
      <c r="BM56" s="196"/>
      <c r="BN56" s="196"/>
      <c r="BO56" s="196"/>
      <c r="BP56" s="196"/>
      <c r="BQ56" s="196"/>
      <c r="BR56" s="196"/>
      <c r="BS56" s="196"/>
      <c r="BT56" s="196"/>
      <c r="BU56" s="196"/>
    </row>
    <row r="57" spans="1:73" s="170" customFormat="1" ht="39.950000000000003" customHeight="1" x14ac:dyDescent="0.25">
      <c r="A57" s="229"/>
      <c r="B57" s="229"/>
      <c r="C57" s="229"/>
      <c r="D57" s="229"/>
      <c r="E57" s="229"/>
      <c r="F57" s="229"/>
      <c r="G57" s="229"/>
      <c r="H57" s="229"/>
      <c r="I57" s="68"/>
      <c r="J57" s="71"/>
      <c r="K57" s="229"/>
      <c r="L57" s="229"/>
      <c r="M57" s="229"/>
      <c r="N57" s="229"/>
      <c r="O57" s="229"/>
      <c r="P57" s="71"/>
      <c r="Q57" s="229"/>
      <c r="R57" s="196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6"/>
      <c r="AU57" s="196"/>
      <c r="AV57" s="196"/>
      <c r="AW57" s="196"/>
      <c r="AX57" s="196"/>
      <c r="AY57" s="196"/>
      <c r="AZ57" s="196"/>
      <c r="BA57" s="196"/>
      <c r="BB57" s="196"/>
      <c r="BC57" s="196"/>
      <c r="BD57" s="196"/>
      <c r="BE57" s="196"/>
      <c r="BF57" s="196"/>
      <c r="BG57" s="196"/>
      <c r="BH57" s="196"/>
      <c r="BI57" s="196"/>
      <c r="BJ57" s="196"/>
      <c r="BK57" s="196"/>
      <c r="BL57" s="196"/>
      <c r="BM57" s="196"/>
      <c r="BN57" s="196"/>
      <c r="BO57" s="196"/>
      <c r="BP57" s="196"/>
      <c r="BQ57" s="196"/>
      <c r="BR57" s="196"/>
      <c r="BS57" s="196"/>
      <c r="BT57" s="196"/>
      <c r="BU57" s="196"/>
    </row>
    <row r="58" spans="1:73" s="170" customFormat="1" ht="39.950000000000003" customHeight="1" x14ac:dyDescent="0.25">
      <c r="A58" s="229"/>
      <c r="B58" s="229"/>
      <c r="C58" s="229"/>
      <c r="D58" s="229"/>
      <c r="E58" s="229"/>
      <c r="F58" s="229"/>
      <c r="G58" s="229"/>
      <c r="H58" s="229"/>
      <c r="I58" s="68"/>
      <c r="J58" s="71"/>
      <c r="K58" s="229"/>
      <c r="L58" s="229"/>
      <c r="M58" s="229"/>
      <c r="N58" s="229"/>
      <c r="O58" s="229"/>
      <c r="P58" s="71"/>
      <c r="Q58" s="229"/>
      <c r="R58" s="196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6"/>
      <c r="AP58" s="196"/>
      <c r="AQ58" s="196"/>
      <c r="AR58" s="196"/>
      <c r="AS58" s="196"/>
      <c r="AT58" s="196"/>
      <c r="AU58" s="196"/>
      <c r="AV58" s="196"/>
      <c r="AW58" s="196"/>
      <c r="AX58" s="196"/>
      <c r="AY58" s="196"/>
      <c r="AZ58" s="196"/>
      <c r="BA58" s="196"/>
      <c r="BB58" s="196"/>
      <c r="BC58" s="196"/>
      <c r="BD58" s="196"/>
      <c r="BE58" s="196"/>
      <c r="BF58" s="196"/>
      <c r="BG58" s="196"/>
      <c r="BH58" s="196"/>
      <c r="BI58" s="196"/>
      <c r="BJ58" s="196"/>
      <c r="BK58" s="196"/>
      <c r="BL58" s="196"/>
      <c r="BM58" s="196"/>
      <c r="BN58" s="196"/>
      <c r="BO58" s="196"/>
      <c r="BP58" s="196"/>
      <c r="BQ58" s="196"/>
      <c r="BR58" s="196"/>
      <c r="BS58" s="196"/>
      <c r="BT58" s="196"/>
      <c r="BU58" s="196"/>
    </row>
    <row r="59" spans="1:73" s="170" customFormat="1" ht="39.950000000000003" customHeight="1" x14ac:dyDescent="0.25">
      <c r="A59" s="229"/>
      <c r="B59" s="229"/>
      <c r="C59" s="229"/>
      <c r="D59" s="229"/>
      <c r="E59" s="229"/>
      <c r="F59" s="229"/>
      <c r="G59" s="229"/>
      <c r="H59" s="229"/>
      <c r="I59" s="68"/>
      <c r="J59" s="71"/>
      <c r="K59" s="229"/>
      <c r="L59" s="229"/>
      <c r="M59" s="229"/>
      <c r="N59" s="229"/>
      <c r="O59" s="229"/>
      <c r="P59" s="71"/>
      <c r="Q59" s="229"/>
      <c r="R59" s="196"/>
      <c r="S59" s="196"/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6"/>
      <c r="AP59" s="196"/>
      <c r="AQ59" s="196"/>
      <c r="AR59" s="196"/>
      <c r="AS59" s="196"/>
      <c r="AT59" s="196"/>
      <c r="AU59" s="196"/>
      <c r="AV59" s="196"/>
      <c r="AW59" s="196"/>
      <c r="AX59" s="196"/>
      <c r="AY59" s="196"/>
      <c r="AZ59" s="196"/>
      <c r="BA59" s="196"/>
      <c r="BB59" s="196"/>
      <c r="BC59" s="196"/>
      <c r="BD59" s="196"/>
      <c r="BE59" s="196"/>
      <c r="BF59" s="196"/>
      <c r="BG59" s="196"/>
      <c r="BH59" s="196"/>
      <c r="BI59" s="196"/>
      <c r="BJ59" s="196"/>
      <c r="BK59" s="196"/>
      <c r="BL59" s="196"/>
      <c r="BM59" s="196"/>
      <c r="BN59" s="196"/>
      <c r="BO59" s="196"/>
      <c r="BP59" s="196"/>
      <c r="BQ59" s="196"/>
      <c r="BR59" s="196"/>
      <c r="BS59" s="196"/>
      <c r="BT59" s="196"/>
      <c r="BU59" s="196"/>
    </row>
    <row r="60" spans="1:73" s="170" customFormat="1" ht="39.950000000000003" customHeight="1" x14ac:dyDescent="0.25">
      <c r="A60" s="229"/>
      <c r="B60" s="229"/>
      <c r="C60" s="229"/>
      <c r="D60" s="229"/>
      <c r="E60" s="229"/>
      <c r="F60" s="229"/>
      <c r="G60" s="229"/>
      <c r="H60" s="229"/>
      <c r="I60" s="68"/>
      <c r="J60" s="71"/>
      <c r="K60" s="229"/>
      <c r="L60" s="229"/>
      <c r="M60" s="229"/>
      <c r="N60" s="229"/>
      <c r="O60" s="229"/>
      <c r="P60" s="71"/>
      <c r="Q60" s="229"/>
      <c r="R60" s="196"/>
      <c r="S60" s="196"/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  <c r="AJ60" s="196"/>
      <c r="AK60" s="196"/>
      <c r="AL60" s="196"/>
      <c r="AM60" s="196"/>
      <c r="AN60" s="196"/>
      <c r="AO60" s="196"/>
      <c r="AP60" s="196"/>
      <c r="AQ60" s="196"/>
      <c r="AR60" s="196"/>
      <c r="AS60" s="196"/>
      <c r="AT60" s="196"/>
      <c r="AU60" s="196"/>
      <c r="AV60" s="196"/>
      <c r="AW60" s="196"/>
      <c r="AX60" s="196"/>
      <c r="AY60" s="196"/>
      <c r="AZ60" s="196"/>
      <c r="BA60" s="196"/>
      <c r="BB60" s="196"/>
      <c r="BC60" s="196"/>
      <c r="BD60" s="196"/>
      <c r="BE60" s="196"/>
      <c r="BF60" s="196"/>
      <c r="BG60" s="196"/>
      <c r="BH60" s="196"/>
      <c r="BI60" s="196"/>
      <c r="BJ60" s="196"/>
      <c r="BK60" s="196"/>
      <c r="BL60" s="196"/>
      <c r="BM60" s="196"/>
      <c r="BN60" s="196"/>
      <c r="BO60" s="196"/>
      <c r="BP60" s="196"/>
      <c r="BQ60" s="196"/>
      <c r="BR60" s="196"/>
      <c r="BS60" s="196"/>
      <c r="BT60" s="196"/>
      <c r="BU60" s="196"/>
    </row>
    <row r="61" spans="1:73" s="170" customFormat="1" ht="39.950000000000003" customHeight="1" x14ac:dyDescent="0.25">
      <c r="A61" s="229"/>
      <c r="B61" s="229"/>
      <c r="C61" s="229"/>
      <c r="D61" s="229"/>
      <c r="E61" s="229"/>
      <c r="F61" s="229"/>
      <c r="G61" s="229"/>
      <c r="H61" s="229"/>
      <c r="I61" s="68"/>
      <c r="J61" s="71"/>
      <c r="K61" s="229"/>
      <c r="L61" s="229"/>
      <c r="M61" s="229"/>
      <c r="N61" s="229"/>
      <c r="O61" s="229"/>
      <c r="P61" s="71"/>
      <c r="Q61" s="229"/>
      <c r="R61" s="196"/>
      <c r="S61" s="196"/>
      <c r="T61" s="196"/>
      <c r="U61" s="196"/>
      <c r="V61" s="196"/>
      <c r="W61" s="196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196"/>
      <c r="AJ61" s="196"/>
      <c r="AK61" s="196"/>
      <c r="AL61" s="196"/>
      <c r="AM61" s="196"/>
      <c r="AN61" s="196"/>
      <c r="AO61" s="196"/>
      <c r="AP61" s="196"/>
      <c r="AQ61" s="196"/>
      <c r="AR61" s="196"/>
      <c r="AS61" s="196"/>
      <c r="AT61" s="196"/>
      <c r="AU61" s="196"/>
      <c r="AV61" s="196"/>
      <c r="AW61" s="196"/>
      <c r="AX61" s="196"/>
      <c r="AY61" s="196"/>
      <c r="AZ61" s="196"/>
      <c r="BA61" s="196"/>
      <c r="BB61" s="196"/>
      <c r="BC61" s="196"/>
      <c r="BD61" s="196"/>
      <c r="BE61" s="196"/>
      <c r="BF61" s="196"/>
      <c r="BG61" s="196"/>
      <c r="BH61" s="196"/>
      <c r="BI61" s="196"/>
      <c r="BJ61" s="196"/>
      <c r="BK61" s="196"/>
      <c r="BL61" s="196"/>
      <c r="BM61" s="196"/>
      <c r="BN61" s="196"/>
      <c r="BO61" s="196"/>
      <c r="BP61" s="196"/>
      <c r="BQ61" s="196"/>
      <c r="BR61" s="196"/>
      <c r="BS61" s="196"/>
      <c r="BT61" s="196"/>
      <c r="BU61" s="196"/>
    </row>
    <row r="62" spans="1:73" s="170" customFormat="1" ht="39.950000000000003" customHeight="1" x14ac:dyDescent="0.25">
      <c r="A62" s="229"/>
      <c r="B62" s="229"/>
      <c r="C62" s="229"/>
      <c r="D62" s="229"/>
      <c r="E62" s="229"/>
      <c r="F62" s="229"/>
      <c r="G62" s="229"/>
      <c r="H62" s="229"/>
      <c r="I62" s="68"/>
      <c r="J62" s="71"/>
      <c r="K62" s="229"/>
      <c r="L62" s="229"/>
      <c r="M62" s="229"/>
      <c r="N62" s="229"/>
      <c r="O62" s="229"/>
      <c r="P62" s="71"/>
      <c r="Q62" s="229"/>
      <c r="R62" s="196"/>
      <c r="S62" s="196"/>
      <c r="T62" s="196"/>
      <c r="U62" s="196"/>
      <c r="V62" s="196"/>
      <c r="W62" s="196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196"/>
      <c r="AJ62" s="196"/>
      <c r="AK62" s="196"/>
      <c r="AL62" s="196"/>
      <c r="AM62" s="196"/>
      <c r="AN62" s="196"/>
      <c r="AO62" s="196"/>
      <c r="AP62" s="196"/>
      <c r="AQ62" s="196"/>
      <c r="AR62" s="196"/>
      <c r="AS62" s="196"/>
      <c r="AT62" s="196"/>
      <c r="AU62" s="196"/>
      <c r="AV62" s="196"/>
      <c r="AW62" s="196"/>
      <c r="AX62" s="196"/>
      <c r="AY62" s="196"/>
      <c r="AZ62" s="196"/>
      <c r="BA62" s="196"/>
      <c r="BB62" s="196"/>
      <c r="BC62" s="196"/>
      <c r="BD62" s="196"/>
      <c r="BE62" s="196"/>
      <c r="BF62" s="196"/>
      <c r="BG62" s="196"/>
      <c r="BH62" s="196"/>
      <c r="BI62" s="196"/>
      <c r="BJ62" s="196"/>
      <c r="BK62" s="196"/>
      <c r="BL62" s="196"/>
      <c r="BM62" s="196"/>
      <c r="BN62" s="196"/>
      <c r="BO62" s="196"/>
      <c r="BP62" s="196"/>
      <c r="BQ62" s="196"/>
      <c r="BR62" s="196"/>
      <c r="BS62" s="196"/>
      <c r="BT62" s="196"/>
      <c r="BU62" s="196"/>
    </row>
    <row r="63" spans="1:73" s="170" customFormat="1" ht="39.950000000000003" customHeight="1" x14ac:dyDescent="0.25">
      <c r="A63" s="229"/>
      <c r="B63" s="229"/>
      <c r="C63" s="229"/>
      <c r="D63" s="229"/>
      <c r="E63" s="229"/>
      <c r="F63" s="229"/>
      <c r="G63" s="229"/>
      <c r="H63" s="229"/>
      <c r="I63" s="68"/>
      <c r="J63" s="71"/>
      <c r="K63" s="229"/>
      <c r="L63" s="229"/>
      <c r="M63" s="229"/>
      <c r="N63" s="229"/>
      <c r="O63" s="229"/>
      <c r="P63" s="71"/>
      <c r="Q63" s="229"/>
      <c r="R63" s="196"/>
      <c r="S63" s="196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P63" s="196"/>
      <c r="AQ63" s="196"/>
      <c r="AR63" s="196"/>
      <c r="AS63" s="196"/>
      <c r="AT63" s="196"/>
      <c r="AU63" s="196"/>
      <c r="AV63" s="196"/>
      <c r="AW63" s="196"/>
      <c r="AX63" s="196"/>
      <c r="AY63" s="196"/>
      <c r="AZ63" s="196"/>
      <c r="BA63" s="196"/>
      <c r="BB63" s="196"/>
      <c r="BC63" s="196"/>
      <c r="BD63" s="196"/>
      <c r="BE63" s="196"/>
      <c r="BF63" s="196"/>
      <c r="BG63" s="196"/>
      <c r="BH63" s="196"/>
      <c r="BI63" s="196"/>
      <c r="BJ63" s="196"/>
      <c r="BK63" s="196"/>
      <c r="BL63" s="196"/>
      <c r="BM63" s="196"/>
      <c r="BN63" s="196"/>
      <c r="BO63" s="196"/>
      <c r="BP63" s="196"/>
      <c r="BQ63" s="196"/>
      <c r="BR63" s="196"/>
      <c r="BS63" s="196"/>
      <c r="BT63" s="196"/>
      <c r="BU63" s="196"/>
    </row>
    <row r="64" spans="1:73" s="170" customFormat="1" ht="39.950000000000003" customHeight="1" x14ac:dyDescent="0.25">
      <c r="A64" s="229"/>
      <c r="B64" s="229"/>
      <c r="C64" s="229"/>
      <c r="D64" s="229"/>
      <c r="E64" s="229"/>
      <c r="F64" s="229"/>
      <c r="G64" s="229"/>
      <c r="H64" s="229"/>
      <c r="I64" s="68"/>
      <c r="J64" s="71"/>
      <c r="K64" s="229"/>
      <c r="L64" s="229"/>
      <c r="M64" s="229"/>
      <c r="N64" s="229"/>
      <c r="O64" s="229"/>
      <c r="P64" s="71"/>
      <c r="Q64" s="229"/>
      <c r="R64" s="196"/>
      <c r="S64" s="196"/>
      <c r="T64" s="196"/>
      <c r="U64" s="196"/>
      <c r="V64" s="196"/>
      <c r="W64" s="196"/>
      <c r="X64" s="196"/>
      <c r="Y64" s="196"/>
      <c r="Z64" s="196"/>
      <c r="AA64" s="196"/>
      <c r="AB64" s="196"/>
      <c r="AC64" s="196"/>
      <c r="AD64" s="196"/>
      <c r="AE64" s="196"/>
      <c r="AF64" s="196"/>
      <c r="AG64" s="196"/>
      <c r="AH64" s="196"/>
      <c r="AI64" s="196"/>
      <c r="AJ64" s="196"/>
      <c r="AK64" s="196"/>
      <c r="AL64" s="196"/>
      <c r="AM64" s="196"/>
      <c r="AN64" s="196"/>
      <c r="AO64" s="196"/>
      <c r="AP64" s="196"/>
      <c r="AQ64" s="196"/>
      <c r="AR64" s="196"/>
      <c r="AS64" s="196"/>
      <c r="AT64" s="196"/>
      <c r="AU64" s="196"/>
      <c r="AV64" s="196"/>
      <c r="AW64" s="196"/>
      <c r="AX64" s="196"/>
      <c r="AY64" s="196"/>
      <c r="AZ64" s="196"/>
      <c r="BA64" s="196"/>
      <c r="BB64" s="196"/>
      <c r="BC64" s="196"/>
      <c r="BD64" s="196"/>
      <c r="BE64" s="196"/>
      <c r="BF64" s="196"/>
      <c r="BG64" s="196"/>
      <c r="BH64" s="196"/>
      <c r="BI64" s="196"/>
      <c r="BJ64" s="196"/>
      <c r="BK64" s="196"/>
      <c r="BL64" s="196"/>
      <c r="BM64" s="196"/>
      <c r="BN64" s="196"/>
      <c r="BO64" s="196"/>
      <c r="BP64" s="196"/>
      <c r="BQ64" s="196"/>
      <c r="BR64" s="196"/>
      <c r="BS64" s="196"/>
      <c r="BT64" s="196"/>
      <c r="BU64" s="196"/>
    </row>
    <row r="65" spans="1:95" s="170" customFormat="1" ht="39.950000000000003" customHeight="1" x14ac:dyDescent="0.25">
      <c r="A65" s="229"/>
      <c r="B65" s="229"/>
      <c r="C65" s="229"/>
      <c r="D65" s="229"/>
      <c r="E65" s="229"/>
      <c r="F65" s="229"/>
      <c r="G65" s="229"/>
      <c r="H65" s="229"/>
      <c r="I65" s="68"/>
      <c r="J65" s="71"/>
      <c r="K65" s="229"/>
      <c r="L65" s="229"/>
      <c r="M65" s="229"/>
      <c r="N65" s="229"/>
      <c r="O65" s="229"/>
      <c r="P65" s="71"/>
      <c r="Q65" s="229"/>
      <c r="R65" s="196"/>
      <c r="S65" s="196"/>
      <c r="T65" s="196"/>
      <c r="U65" s="196"/>
      <c r="V65" s="196"/>
      <c r="W65" s="196"/>
      <c r="X65" s="196"/>
      <c r="Y65" s="196"/>
      <c r="Z65" s="196"/>
      <c r="AA65" s="196"/>
      <c r="AB65" s="196"/>
      <c r="AC65" s="196"/>
      <c r="AD65" s="196"/>
      <c r="AE65" s="196"/>
      <c r="AF65" s="196"/>
      <c r="AG65" s="196"/>
      <c r="AH65" s="196"/>
      <c r="AI65" s="196"/>
      <c r="AJ65" s="196"/>
      <c r="AK65" s="196"/>
      <c r="AL65" s="196"/>
      <c r="AM65" s="196"/>
      <c r="AN65" s="196"/>
      <c r="AO65" s="196"/>
      <c r="AP65" s="196"/>
      <c r="AQ65" s="196"/>
      <c r="AR65" s="196"/>
      <c r="AS65" s="196"/>
      <c r="AT65" s="196"/>
      <c r="AU65" s="196"/>
      <c r="AV65" s="196"/>
      <c r="AW65" s="196"/>
      <c r="AX65" s="196"/>
      <c r="AY65" s="196"/>
      <c r="AZ65" s="196"/>
      <c r="BA65" s="196"/>
      <c r="BB65" s="196"/>
      <c r="BC65" s="196"/>
      <c r="BD65" s="196"/>
      <c r="BE65" s="196"/>
      <c r="BF65" s="196"/>
      <c r="BG65" s="196"/>
      <c r="BH65" s="196"/>
      <c r="BI65" s="196"/>
      <c r="BJ65" s="196"/>
      <c r="BK65" s="196"/>
      <c r="BL65" s="196"/>
      <c r="BM65" s="196"/>
      <c r="BN65" s="196"/>
      <c r="BO65" s="196"/>
      <c r="BP65" s="196"/>
      <c r="BQ65" s="196"/>
      <c r="BR65" s="196"/>
      <c r="BS65" s="196"/>
      <c r="BT65" s="196"/>
      <c r="BU65" s="196"/>
    </row>
    <row r="66" spans="1:95" s="170" customFormat="1" ht="39.950000000000003" customHeight="1" x14ac:dyDescent="0.25">
      <c r="A66" s="229"/>
      <c r="B66" s="229"/>
      <c r="C66" s="229"/>
      <c r="D66" s="229"/>
      <c r="E66" s="229"/>
      <c r="F66" s="229"/>
      <c r="G66" s="229"/>
      <c r="H66" s="229"/>
      <c r="I66" s="68"/>
      <c r="J66" s="71"/>
      <c r="K66" s="229"/>
      <c r="L66" s="229"/>
      <c r="M66" s="229"/>
      <c r="N66" s="229"/>
      <c r="O66" s="229"/>
      <c r="P66" s="71"/>
      <c r="Q66" s="229"/>
      <c r="R66" s="196"/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6"/>
      <c r="AD66" s="196"/>
      <c r="AE66" s="196"/>
      <c r="AF66" s="196"/>
      <c r="AG66" s="196"/>
      <c r="AH66" s="196"/>
      <c r="AI66" s="196"/>
      <c r="AJ66" s="196"/>
      <c r="AK66" s="196"/>
      <c r="AL66" s="196"/>
      <c r="AM66" s="196"/>
      <c r="AN66" s="196"/>
      <c r="AO66" s="196"/>
      <c r="AP66" s="196"/>
      <c r="AQ66" s="196"/>
      <c r="AR66" s="196"/>
      <c r="AS66" s="196"/>
      <c r="AT66" s="196"/>
      <c r="AU66" s="196"/>
      <c r="AV66" s="196"/>
      <c r="AW66" s="196"/>
      <c r="AX66" s="196"/>
      <c r="AY66" s="196"/>
      <c r="AZ66" s="196"/>
      <c r="BA66" s="196"/>
      <c r="BB66" s="196"/>
      <c r="BC66" s="196"/>
      <c r="BD66" s="196"/>
      <c r="BE66" s="196"/>
      <c r="BF66" s="196"/>
      <c r="BG66" s="196"/>
      <c r="BH66" s="196"/>
      <c r="BI66" s="196"/>
      <c r="BJ66" s="196"/>
      <c r="BK66" s="196"/>
      <c r="BL66" s="196"/>
      <c r="BM66" s="196"/>
      <c r="BN66" s="196"/>
      <c r="BO66" s="196"/>
      <c r="BP66" s="196"/>
      <c r="BQ66" s="196"/>
      <c r="BR66" s="196"/>
      <c r="BS66" s="196"/>
      <c r="BT66" s="196"/>
      <c r="BU66" s="196"/>
    </row>
    <row r="67" spans="1:95" s="170" customFormat="1" ht="39.950000000000003" customHeight="1" x14ac:dyDescent="0.25">
      <c r="A67" s="229"/>
      <c r="B67" s="229"/>
      <c r="C67" s="229"/>
      <c r="D67" s="229"/>
      <c r="E67" s="229"/>
      <c r="F67" s="229"/>
      <c r="G67" s="229"/>
      <c r="H67" s="229"/>
      <c r="I67" s="68"/>
      <c r="J67" s="71"/>
      <c r="K67" s="229"/>
      <c r="L67" s="229"/>
      <c r="M67" s="229"/>
      <c r="N67" s="229"/>
      <c r="O67" s="229"/>
      <c r="P67" s="71"/>
      <c r="Q67" s="229"/>
      <c r="R67" s="196"/>
      <c r="S67" s="196"/>
      <c r="T67" s="196"/>
      <c r="U67" s="196"/>
      <c r="V67" s="196"/>
      <c r="W67" s="196"/>
      <c r="X67" s="196"/>
      <c r="Y67" s="196"/>
      <c r="Z67" s="196"/>
      <c r="AA67" s="196"/>
      <c r="AB67" s="196"/>
      <c r="AC67" s="196"/>
      <c r="AD67" s="196"/>
      <c r="AE67" s="196"/>
      <c r="AF67" s="196"/>
      <c r="AG67" s="196"/>
      <c r="AH67" s="196"/>
      <c r="AI67" s="196"/>
      <c r="AJ67" s="196"/>
      <c r="AK67" s="196"/>
      <c r="AL67" s="196"/>
      <c r="AM67" s="196"/>
      <c r="AN67" s="196"/>
      <c r="AO67" s="196"/>
      <c r="AP67" s="196"/>
      <c r="AQ67" s="196"/>
      <c r="AR67" s="196"/>
      <c r="AS67" s="196"/>
      <c r="AT67" s="196"/>
      <c r="AU67" s="196"/>
      <c r="AV67" s="196"/>
      <c r="AW67" s="196"/>
      <c r="AX67" s="196"/>
      <c r="AY67" s="196"/>
      <c r="AZ67" s="196"/>
      <c r="BA67" s="196"/>
      <c r="BB67" s="196"/>
      <c r="BC67" s="196"/>
      <c r="BD67" s="196"/>
      <c r="BE67" s="196"/>
      <c r="BF67" s="196"/>
      <c r="BG67" s="196"/>
      <c r="BH67" s="196"/>
      <c r="BI67" s="196"/>
      <c r="BJ67" s="196"/>
      <c r="BK67" s="196"/>
      <c r="BL67" s="196"/>
      <c r="BM67" s="196"/>
      <c r="BN67" s="196"/>
      <c r="BO67" s="196"/>
      <c r="BP67" s="196"/>
      <c r="BQ67" s="196"/>
      <c r="BR67" s="196"/>
      <c r="BS67" s="196"/>
      <c r="BT67" s="196"/>
      <c r="BU67" s="196"/>
    </row>
    <row r="68" spans="1:95" s="170" customFormat="1" ht="39.950000000000003" customHeight="1" x14ac:dyDescent="0.25">
      <c r="A68" s="229"/>
      <c r="B68" s="229"/>
      <c r="C68" s="229"/>
      <c r="D68" s="229"/>
      <c r="E68" s="229"/>
      <c r="F68" s="229"/>
      <c r="G68" s="229"/>
      <c r="H68" s="229"/>
      <c r="I68" s="68"/>
      <c r="J68" s="71"/>
      <c r="K68" s="229"/>
      <c r="L68" s="229"/>
      <c r="M68" s="229"/>
      <c r="N68" s="229"/>
      <c r="O68" s="229"/>
      <c r="P68" s="71"/>
      <c r="Q68" s="229"/>
      <c r="R68" s="196"/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  <c r="AI68" s="196"/>
      <c r="AJ68" s="196"/>
      <c r="AK68" s="196"/>
      <c r="AL68" s="196"/>
      <c r="AM68" s="196"/>
      <c r="AN68" s="196"/>
      <c r="AO68" s="196"/>
      <c r="AP68" s="196"/>
      <c r="AQ68" s="196"/>
      <c r="AR68" s="196"/>
      <c r="AS68" s="196"/>
      <c r="AT68" s="196"/>
      <c r="AU68" s="196"/>
      <c r="AV68" s="196"/>
      <c r="AW68" s="196"/>
      <c r="AX68" s="196"/>
      <c r="AY68" s="196"/>
      <c r="AZ68" s="196"/>
      <c r="BA68" s="196"/>
      <c r="BB68" s="196"/>
      <c r="BC68" s="196"/>
      <c r="BD68" s="196"/>
      <c r="BE68" s="196"/>
      <c r="BF68" s="196"/>
      <c r="BG68" s="196"/>
      <c r="BH68" s="196"/>
      <c r="BI68" s="196"/>
      <c r="BJ68" s="196"/>
      <c r="BK68" s="196"/>
      <c r="BL68" s="196"/>
      <c r="BM68" s="196"/>
      <c r="BN68" s="196"/>
      <c r="BO68" s="196"/>
      <c r="BP68" s="196"/>
      <c r="BQ68" s="196"/>
      <c r="BR68" s="196"/>
      <c r="BS68" s="196"/>
      <c r="BT68" s="196"/>
      <c r="BU68" s="196"/>
    </row>
    <row r="69" spans="1:95" s="170" customFormat="1" ht="39.950000000000003" customHeight="1" x14ac:dyDescent="0.25">
      <c r="A69" s="229"/>
      <c r="B69" s="229"/>
      <c r="C69" s="229"/>
      <c r="D69" s="229"/>
      <c r="E69" s="229"/>
      <c r="F69" s="229"/>
      <c r="G69" s="229"/>
      <c r="H69" s="229"/>
      <c r="I69" s="68"/>
      <c r="J69" s="71"/>
      <c r="K69" s="229"/>
      <c r="L69" s="229"/>
      <c r="M69" s="229"/>
      <c r="N69" s="229"/>
      <c r="O69" s="229"/>
      <c r="P69" s="71"/>
      <c r="Q69" s="229"/>
      <c r="R69" s="196"/>
      <c r="S69" s="196"/>
      <c r="T69" s="196"/>
      <c r="U69" s="196"/>
      <c r="V69" s="196"/>
      <c r="W69" s="196"/>
      <c r="X69" s="196"/>
      <c r="Y69" s="196"/>
      <c r="Z69" s="196"/>
      <c r="AA69" s="196"/>
      <c r="AB69" s="196"/>
      <c r="AC69" s="196"/>
      <c r="AD69" s="196"/>
      <c r="AE69" s="196"/>
      <c r="AF69" s="196"/>
      <c r="AG69" s="196"/>
      <c r="AH69" s="196"/>
      <c r="AI69" s="196"/>
      <c r="AJ69" s="196"/>
      <c r="AK69" s="196"/>
      <c r="AL69" s="196"/>
      <c r="AM69" s="196"/>
      <c r="AN69" s="196"/>
      <c r="AO69" s="196"/>
      <c r="AP69" s="196"/>
      <c r="AQ69" s="196"/>
      <c r="AR69" s="196"/>
      <c r="AS69" s="196"/>
      <c r="AT69" s="196"/>
      <c r="AU69" s="196"/>
      <c r="AV69" s="196"/>
      <c r="AW69" s="196"/>
      <c r="AX69" s="196"/>
      <c r="AY69" s="196"/>
      <c r="AZ69" s="196"/>
      <c r="BA69" s="196"/>
      <c r="BB69" s="196"/>
      <c r="BC69" s="196"/>
      <c r="BD69" s="196"/>
      <c r="BE69" s="196"/>
      <c r="BF69" s="196"/>
      <c r="BG69" s="196"/>
      <c r="BH69" s="196"/>
      <c r="BI69" s="196"/>
      <c r="BJ69" s="196"/>
      <c r="BK69" s="196"/>
      <c r="BL69" s="196"/>
      <c r="BM69" s="196"/>
      <c r="BN69" s="196"/>
      <c r="BO69" s="196"/>
      <c r="BP69" s="196"/>
      <c r="BQ69" s="196"/>
      <c r="BR69" s="196"/>
      <c r="BS69" s="196"/>
      <c r="BT69" s="196"/>
      <c r="BU69" s="196"/>
    </row>
    <row r="70" spans="1:95" s="170" customFormat="1" ht="39.950000000000003" customHeight="1" x14ac:dyDescent="0.25">
      <c r="A70" s="229"/>
      <c r="B70" s="229"/>
      <c r="C70" s="229"/>
      <c r="D70" s="229"/>
      <c r="E70" s="229"/>
      <c r="F70" s="229"/>
      <c r="G70" s="229"/>
      <c r="H70" s="229"/>
      <c r="I70" s="68"/>
      <c r="J70" s="71"/>
      <c r="K70" s="229"/>
      <c r="L70" s="229"/>
      <c r="M70" s="229"/>
      <c r="N70" s="229"/>
      <c r="O70" s="229"/>
      <c r="P70" s="71"/>
      <c r="Q70" s="229"/>
      <c r="R70" s="196"/>
      <c r="S70" s="196"/>
      <c r="T70" s="196"/>
      <c r="U70" s="196"/>
      <c r="V70" s="196"/>
      <c r="W70" s="196"/>
      <c r="X70" s="196"/>
      <c r="Y70" s="196"/>
      <c r="Z70" s="196"/>
      <c r="AA70" s="196"/>
      <c r="AB70" s="196"/>
      <c r="AC70" s="196"/>
      <c r="AD70" s="196"/>
      <c r="AE70" s="196"/>
      <c r="AF70" s="196"/>
      <c r="AG70" s="196"/>
      <c r="AH70" s="196"/>
      <c r="AI70" s="196"/>
      <c r="AJ70" s="196"/>
      <c r="AK70" s="196"/>
      <c r="AL70" s="196"/>
      <c r="AM70" s="196"/>
      <c r="AN70" s="196"/>
      <c r="AO70" s="196"/>
      <c r="AP70" s="196"/>
      <c r="AQ70" s="196"/>
      <c r="AR70" s="196"/>
      <c r="AS70" s="196"/>
      <c r="AT70" s="196"/>
      <c r="AU70" s="196"/>
      <c r="AV70" s="196"/>
      <c r="AW70" s="196"/>
      <c r="AX70" s="196"/>
      <c r="AY70" s="196"/>
      <c r="AZ70" s="196"/>
      <c r="BA70" s="196"/>
      <c r="BB70" s="196"/>
      <c r="BC70" s="196"/>
      <c r="BD70" s="196"/>
      <c r="BE70" s="196"/>
      <c r="BF70" s="196"/>
      <c r="BG70" s="196"/>
      <c r="BH70" s="196"/>
      <c r="BI70" s="196"/>
      <c r="BJ70" s="196"/>
      <c r="BK70" s="196"/>
      <c r="BL70" s="196"/>
      <c r="BM70" s="196"/>
      <c r="BN70" s="196"/>
      <c r="BO70" s="196"/>
      <c r="BP70" s="196"/>
      <c r="BQ70" s="196"/>
      <c r="BR70" s="196"/>
      <c r="BS70" s="196"/>
      <c r="BT70" s="196"/>
      <c r="BU70" s="196"/>
    </row>
    <row r="71" spans="1:95" s="170" customFormat="1" ht="39.950000000000003" customHeight="1" x14ac:dyDescent="0.25">
      <c r="A71" s="229"/>
      <c r="B71" s="229"/>
      <c r="C71" s="229"/>
      <c r="D71" s="229"/>
      <c r="E71" s="229"/>
      <c r="F71" s="229"/>
      <c r="G71" s="229"/>
      <c r="H71" s="229"/>
      <c r="I71" s="68"/>
      <c r="J71" s="71"/>
      <c r="K71" s="229"/>
      <c r="L71" s="229"/>
      <c r="M71" s="229"/>
      <c r="N71" s="229"/>
      <c r="O71" s="229"/>
      <c r="P71" s="71"/>
      <c r="Q71" s="229"/>
      <c r="R71" s="196"/>
      <c r="S71" s="196"/>
      <c r="T71" s="196"/>
      <c r="U71" s="196"/>
      <c r="V71" s="196"/>
      <c r="W71" s="196"/>
      <c r="X71" s="196"/>
      <c r="Y71" s="196"/>
      <c r="Z71" s="196"/>
      <c r="AA71" s="196"/>
      <c r="AB71" s="196"/>
      <c r="AC71" s="196"/>
      <c r="AD71" s="196"/>
      <c r="AE71" s="196"/>
      <c r="AF71" s="196"/>
      <c r="AG71" s="196"/>
      <c r="AH71" s="196"/>
      <c r="AI71" s="196"/>
      <c r="AJ71" s="196"/>
      <c r="AK71" s="196"/>
      <c r="AL71" s="196"/>
      <c r="AM71" s="196"/>
      <c r="AN71" s="196"/>
      <c r="AO71" s="196"/>
      <c r="AP71" s="196"/>
      <c r="AQ71" s="196"/>
      <c r="AR71" s="196"/>
      <c r="AS71" s="196"/>
      <c r="AT71" s="196"/>
      <c r="AU71" s="196"/>
      <c r="AV71" s="196"/>
      <c r="AW71" s="196"/>
      <c r="AX71" s="196"/>
      <c r="AY71" s="196"/>
      <c r="AZ71" s="196"/>
      <c r="BA71" s="196"/>
      <c r="BB71" s="196"/>
      <c r="BC71" s="196"/>
      <c r="BD71" s="196"/>
      <c r="BE71" s="196"/>
      <c r="BF71" s="196"/>
      <c r="BG71" s="196"/>
      <c r="BH71" s="196"/>
      <c r="BI71" s="196"/>
      <c r="BJ71" s="196"/>
      <c r="BK71" s="196"/>
      <c r="BL71" s="196"/>
      <c r="BM71" s="196"/>
      <c r="BN71" s="196"/>
      <c r="BO71" s="196"/>
      <c r="BP71" s="196"/>
      <c r="BQ71" s="196"/>
      <c r="BR71" s="196"/>
      <c r="BS71" s="196"/>
      <c r="BT71" s="196"/>
      <c r="BU71" s="196"/>
    </row>
    <row r="72" spans="1:95" s="92" customFormat="1" ht="39.950000000000003" customHeight="1" x14ac:dyDescent="0.25">
      <c r="A72" s="229"/>
      <c r="B72" s="229"/>
      <c r="C72" s="229"/>
      <c r="D72" s="229"/>
      <c r="E72" s="229"/>
      <c r="F72" s="229"/>
      <c r="G72" s="229"/>
      <c r="H72" s="229"/>
      <c r="I72" s="68"/>
      <c r="J72" s="71"/>
      <c r="K72" s="229"/>
      <c r="L72" s="229"/>
      <c r="M72" s="229"/>
      <c r="N72" s="229"/>
      <c r="O72" s="229"/>
      <c r="P72" s="71"/>
      <c r="Q72" s="229"/>
      <c r="R72" s="39"/>
      <c r="S72" s="42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</row>
    <row r="73" spans="1:95" s="92" customFormat="1" ht="39.950000000000003" customHeight="1" x14ac:dyDescent="0.25">
      <c r="A73" s="229"/>
      <c r="B73" s="229"/>
      <c r="C73" s="229"/>
      <c r="D73" s="229"/>
      <c r="E73" s="229"/>
      <c r="F73" s="229"/>
      <c r="G73" s="229"/>
      <c r="H73" s="229"/>
      <c r="I73" s="68"/>
      <c r="J73" s="71"/>
      <c r="K73" s="229"/>
      <c r="L73" s="229"/>
      <c r="M73" s="229"/>
      <c r="N73" s="229"/>
      <c r="O73" s="229"/>
      <c r="P73" s="71"/>
      <c r="Q73" s="22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</row>
    <row r="74" spans="1:95" s="92" customFormat="1" ht="39.950000000000003" customHeight="1" x14ac:dyDescent="0.25">
      <c r="A74" s="229"/>
      <c r="B74" s="229"/>
      <c r="C74" s="229"/>
      <c r="D74" s="229"/>
      <c r="E74" s="229"/>
      <c r="F74" s="229"/>
      <c r="G74" s="229"/>
      <c r="H74" s="229"/>
      <c r="I74" s="68"/>
      <c r="J74" s="71"/>
      <c r="K74" s="229"/>
      <c r="L74" s="229"/>
      <c r="M74" s="229"/>
      <c r="N74" s="229"/>
      <c r="O74" s="229"/>
      <c r="P74" s="71"/>
      <c r="Q74" s="22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</row>
    <row r="75" spans="1:95" s="92" customFormat="1" ht="39.950000000000003" hidden="1" customHeight="1" x14ac:dyDescent="0.25">
      <c r="A75" s="229"/>
      <c r="B75" s="229"/>
      <c r="C75" s="229"/>
      <c r="D75" s="229"/>
      <c r="E75" s="229"/>
      <c r="F75" s="229"/>
      <c r="G75" s="229"/>
      <c r="H75" s="229"/>
      <c r="I75" s="68"/>
      <c r="J75" s="71"/>
      <c r="K75" s="229"/>
      <c r="L75" s="229"/>
      <c r="M75" s="229"/>
      <c r="N75" s="229"/>
      <c r="O75" s="229"/>
      <c r="P75" s="71"/>
      <c r="Q75" s="22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</row>
    <row r="76" spans="1:95" s="92" customFormat="1" ht="39.950000000000003" hidden="1" customHeight="1" x14ac:dyDescent="0.25">
      <c r="A76" s="229"/>
      <c r="B76" s="229"/>
      <c r="C76" s="229"/>
      <c r="D76" s="229"/>
      <c r="E76" s="229"/>
      <c r="F76" s="229"/>
      <c r="G76" s="229"/>
      <c r="H76" s="229"/>
      <c r="I76" s="68"/>
      <c r="J76" s="71"/>
      <c r="K76" s="229"/>
      <c r="L76" s="229"/>
      <c r="M76" s="229"/>
      <c r="N76" s="229"/>
      <c r="O76" s="229"/>
      <c r="P76" s="71"/>
      <c r="Q76" s="22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</row>
    <row r="77" spans="1:95" s="92" customFormat="1" ht="39.950000000000003" hidden="1" customHeight="1" x14ac:dyDescent="0.25">
      <c r="A77" s="229"/>
      <c r="B77" s="229"/>
      <c r="C77" s="229"/>
      <c r="D77" s="229"/>
      <c r="E77" s="229"/>
      <c r="F77" s="229"/>
      <c r="G77" s="229"/>
      <c r="H77" s="229"/>
      <c r="I77" s="68"/>
      <c r="J77" s="71"/>
      <c r="K77" s="229"/>
      <c r="L77" s="229"/>
      <c r="M77" s="229"/>
      <c r="N77" s="229"/>
      <c r="O77" s="229"/>
      <c r="P77" s="71"/>
      <c r="Q77" s="22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</row>
    <row r="78" spans="1:95" s="92" customFormat="1" ht="39.950000000000003" hidden="1" customHeight="1" x14ac:dyDescent="0.25">
      <c r="A78" s="229"/>
      <c r="B78" s="229"/>
      <c r="C78" s="229"/>
      <c r="D78" s="229"/>
      <c r="E78" s="229"/>
      <c r="F78" s="229"/>
      <c r="G78" s="229"/>
      <c r="H78" s="229"/>
      <c r="I78" s="68"/>
      <c r="J78" s="71"/>
      <c r="K78" s="229"/>
      <c r="L78" s="229"/>
      <c r="M78" s="229"/>
      <c r="N78" s="229"/>
      <c r="O78" s="229"/>
      <c r="P78" s="71"/>
      <c r="Q78" s="22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</row>
    <row r="79" spans="1:95" s="92" customFormat="1" ht="39.950000000000003" hidden="1" customHeight="1" x14ac:dyDescent="0.25">
      <c r="A79" s="229"/>
      <c r="B79" s="229"/>
      <c r="C79" s="229"/>
      <c r="D79" s="229"/>
      <c r="E79" s="229"/>
      <c r="F79" s="229"/>
      <c r="G79" s="229"/>
      <c r="H79" s="229"/>
      <c r="I79" s="68"/>
      <c r="J79" s="71"/>
      <c r="K79" s="229"/>
      <c r="L79" s="229"/>
      <c r="M79" s="229"/>
      <c r="N79" s="229"/>
      <c r="O79" s="229"/>
      <c r="P79" s="71"/>
      <c r="Q79" s="22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</row>
    <row r="80" spans="1:95" s="92" customFormat="1" ht="39.950000000000003" hidden="1" customHeight="1" x14ac:dyDescent="0.25">
      <c r="A80" s="229"/>
      <c r="B80" s="229"/>
      <c r="C80" s="229"/>
      <c r="D80" s="229"/>
      <c r="E80" s="229"/>
      <c r="F80" s="229"/>
      <c r="G80" s="229"/>
      <c r="H80" s="229"/>
      <c r="I80" s="68"/>
      <c r="J80" s="71"/>
      <c r="K80" s="229"/>
      <c r="L80" s="229"/>
      <c r="M80" s="229"/>
      <c r="N80" s="229"/>
      <c r="O80" s="229"/>
      <c r="P80" s="71"/>
      <c r="Q80" s="22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</row>
    <row r="81" spans="1:95" s="92" customFormat="1" ht="39.950000000000003" hidden="1" customHeight="1" x14ac:dyDescent="0.25">
      <c r="A81" s="229"/>
      <c r="B81" s="229"/>
      <c r="C81" s="229"/>
      <c r="D81" s="229"/>
      <c r="E81" s="229"/>
      <c r="F81" s="229"/>
      <c r="G81" s="229"/>
      <c r="H81" s="229"/>
      <c r="I81" s="68"/>
      <c r="J81" s="71"/>
      <c r="K81" s="229"/>
      <c r="L81" s="229"/>
      <c r="M81" s="229"/>
      <c r="N81" s="229"/>
      <c r="O81" s="229"/>
      <c r="P81" s="71"/>
      <c r="Q81" s="22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</row>
    <row r="82" spans="1:95" s="92" customFormat="1" ht="39.950000000000003" customHeight="1" x14ac:dyDescent="0.25">
      <c r="A82" s="229"/>
      <c r="B82" s="229"/>
      <c r="C82" s="229"/>
      <c r="D82" s="229"/>
      <c r="E82" s="229"/>
      <c r="F82" s="229"/>
      <c r="G82" s="229"/>
      <c r="H82" s="229"/>
      <c r="I82" s="68"/>
      <c r="J82" s="71"/>
      <c r="K82" s="229"/>
      <c r="L82" s="229"/>
      <c r="M82" s="229"/>
      <c r="N82" s="229"/>
      <c r="O82" s="229"/>
      <c r="P82" s="71"/>
      <c r="Q82" s="22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</row>
    <row r="83" spans="1:95" s="92" customFormat="1" ht="39.950000000000003" customHeight="1" x14ac:dyDescent="0.25">
      <c r="A83" s="229"/>
      <c r="B83" s="229"/>
      <c r="C83" s="229"/>
      <c r="D83" s="229"/>
      <c r="E83" s="229"/>
      <c r="F83" s="229"/>
      <c r="G83" s="229"/>
      <c r="H83" s="229"/>
      <c r="I83" s="68"/>
      <c r="J83" s="71"/>
      <c r="K83" s="229"/>
      <c r="L83" s="229"/>
      <c r="M83" s="229"/>
      <c r="N83" s="229"/>
      <c r="O83" s="229"/>
      <c r="P83" s="71"/>
      <c r="Q83" s="22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</row>
    <row r="84" spans="1:95" s="92" customFormat="1" ht="39.950000000000003" hidden="1" customHeight="1" x14ac:dyDescent="0.25">
      <c r="A84" s="229"/>
      <c r="B84" s="229"/>
      <c r="C84" s="229"/>
      <c r="D84" s="229"/>
      <c r="E84" s="229"/>
      <c r="F84" s="229"/>
      <c r="G84" s="229"/>
      <c r="H84" s="229"/>
      <c r="I84" s="68"/>
      <c r="J84" s="71"/>
      <c r="K84" s="229"/>
      <c r="L84" s="229"/>
      <c r="M84" s="229"/>
      <c r="N84" s="229"/>
      <c r="O84" s="229"/>
      <c r="P84" s="71"/>
      <c r="Q84" s="22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</row>
    <row r="85" spans="1:95" s="92" customFormat="1" ht="39.950000000000003" customHeight="1" x14ac:dyDescent="0.25">
      <c r="A85" s="229"/>
      <c r="B85" s="229"/>
      <c r="C85" s="229"/>
      <c r="D85" s="229"/>
      <c r="E85" s="229"/>
      <c r="F85" s="229"/>
      <c r="G85" s="229"/>
      <c r="H85" s="229"/>
      <c r="I85" s="68"/>
      <c r="J85" s="71"/>
      <c r="K85" s="229"/>
      <c r="L85" s="229"/>
      <c r="M85" s="229"/>
      <c r="N85" s="229"/>
      <c r="O85" s="229"/>
      <c r="P85" s="71"/>
      <c r="Q85" s="22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</row>
    <row r="86" spans="1:95" s="92" customFormat="1" ht="39.950000000000003" customHeight="1" x14ac:dyDescent="0.25">
      <c r="A86" s="229"/>
      <c r="B86" s="229"/>
      <c r="C86" s="229"/>
      <c r="D86" s="229"/>
      <c r="E86" s="229"/>
      <c r="F86" s="229"/>
      <c r="G86" s="229"/>
      <c r="H86" s="229"/>
      <c r="I86" s="68"/>
      <c r="J86" s="71"/>
      <c r="K86" s="229"/>
      <c r="L86" s="229"/>
      <c r="M86" s="229"/>
      <c r="N86" s="229"/>
      <c r="O86" s="229"/>
      <c r="P86" s="71"/>
      <c r="Q86" s="22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</row>
    <row r="87" spans="1:95" s="92" customFormat="1" ht="39.950000000000003" customHeight="1" x14ac:dyDescent="0.25">
      <c r="A87" s="229"/>
      <c r="B87" s="229"/>
      <c r="C87" s="229"/>
      <c r="D87" s="229"/>
      <c r="E87" s="229"/>
      <c r="F87" s="229"/>
      <c r="G87" s="229"/>
      <c r="H87" s="229"/>
      <c r="I87" s="68"/>
      <c r="J87" s="71"/>
      <c r="K87" s="229"/>
      <c r="L87" s="229"/>
      <c r="M87" s="229"/>
      <c r="N87" s="229"/>
      <c r="O87" s="229"/>
      <c r="P87" s="71"/>
      <c r="Q87" s="22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</row>
    <row r="88" spans="1:95" s="92" customFormat="1" ht="39.950000000000003" customHeight="1" x14ac:dyDescent="0.25">
      <c r="A88" s="229"/>
      <c r="B88" s="229"/>
      <c r="C88" s="229"/>
      <c r="D88" s="229"/>
      <c r="E88" s="229"/>
      <c r="F88" s="229"/>
      <c r="G88" s="229"/>
      <c r="H88" s="229"/>
      <c r="I88" s="68"/>
      <c r="J88" s="71"/>
      <c r="K88" s="229"/>
      <c r="L88" s="229"/>
      <c r="M88" s="229"/>
      <c r="N88" s="229"/>
      <c r="O88" s="229"/>
      <c r="P88" s="71"/>
      <c r="Q88" s="22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</row>
    <row r="89" spans="1:95" s="92" customFormat="1" ht="39.950000000000003" customHeight="1" x14ac:dyDescent="0.25">
      <c r="A89" s="229"/>
      <c r="B89" s="229"/>
      <c r="C89" s="229"/>
      <c r="D89" s="229"/>
      <c r="E89" s="229"/>
      <c r="F89" s="229"/>
      <c r="G89" s="229"/>
      <c r="H89" s="229"/>
      <c r="I89" s="68"/>
      <c r="J89" s="71"/>
      <c r="K89" s="229"/>
      <c r="L89" s="229"/>
      <c r="M89" s="229"/>
      <c r="N89" s="229"/>
      <c r="O89" s="229"/>
      <c r="P89" s="71"/>
      <c r="Q89" s="22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</row>
    <row r="90" spans="1:95" s="92" customFormat="1" ht="39.950000000000003" customHeight="1" x14ac:dyDescent="0.25">
      <c r="A90" s="229"/>
      <c r="B90" s="229"/>
      <c r="C90" s="229"/>
      <c r="D90" s="229"/>
      <c r="E90" s="229"/>
      <c r="F90" s="229"/>
      <c r="G90" s="229"/>
      <c r="H90" s="229"/>
      <c r="I90" s="68"/>
      <c r="J90" s="71"/>
      <c r="K90" s="229"/>
      <c r="L90" s="229"/>
      <c r="M90" s="229"/>
      <c r="N90" s="229"/>
      <c r="O90" s="229"/>
      <c r="P90" s="71"/>
      <c r="Q90" s="22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</row>
    <row r="91" spans="1:95" s="92" customFormat="1" ht="39.950000000000003" customHeight="1" x14ac:dyDescent="0.25">
      <c r="A91" s="229"/>
      <c r="B91" s="229"/>
      <c r="C91" s="229"/>
      <c r="D91" s="229"/>
      <c r="E91" s="229"/>
      <c r="F91" s="229"/>
      <c r="G91" s="229"/>
      <c r="H91" s="229"/>
      <c r="I91" s="68"/>
      <c r="J91" s="71"/>
      <c r="K91" s="229"/>
      <c r="L91" s="229"/>
      <c r="M91" s="229"/>
      <c r="N91" s="229"/>
      <c r="O91" s="229"/>
      <c r="P91" s="71"/>
      <c r="Q91" s="22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</row>
    <row r="92" spans="1:95" s="92" customFormat="1" ht="39.950000000000003" customHeight="1" x14ac:dyDescent="0.25">
      <c r="A92" s="229"/>
      <c r="B92" s="229"/>
      <c r="C92" s="229"/>
      <c r="D92" s="229"/>
      <c r="E92" s="229"/>
      <c r="F92" s="229"/>
      <c r="G92" s="229"/>
      <c r="H92" s="229"/>
      <c r="I92" s="68"/>
      <c r="J92" s="71"/>
      <c r="K92" s="229"/>
      <c r="L92" s="229"/>
      <c r="M92" s="229"/>
      <c r="N92" s="229"/>
      <c r="O92" s="229"/>
      <c r="P92" s="71"/>
      <c r="Q92" s="22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</row>
    <row r="93" spans="1:95" s="92" customFormat="1" ht="39.950000000000003" customHeight="1" x14ac:dyDescent="0.25">
      <c r="A93" s="229"/>
      <c r="B93" s="229"/>
      <c r="C93" s="229"/>
      <c r="D93" s="229"/>
      <c r="E93" s="229"/>
      <c r="F93" s="229"/>
      <c r="G93" s="229"/>
      <c r="H93" s="229"/>
      <c r="I93" s="68"/>
      <c r="J93" s="71"/>
      <c r="K93" s="229"/>
      <c r="L93" s="229"/>
      <c r="M93" s="229"/>
      <c r="N93" s="229"/>
      <c r="O93" s="229"/>
      <c r="P93" s="71"/>
      <c r="Q93" s="22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</row>
    <row r="94" spans="1:95" s="92" customFormat="1" ht="39.950000000000003" customHeight="1" x14ac:dyDescent="0.25">
      <c r="A94" s="229"/>
      <c r="B94" s="229"/>
      <c r="C94" s="229"/>
      <c r="D94" s="229"/>
      <c r="E94" s="229"/>
      <c r="F94" s="229"/>
      <c r="G94" s="229"/>
      <c r="H94" s="229"/>
      <c r="I94" s="68"/>
      <c r="J94" s="71"/>
      <c r="K94" s="229"/>
      <c r="L94" s="229"/>
      <c r="M94" s="229"/>
      <c r="N94" s="229"/>
      <c r="O94" s="229"/>
      <c r="P94" s="71"/>
      <c r="Q94" s="22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</row>
    <row r="95" spans="1:95" s="92" customFormat="1" ht="39.950000000000003" customHeight="1" x14ac:dyDescent="0.25">
      <c r="A95" s="229"/>
      <c r="B95" s="229"/>
      <c r="C95" s="229"/>
      <c r="D95" s="229"/>
      <c r="E95" s="229"/>
      <c r="F95" s="229"/>
      <c r="G95" s="229"/>
      <c r="H95" s="229"/>
      <c r="I95" s="68"/>
      <c r="J95" s="71"/>
      <c r="K95" s="229"/>
      <c r="L95" s="229"/>
      <c r="M95" s="229"/>
      <c r="N95" s="229"/>
      <c r="O95" s="229"/>
      <c r="P95" s="71"/>
      <c r="Q95" s="22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</row>
    <row r="96" spans="1:95" s="92" customFormat="1" ht="39.950000000000003" customHeight="1" x14ac:dyDescent="0.25">
      <c r="A96" s="229"/>
      <c r="B96" s="229"/>
      <c r="C96" s="229"/>
      <c r="D96" s="229"/>
      <c r="E96" s="229"/>
      <c r="F96" s="229"/>
      <c r="G96" s="229"/>
      <c r="H96" s="229"/>
      <c r="I96" s="68"/>
      <c r="J96" s="71"/>
      <c r="K96" s="229"/>
      <c r="L96" s="229"/>
      <c r="M96" s="229"/>
      <c r="N96" s="229"/>
      <c r="O96" s="229"/>
      <c r="P96" s="71"/>
      <c r="Q96" s="22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</row>
    <row r="97" spans="1:95" s="92" customFormat="1" ht="39.950000000000003" customHeight="1" x14ac:dyDescent="0.25">
      <c r="A97" s="229"/>
      <c r="B97" s="229"/>
      <c r="C97" s="229"/>
      <c r="D97" s="229"/>
      <c r="E97" s="229"/>
      <c r="F97" s="229"/>
      <c r="G97" s="229"/>
      <c r="H97" s="229"/>
      <c r="I97" s="68"/>
      <c r="J97" s="71"/>
      <c r="K97" s="229"/>
      <c r="L97" s="229"/>
      <c r="M97" s="229"/>
      <c r="N97" s="229"/>
      <c r="O97" s="229"/>
      <c r="P97" s="71"/>
      <c r="Q97" s="22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</row>
    <row r="98" spans="1:95" s="92" customFormat="1" ht="39.950000000000003" customHeight="1" x14ac:dyDescent="0.25">
      <c r="A98" s="229"/>
      <c r="B98" s="229"/>
      <c r="C98" s="229"/>
      <c r="D98" s="229"/>
      <c r="E98" s="229"/>
      <c r="F98" s="229"/>
      <c r="G98" s="229"/>
      <c r="H98" s="229"/>
      <c r="I98" s="68"/>
      <c r="J98" s="71"/>
      <c r="K98" s="229"/>
      <c r="L98" s="229"/>
      <c r="M98" s="229"/>
      <c r="N98" s="229"/>
      <c r="O98" s="229"/>
      <c r="P98" s="71"/>
      <c r="Q98" s="22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</row>
    <row r="99" spans="1:95" s="92" customFormat="1" ht="39.950000000000003" customHeight="1" x14ac:dyDescent="0.25">
      <c r="A99" s="229"/>
      <c r="B99" s="229"/>
      <c r="C99" s="229"/>
      <c r="D99" s="229"/>
      <c r="E99" s="229"/>
      <c r="F99" s="229"/>
      <c r="G99" s="229"/>
      <c r="H99" s="229"/>
      <c r="I99" s="68"/>
      <c r="J99" s="71"/>
      <c r="K99" s="229"/>
      <c r="L99" s="229"/>
      <c r="M99" s="229"/>
      <c r="N99" s="229"/>
      <c r="O99" s="229"/>
      <c r="P99" s="71"/>
      <c r="Q99" s="22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</row>
    <row r="100" spans="1:95" s="92" customFormat="1" ht="39.950000000000003" customHeight="1" x14ac:dyDescent="0.25">
      <c r="A100" s="229"/>
      <c r="B100" s="229"/>
      <c r="C100" s="229"/>
      <c r="D100" s="229"/>
      <c r="E100" s="229"/>
      <c r="F100" s="229"/>
      <c r="G100" s="229"/>
      <c r="H100" s="229"/>
      <c r="I100" s="68"/>
      <c r="J100" s="71"/>
      <c r="K100" s="229"/>
      <c r="L100" s="229"/>
      <c r="M100" s="229"/>
      <c r="N100" s="229"/>
      <c r="O100" s="229"/>
      <c r="P100" s="71"/>
      <c r="Q100" s="22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</row>
    <row r="101" spans="1:95" s="92" customFormat="1" ht="39.950000000000003" customHeight="1" x14ac:dyDescent="0.25">
      <c r="A101" s="229"/>
      <c r="B101" s="229"/>
      <c r="C101" s="229"/>
      <c r="D101" s="229"/>
      <c r="E101" s="229"/>
      <c r="F101" s="229"/>
      <c r="G101" s="229"/>
      <c r="H101" s="229"/>
      <c r="I101" s="68"/>
      <c r="J101" s="71"/>
      <c r="K101" s="229"/>
      <c r="L101" s="229"/>
      <c r="M101" s="229"/>
      <c r="N101" s="229"/>
      <c r="O101" s="229"/>
      <c r="P101" s="71"/>
      <c r="Q101" s="22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</row>
    <row r="102" spans="1:95" s="92" customFormat="1" ht="39.950000000000003" customHeight="1" x14ac:dyDescent="0.25">
      <c r="A102" s="229"/>
      <c r="B102" s="229"/>
      <c r="C102" s="229"/>
      <c r="D102" s="229"/>
      <c r="E102" s="229"/>
      <c r="F102" s="229"/>
      <c r="G102" s="229"/>
      <c r="H102" s="229"/>
      <c r="I102" s="68"/>
      <c r="J102" s="71"/>
      <c r="K102" s="229"/>
      <c r="L102" s="229"/>
      <c r="M102" s="229"/>
      <c r="N102" s="229"/>
      <c r="O102" s="229"/>
      <c r="P102" s="71"/>
      <c r="Q102" s="22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</row>
    <row r="103" spans="1:95" s="92" customFormat="1" ht="39.950000000000003" customHeight="1" x14ac:dyDescent="0.25">
      <c r="A103" s="229"/>
      <c r="B103" s="229"/>
      <c r="C103" s="229"/>
      <c r="D103" s="229"/>
      <c r="E103" s="229"/>
      <c r="F103" s="229"/>
      <c r="G103" s="229"/>
      <c r="H103" s="229"/>
      <c r="I103" s="68"/>
      <c r="J103" s="71"/>
      <c r="K103" s="229"/>
      <c r="L103" s="229"/>
      <c r="M103" s="229"/>
      <c r="N103" s="229"/>
      <c r="O103" s="229"/>
      <c r="P103" s="71"/>
      <c r="Q103" s="22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</row>
    <row r="104" spans="1:95" s="92" customFormat="1" ht="39.950000000000003" customHeight="1" x14ac:dyDescent="0.25">
      <c r="A104" s="229"/>
      <c r="B104" s="229"/>
      <c r="C104" s="229"/>
      <c r="D104" s="229"/>
      <c r="E104" s="229"/>
      <c r="F104" s="229"/>
      <c r="G104" s="229"/>
      <c r="H104" s="229"/>
      <c r="I104" s="68"/>
      <c r="J104" s="71"/>
      <c r="K104" s="229"/>
      <c r="L104" s="229"/>
      <c r="M104" s="229"/>
      <c r="N104" s="229"/>
      <c r="O104" s="229"/>
      <c r="P104" s="71"/>
      <c r="Q104" s="22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</row>
    <row r="105" spans="1:95" s="92" customFormat="1" ht="39.950000000000003" customHeight="1" x14ac:dyDescent="0.25">
      <c r="A105" s="229"/>
      <c r="B105" s="229"/>
      <c r="C105" s="229"/>
      <c r="D105" s="229"/>
      <c r="E105" s="229"/>
      <c r="F105" s="229"/>
      <c r="G105" s="229"/>
      <c r="H105" s="229"/>
      <c r="I105" s="68"/>
      <c r="J105" s="71"/>
      <c r="K105" s="229"/>
      <c r="L105" s="229"/>
      <c r="M105" s="229"/>
      <c r="N105" s="229"/>
      <c r="O105" s="229"/>
      <c r="P105" s="71"/>
      <c r="Q105" s="22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</row>
    <row r="106" spans="1:95" s="92" customFormat="1" ht="39.950000000000003" customHeight="1" x14ac:dyDescent="0.25">
      <c r="A106" s="229"/>
      <c r="B106" s="229"/>
      <c r="C106" s="229"/>
      <c r="D106" s="229"/>
      <c r="E106" s="229"/>
      <c r="F106" s="229"/>
      <c r="G106" s="229"/>
      <c r="H106" s="229"/>
      <c r="I106" s="68"/>
      <c r="J106" s="71"/>
      <c r="K106" s="229"/>
      <c r="L106" s="229"/>
      <c r="M106" s="229"/>
      <c r="N106" s="229"/>
      <c r="O106" s="229"/>
      <c r="P106" s="71"/>
      <c r="Q106" s="22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</row>
    <row r="107" spans="1:95" s="92" customFormat="1" ht="39.950000000000003" customHeight="1" x14ac:dyDescent="0.25">
      <c r="A107" s="229"/>
      <c r="B107" s="229"/>
      <c r="C107" s="229"/>
      <c r="D107" s="229"/>
      <c r="E107" s="229"/>
      <c r="F107" s="229"/>
      <c r="G107" s="229"/>
      <c r="H107" s="229"/>
      <c r="I107" s="68"/>
      <c r="J107" s="71"/>
      <c r="K107" s="229"/>
      <c r="L107" s="229"/>
      <c r="M107" s="229"/>
      <c r="N107" s="229"/>
      <c r="O107" s="229"/>
      <c r="P107" s="71"/>
      <c r="Q107" s="22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</row>
    <row r="108" spans="1:95" s="92" customFormat="1" ht="39.950000000000003" customHeight="1" x14ac:dyDescent="0.25">
      <c r="A108" s="229"/>
      <c r="B108" s="229"/>
      <c r="C108" s="229"/>
      <c r="D108" s="229"/>
      <c r="E108" s="229"/>
      <c r="F108" s="229"/>
      <c r="G108" s="229"/>
      <c r="H108" s="229"/>
      <c r="I108" s="68"/>
      <c r="J108" s="71"/>
      <c r="K108" s="229"/>
      <c r="L108" s="229"/>
      <c r="M108" s="229"/>
      <c r="N108" s="229"/>
      <c r="O108" s="229"/>
      <c r="P108" s="71"/>
      <c r="Q108" s="22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</row>
    <row r="109" spans="1:95" s="92" customFormat="1" ht="39.950000000000003" customHeight="1" x14ac:dyDescent="0.25">
      <c r="A109" s="229"/>
      <c r="B109" s="229"/>
      <c r="C109" s="229"/>
      <c r="D109" s="229"/>
      <c r="E109" s="229"/>
      <c r="F109" s="229"/>
      <c r="G109" s="229"/>
      <c r="H109" s="229"/>
      <c r="I109" s="68"/>
      <c r="J109" s="71"/>
      <c r="K109" s="229"/>
      <c r="L109" s="229"/>
      <c r="M109" s="229"/>
      <c r="N109" s="229"/>
      <c r="O109" s="229"/>
      <c r="P109" s="71"/>
      <c r="Q109" s="22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</row>
    <row r="110" spans="1:95" s="92" customFormat="1" ht="39.950000000000003" customHeight="1" x14ac:dyDescent="0.25">
      <c r="A110" s="229"/>
      <c r="B110" s="229"/>
      <c r="C110" s="229"/>
      <c r="D110" s="229"/>
      <c r="E110" s="229"/>
      <c r="F110" s="229"/>
      <c r="G110" s="229"/>
      <c r="H110" s="229"/>
      <c r="I110" s="68"/>
      <c r="J110" s="71"/>
      <c r="K110" s="229"/>
      <c r="L110" s="229"/>
      <c r="M110" s="229"/>
      <c r="N110" s="229"/>
      <c r="O110" s="229"/>
      <c r="P110" s="71"/>
      <c r="Q110" s="22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</row>
    <row r="111" spans="1:95" s="92" customFormat="1" ht="39.950000000000003" customHeight="1" x14ac:dyDescent="0.25">
      <c r="A111" s="229"/>
      <c r="B111" s="229"/>
      <c r="C111" s="229"/>
      <c r="D111" s="229"/>
      <c r="E111" s="229"/>
      <c r="F111" s="229"/>
      <c r="G111" s="229"/>
      <c r="H111" s="229"/>
      <c r="I111" s="68"/>
      <c r="J111" s="71"/>
      <c r="K111" s="229"/>
      <c r="L111" s="229"/>
      <c r="M111" s="229"/>
      <c r="N111" s="229"/>
      <c r="O111" s="229"/>
      <c r="P111" s="71"/>
      <c r="Q111" s="22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</row>
    <row r="112" spans="1:95" s="92" customFormat="1" ht="39.950000000000003" customHeight="1" x14ac:dyDescent="0.25">
      <c r="A112" s="229"/>
      <c r="B112" s="229"/>
      <c r="C112" s="229"/>
      <c r="D112" s="229"/>
      <c r="E112" s="229"/>
      <c r="F112" s="229"/>
      <c r="G112" s="229"/>
      <c r="H112" s="229"/>
      <c r="I112" s="68"/>
      <c r="J112" s="71"/>
      <c r="K112" s="229"/>
      <c r="L112" s="229"/>
      <c r="M112" s="229"/>
      <c r="N112" s="229"/>
      <c r="O112" s="229"/>
      <c r="P112" s="71"/>
      <c r="Q112" s="22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</row>
    <row r="113" spans="1:95" s="92" customFormat="1" ht="39.950000000000003" customHeight="1" x14ac:dyDescent="0.25">
      <c r="A113" s="229"/>
      <c r="B113" s="229"/>
      <c r="C113" s="229"/>
      <c r="D113" s="229"/>
      <c r="E113" s="229"/>
      <c r="F113" s="229"/>
      <c r="G113" s="229"/>
      <c r="H113" s="229"/>
      <c r="I113" s="68"/>
      <c r="J113" s="71"/>
      <c r="K113" s="229"/>
      <c r="L113" s="229"/>
      <c r="M113" s="229"/>
      <c r="N113" s="229"/>
      <c r="O113" s="229"/>
      <c r="P113" s="71"/>
      <c r="Q113" s="22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</row>
    <row r="114" spans="1:95" s="92" customFormat="1" ht="39.950000000000003" customHeight="1" x14ac:dyDescent="0.25">
      <c r="A114" s="229"/>
      <c r="B114" s="229"/>
      <c r="C114" s="229"/>
      <c r="D114" s="229"/>
      <c r="E114" s="229"/>
      <c r="F114" s="229"/>
      <c r="G114" s="229"/>
      <c r="H114" s="229"/>
      <c r="I114" s="68"/>
      <c r="J114" s="71"/>
      <c r="K114" s="229"/>
      <c r="L114" s="229"/>
      <c r="M114" s="229"/>
      <c r="N114" s="229"/>
      <c r="O114" s="229"/>
      <c r="P114" s="71"/>
      <c r="Q114" s="22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</row>
    <row r="115" spans="1:95" s="92" customFormat="1" ht="39.950000000000003" customHeight="1" x14ac:dyDescent="0.25">
      <c r="A115" s="229"/>
      <c r="B115" s="229"/>
      <c r="C115" s="229"/>
      <c r="D115" s="229"/>
      <c r="E115" s="229"/>
      <c r="F115" s="229"/>
      <c r="G115" s="229"/>
      <c r="H115" s="229"/>
      <c r="I115" s="68"/>
      <c r="J115" s="71"/>
      <c r="K115" s="229"/>
      <c r="L115" s="229"/>
      <c r="M115" s="229"/>
      <c r="N115" s="229"/>
      <c r="O115" s="229"/>
      <c r="P115" s="71"/>
      <c r="Q115" s="22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</row>
    <row r="116" spans="1:95" s="92" customFormat="1" ht="39.950000000000003" customHeight="1" x14ac:dyDescent="0.25">
      <c r="A116" s="229"/>
      <c r="B116" s="229"/>
      <c r="C116" s="229"/>
      <c r="D116" s="229"/>
      <c r="E116" s="229"/>
      <c r="F116" s="229"/>
      <c r="G116" s="229"/>
      <c r="H116" s="229"/>
      <c r="I116" s="68"/>
      <c r="J116" s="71"/>
      <c r="K116" s="229"/>
      <c r="L116" s="229"/>
      <c r="M116" s="229"/>
      <c r="N116" s="229"/>
      <c r="O116" s="229"/>
      <c r="P116" s="71"/>
      <c r="Q116" s="22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</row>
    <row r="117" spans="1:95" s="92" customFormat="1" ht="39.950000000000003" customHeight="1" x14ac:dyDescent="0.25">
      <c r="A117" s="229"/>
      <c r="B117" s="229"/>
      <c r="C117" s="229"/>
      <c r="D117" s="229"/>
      <c r="E117" s="229"/>
      <c r="F117" s="229"/>
      <c r="G117" s="229"/>
      <c r="H117" s="229"/>
      <c r="I117" s="68"/>
      <c r="J117" s="71"/>
      <c r="K117" s="229"/>
      <c r="L117" s="229"/>
      <c r="M117" s="229"/>
      <c r="N117" s="229"/>
      <c r="O117" s="229"/>
      <c r="P117" s="71"/>
      <c r="Q117" s="22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</row>
    <row r="118" spans="1:95" s="92" customFormat="1" ht="39.950000000000003" customHeight="1" x14ac:dyDescent="0.25">
      <c r="A118" s="229"/>
      <c r="B118" s="229"/>
      <c r="C118" s="229"/>
      <c r="D118" s="229"/>
      <c r="E118" s="229"/>
      <c r="F118" s="229"/>
      <c r="G118" s="229"/>
      <c r="H118" s="229"/>
      <c r="I118" s="68"/>
      <c r="J118" s="71"/>
      <c r="K118" s="229"/>
      <c r="L118" s="229"/>
      <c r="M118" s="229"/>
      <c r="N118" s="229"/>
      <c r="O118" s="229"/>
      <c r="P118" s="71"/>
      <c r="Q118" s="22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</row>
    <row r="119" spans="1:95" s="92" customFormat="1" ht="39.950000000000003" customHeight="1" x14ac:dyDescent="0.25">
      <c r="A119" s="229"/>
      <c r="B119" s="229"/>
      <c r="C119" s="229"/>
      <c r="D119" s="229"/>
      <c r="E119" s="229"/>
      <c r="F119" s="229"/>
      <c r="G119" s="229"/>
      <c r="H119" s="229"/>
      <c r="I119" s="68"/>
      <c r="J119" s="71"/>
      <c r="K119" s="229"/>
      <c r="L119" s="229"/>
      <c r="M119" s="229"/>
      <c r="N119" s="229"/>
      <c r="O119" s="229"/>
      <c r="P119" s="71"/>
      <c r="Q119" s="22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</row>
    <row r="120" spans="1:95" s="92" customFormat="1" ht="39.950000000000003" customHeight="1" x14ac:dyDescent="0.25">
      <c r="A120" s="229"/>
      <c r="B120" s="229"/>
      <c r="C120" s="229"/>
      <c r="D120" s="229"/>
      <c r="E120" s="229"/>
      <c r="F120" s="229"/>
      <c r="G120" s="229"/>
      <c r="H120" s="229"/>
      <c r="I120" s="68"/>
      <c r="J120" s="71"/>
      <c r="K120" s="229"/>
      <c r="L120" s="229"/>
      <c r="M120" s="229"/>
      <c r="N120" s="229"/>
      <c r="O120" s="229"/>
      <c r="P120" s="71"/>
      <c r="Q120" s="22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</row>
    <row r="121" spans="1:95" s="92" customFormat="1" ht="39.950000000000003" customHeight="1" x14ac:dyDescent="0.25">
      <c r="A121" s="229"/>
      <c r="B121" s="229"/>
      <c r="C121" s="229"/>
      <c r="D121" s="229"/>
      <c r="E121" s="229"/>
      <c r="F121" s="229"/>
      <c r="G121" s="229"/>
      <c r="H121" s="229"/>
      <c r="I121" s="68"/>
      <c r="J121" s="71"/>
      <c r="K121" s="229"/>
      <c r="L121" s="229"/>
      <c r="M121" s="229"/>
      <c r="N121" s="229"/>
      <c r="O121" s="229"/>
      <c r="P121" s="71"/>
      <c r="Q121" s="22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</row>
    <row r="122" spans="1:95" s="92" customFormat="1" ht="39.950000000000003" customHeight="1" x14ac:dyDescent="0.25">
      <c r="A122" s="229"/>
      <c r="B122" s="229"/>
      <c r="C122" s="229"/>
      <c r="D122" s="229"/>
      <c r="E122" s="229"/>
      <c r="F122" s="229"/>
      <c r="G122" s="229"/>
      <c r="H122" s="229"/>
      <c r="I122" s="68"/>
      <c r="J122" s="71"/>
      <c r="K122" s="229"/>
      <c r="L122" s="229"/>
      <c r="M122" s="229"/>
      <c r="N122" s="229"/>
      <c r="O122" s="229"/>
      <c r="P122" s="71"/>
      <c r="Q122" s="22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</row>
    <row r="123" spans="1:95" s="92" customFormat="1" ht="39.950000000000003" customHeight="1" x14ac:dyDescent="0.25">
      <c r="A123" s="229"/>
      <c r="B123" s="229"/>
      <c r="C123" s="229"/>
      <c r="D123" s="229"/>
      <c r="E123" s="229"/>
      <c r="F123" s="229"/>
      <c r="G123" s="229"/>
      <c r="H123" s="229"/>
      <c r="I123" s="68"/>
      <c r="J123" s="71"/>
      <c r="K123" s="229"/>
      <c r="L123" s="229"/>
      <c r="M123" s="229"/>
      <c r="N123" s="229"/>
      <c r="O123" s="229"/>
      <c r="P123" s="71"/>
      <c r="Q123" s="22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</row>
    <row r="124" spans="1:95" s="92" customFormat="1" ht="39.950000000000003" customHeight="1" x14ac:dyDescent="0.25">
      <c r="A124" s="229"/>
      <c r="B124" s="229"/>
      <c r="C124" s="229"/>
      <c r="D124" s="229"/>
      <c r="E124" s="229"/>
      <c r="F124" s="229"/>
      <c r="G124" s="229"/>
      <c r="H124" s="229"/>
      <c r="I124" s="68"/>
      <c r="J124" s="71"/>
      <c r="K124" s="229"/>
      <c r="L124" s="229"/>
      <c r="M124" s="229"/>
      <c r="N124" s="229"/>
      <c r="O124" s="229"/>
      <c r="P124" s="71"/>
      <c r="Q124" s="22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</row>
    <row r="125" spans="1:95" s="92" customFormat="1" ht="39.950000000000003" customHeight="1" x14ac:dyDescent="0.25">
      <c r="A125" s="229"/>
      <c r="B125" s="229"/>
      <c r="C125" s="229"/>
      <c r="D125" s="229"/>
      <c r="E125" s="229"/>
      <c r="F125" s="229"/>
      <c r="G125" s="229"/>
      <c r="H125" s="229"/>
      <c r="I125" s="68"/>
      <c r="J125" s="71"/>
      <c r="K125" s="229"/>
      <c r="L125" s="229"/>
      <c r="M125" s="229"/>
      <c r="N125" s="229"/>
      <c r="O125" s="229"/>
      <c r="P125" s="71"/>
      <c r="Q125" s="22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</row>
    <row r="126" spans="1:95" s="92" customFormat="1" ht="39.950000000000003" customHeight="1" x14ac:dyDescent="0.25">
      <c r="A126" s="229"/>
      <c r="B126" s="229"/>
      <c r="C126" s="229"/>
      <c r="D126" s="229"/>
      <c r="E126" s="229"/>
      <c r="F126" s="229"/>
      <c r="G126" s="229"/>
      <c r="H126" s="229"/>
      <c r="I126" s="68"/>
      <c r="J126" s="71"/>
      <c r="K126" s="229"/>
      <c r="L126" s="229"/>
      <c r="M126" s="229"/>
      <c r="N126" s="229"/>
      <c r="O126" s="229"/>
      <c r="P126" s="71"/>
      <c r="Q126" s="22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</row>
    <row r="127" spans="1:95" s="92" customFormat="1" ht="39.950000000000003" customHeight="1" x14ac:dyDescent="0.25">
      <c r="A127" s="229"/>
      <c r="B127" s="229"/>
      <c r="C127" s="229"/>
      <c r="D127" s="229"/>
      <c r="E127" s="229"/>
      <c r="F127" s="229"/>
      <c r="G127" s="229"/>
      <c r="H127" s="229"/>
      <c r="I127" s="68"/>
      <c r="J127" s="71"/>
      <c r="K127" s="229"/>
      <c r="L127" s="229"/>
      <c r="M127" s="229"/>
      <c r="N127" s="229"/>
      <c r="O127" s="229"/>
      <c r="P127" s="71"/>
      <c r="Q127" s="22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</row>
    <row r="128" spans="1:95" s="92" customFormat="1" ht="39.950000000000003" customHeight="1" x14ac:dyDescent="0.25">
      <c r="A128" s="229"/>
      <c r="B128" s="229"/>
      <c r="C128" s="229"/>
      <c r="D128" s="229"/>
      <c r="E128" s="229"/>
      <c r="F128" s="229"/>
      <c r="G128" s="229"/>
      <c r="H128" s="229"/>
      <c r="I128" s="68"/>
      <c r="J128" s="71"/>
      <c r="K128" s="229"/>
      <c r="L128" s="229"/>
      <c r="M128" s="229"/>
      <c r="N128" s="229"/>
      <c r="O128" s="229"/>
      <c r="P128" s="71"/>
      <c r="Q128" s="22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</row>
    <row r="129" spans="1:95" s="92" customFormat="1" ht="39.950000000000003" customHeight="1" x14ac:dyDescent="0.25">
      <c r="A129" s="229"/>
      <c r="B129" s="229"/>
      <c r="C129" s="229"/>
      <c r="D129" s="229"/>
      <c r="E129" s="229"/>
      <c r="F129" s="229"/>
      <c r="G129" s="229"/>
      <c r="H129" s="229"/>
      <c r="I129" s="68"/>
      <c r="J129" s="71"/>
      <c r="K129" s="229"/>
      <c r="L129" s="229"/>
      <c r="M129" s="229"/>
      <c r="N129" s="229"/>
      <c r="O129" s="229"/>
      <c r="P129" s="71"/>
      <c r="Q129" s="22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</row>
    <row r="130" spans="1:95" s="92" customFormat="1" ht="39.950000000000003" customHeight="1" x14ac:dyDescent="0.25">
      <c r="A130" s="229"/>
      <c r="B130" s="229"/>
      <c r="C130" s="229"/>
      <c r="D130" s="229"/>
      <c r="E130" s="229"/>
      <c r="F130" s="229"/>
      <c r="G130" s="229"/>
      <c r="H130" s="229"/>
      <c r="I130" s="68"/>
      <c r="J130" s="71"/>
      <c r="K130" s="229"/>
      <c r="L130" s="229"/>
      <c r="M130" s="229"/>
      <c r="N130" s="229"/>
      <c r="O130" s="229"/>
      <c r="P130" s="71"/>
      <c r="Q130" s="22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</row>
    <row r="131" spans="1:95" s="92" customFormat="1" ht="39.950000000000003" customHeight="1" x14ac:dyDescent="0.25">
      <c r="A131" s="229"/>
      <c r="B131" s="229"/>
      <c r="C131" s="229"/>
      <c r="D131" s="229"/>
      <c r="E131" s="229"/>
      <c r="F131" s="229"/>
      <c r="G131" s="229"/>
      <c r="H131" s="229"/>
      <c r="I131" s="68"/>
      <c r="J131" s="71"/>
      <c r="K131" s="229"/>
      <c r="L131" s="229"/>
      <c r="M131" s="229"/>
      <c r="N131" s="229"/>
      <c r="O131" s="229"/>
      <c r="P131" s="71"/>
      <c r="Q131" s="22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</row>
    <row r="132" spans="1:95" s="92" customFormat="1" ht="39.950000000000003" customHeight="1" x14ac:dyDescent="0.25">
      <c r="A132" s="229"/>
      <c r="B132" s="229"/>
      <c r="C132" s="229"/>
      <c r="D132" s="229"/>
      <c r="E132" s="229"/>
      <c r="F132" s="229"/>
      <c r="G132" s="229"/>
      <c r="H132" s="229"/>
      <c r="I132" s="68"/>
      <c r="J132" s="71"/>
      <c r="K132" s="229"/>
      <c r="L132" s="229"/>
      <c r="M132" s="229"/>
      <c r="N132" s="229"/>
      <c r="O132" s="229"/>
      <c r="P132" s="71"/>
      <c r="Q132" s="22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</row>
    <row r="133" spans="1:95" s="92" customFormat="1" ht="39.950000000000003" customHeight="1" x14ac:dyDescent="0.25">
      <c r="A133" s="229"/>
      <c r="B133" s="229"/>
      <c r="C133" s="229"/>
      <c r="D133" s="229"/>
      <c r="E133" s="229"/>
      <c r="F133" s="229"/>
      <c r="G133" s="229"/>
      <c r="H133" s="229"/>
      <c r="I133" s="68"/>
      <c r="J133" s="71"/>
      <c r="K133" s="229"/>
      <c r="L133" s="229"/>
      <c r="M133" s="229"/>
      <c r="N133" s="229"/>
      <c r="O133" s="229"/>
      <c r="P133" s="71"/>
      <c r="Q133" s="22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</row>
    <row r="134" spans="1:95" s="92" customFormat="1" ht="39.950000000000003" customHeight="1" x14ac:dyDescent="0.25">
      <c r="A134" s="229"/>
      <c r="B134" s="229"/>
      <c r="C134" s="229"/>
      <c r="D134" s="229"/>
      <c r="E134" s="229"/>
      <c r="F134" s="229"/>
      <c r="G134" s="229"/>
      <c r="H134" s="229"/>
      <c r="I134" s="68"/>
      <c r="J134" s="71"/>
      <c r="K134" s="229"/>
      <c r="L134" s="229"/>
      <c r="M134" s="229"/>
      <c r="N134" s="229"/>
      <c r="O134" s="229"/>
      <c r="P134" s="71"/>
      <c r="Q134" s="22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</row>
    <row r="135" spans="1:95" s="92" customFormat="1" ht="39.950000000000003" customHeight="1" x14ac:dyDescent="0.25">
      <c r="A135" s="229"/>
      <c r="B135" s="229"/>
      <c r="C135" s="229"/>
      <c r="D135" s="229"/>
      <c r="E135" s="229"/>
      <c r="F135" s="229"/>
      <c r="G135" s="229"/>
      <c r="H135" s="229"/>
      <c r="I135" s="68"/>
      <c r="J135" s="71"/>
      <c r="K135" s="229"/>
      <c r="L135" s="229"/>
      <c r="M135" s="229"/>
      <c r="N135" s="229"/>
      <c r="O135" s="229"/>
      <c r="P135" s="71"/>
      <c r="Q135" s="22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</row>
    <row r="136" spans="1:95" s="92" customFormat="1" ht="39.950000000000003" customHeight="1" x14ac:dyDescent="0.25">
      <c r="A136" s="229"/>
      <c r="B136" s="229"/>
      <c r="C136" s="229"/>
      <c r="D136" s="229"/>
      <c r="E136" s="229"/>
      <c r="F136" s="229"/>
      <c r="G136" s="229"/>
      <c r="H136" s="229"/>
      <c r="I136" s="68"/>
      <c r="J136" s="71"/>
      <c r="K136" s="229"/>
      <c r="L136" s="229"/>
      <c r="M136" s="229"/>
      <c r="N136" s="229"/>
      <c r="O136" s="229"/>
      <c r="P136" s="71"/>
      <c r="Q136" s="22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</row>
    <row r="137" spans="1:95" s="92" customFormat="1" ht="39.950000000000003" customHeight="1" x14ac:dyDescent="0.25">
      <c r="A137" s="229"/>
      <c r="B137" s="229"/>
      <c r="C137" s="229"/>
      <c r="D137" s="229"/>
      <c r="E137" s="229"/>
      <c r="F137" s="229"/>
      <c r="G137" s="229"/>
      <c r="H137" s="229"/>
      <c r="I137" s="68"/>
      <c r="J137" s="71"/>
      <c r="K137" s="229"/>
      <c r="L137" s="229"/>
      <c r="M137" s="229"/>
      <c r="N137" s="229"/>
      <c r="O137" s="229"/>
      <c r="P137" s="71"/>
      <c r="Q137" s="22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/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</row>
    <row r="138" spans="1:95" s="92" customFormat="1" ht="39.950000000000003" customHeight="1" x14ac:dyDescent="0.25">
      <c r="A138" s="229"/>
      <c r="B138" s="229"/>
      <c r="C138" s="229"/>
      <c r="D138" s="229"/>
      <c r="E138" s="229"/>
      <c r="F138" s="229"/>
      <c r="G138" s="229"/>
      <c r="H138" s="229"/>
      <c r="I138" s="68"/>
      <c r="J138" s="71"/>
      <c r="K138" s="229"/>
      <c r="L138" s="229"/>
      <c r="M138" s="229"/>
      <c r="N138" s="229"/>
      <c r="O138" s="229"/>
      <c r="P138" s="71"/>
      <c r="Q138" s="22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</row>
    <row r="139" spans="1:95" s="92" customFormat="1" ht="39.950000000000003" customHeight="1" x14ac:dyDescent="0.25">
      <c r="A139" s="229"/>
      <c r="B139" s="229"/>
      <c r="C139" s="229"/>
      <c r="D139" s="229"/>
      <c r="E139" s="229"/>
      <c r="F139" s="229"/>
      <c r="G139" s="229"/>
      <c r="H139" s="229"/>
      <c r="I139" s="68"/>
      <c r="J139" s="71"/>
      <c r="K139" s="229"/>
      <c r="L139" s="229"/>
      <c r="M139" s="229"/>
      <c r="N139" s="229"/>
      <c r="O139" s="229"/>
      <c r="P139" s="71"/>
      <c r="Q139" s="22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</row>
    <row r="140" spans="1:95" s="92" customFormat="1" ht="39.950000000000003" customHeight="1" x14ac:dyDescent="0.25">
      <c r="A140" s="229"/>
      <c r="B140" s="229"/>
      <c r="C140" s="229"/>
      <c r="D140" s="229"/>
      <c r="E140" s="229"/>
      <c r="F140" s="229"/>
      <c r="G140" s="229"/>
      <c r="H140" s="229"/>
      <c r="I140" s="68"/>
      <c r="J140" s="71"/>
      <c r="K140" s="229"/>
      <c r="L140" s="229"/>
      <c r="M140" s="229"/>
      <c r="N140" s="229"/>
      <c r="O140" s="229"/>
      <c r="P140" s="71"/>
      <c r="Q140" s="22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</row>
    <row r="141" spans="1:95" s="92" customFormat="1" ht="39.950000000000003" customHeight="1" x14ac:dyDescent="0.25">
      <c r="A141" s="229"/>
      <c r="B141" s="229"/>
      <c r="C141" s="229"/>
      <c r="D141" s="229"/>
      <c r="E141" s="229"/>
      <c r="F141" s="229"/>
      <c r="G141" s="229"/>
      <c r="H141" s="229"/>
      <c r="I141" s="68"/>
      <c r="J141" s="71"/>
      <c r="K141" s="229"/>
      <c r="L141" s="229"/>
      <c r="M141" s="229"/>
      <c r="N141" s="229"/>
      <c r="O141" s="229"/>
      <c r="P141" s="71"/>
      <c r="Q141" s="22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</row>
    <row r="142" spans="1:95" s="92" customFormat="1" ht="39.950000000000003" customHeight="1" x14ac:dyDescent="0.25">
      <c r="A142" s="229"/>
      <c r="B142" s="229"/>
      <c r="C142" s="229"/>
      <c r="D142" s="229"/>
      <c r="E142" s="229"/>
      <c r="F142" s="229"/>
      <c r="G142" s="229"/>
      <c r="H142" s="229"/>
      <c r="I142" s="68"/>
      <c r="J142" s="71"/>
      <c r="K142" s="229"/>
      <c r="L142" s="229"/>
      <c r="M142" s="229"/>
      <c r="N142" s="229"/>
      <c r="O142" s="229"/>
      <c r="P142" s="71"/>
      <c r="Q142" s="22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</row>
    <row r="143" spans="1:95" s="92" customFormat="1" ht="39.950000000000003" customHeight="1" x14ac:dyDescent="0.25">
      <c r="A143" s="229"/>
      <c r="B143" s="229"/>
      <c r="C143" s="229"/>
      <c r="D143" s="229"/>
      <c r="E143" s="229"/>
      <c r="F143" s="229"/>
      <c r="G143" s="229"/>
      <c r="H143" s="229"/>
      <c r="I143" s="68"/>
      <c r="J143" s="71"/>
      <c r="K143" s="229"/>
      <c r="L143" s="229"/>
      <c r="M143" s="229"/>
      <c r="N143" s="229"/>
      <c r="O143" s="229"/>
      <c r="P143" s="71"/>
      <c r="Q143" s="22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</row>
    <row r="144" spans="1:95" s="92" customFormat="1" ht="39.950000000000003" customHeight="1" x14ac:dyDescent="0.25">
      <c r="A144" s="229"/>
      <c r="B144" s="229"/>
      <c r="C144" s="229"/>
      <c r="D144" s="229"/>
      <c r="E144" s="229"/>
      <c r="F144" s="229"/>
      <c r="G144" s="229"/>
      <c r="H144" s="229"/>
      <c r="I144" s="68"/>
      <c r="J144" s="71"/>
      <c r="K144" s="229"/>
      <c r="L144" s="229"/>
      <c r="M144" s="229"/>
      <c r="N144" s="229"/>
      <c r="O144" s="229"/>
      <c r="P144" s="71"/>
      <c r="Q144" s="22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</row>
    <row r="145" spans="1:95" s="92" customFormat="1" ht="39.950000000000003" customHeight="1" x14ac:dyDescent="0.25">
      <c r="A145" s="229"/>
      <c r="B145" s="229"/>
      <c r="C145" s="229"/>
      <c r="D145" s="229"/>
      <c r="E145" s="229"/>
      <c r="F145" s="229"/>
      <c r="G145" s="229"/>
      <c r="H145" s="229"/>
      <c r="I145" s="68"/>
      <c r="J145" s="71"/>
      <c r="K145" s="229"/>
      <c r="L145" s="229"/>
      <c r="M145" s="229"/>
      <c r="N145" s="229"/>
      <c r="O145" s="229"/>
      <c r="P145" s="71"/>
      <c r="Q145" s="22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</row>
    <row r="146" spans="1:95" s="92" customFormat="1" ht="39.950000000000003" customHeight="1" x14ac:dyDescent="0.25">
      <c r="A146" s="229"/>
      <c r="B146" s="229"/>
      <c r="C146" s="229"/>
      <c r="D146" s="229"/>
      <c r="E146" s="229"/>
      <c r="F146" s="229"/>
      <c r="G146" s="229"/>
      <c r="H146" s="229"/>
      <c r="I146" s="68"/>
      <c r="J146" s="71"/>
      <c r="K146" s="229"/>
      <c r="L146" s="229"/>
      <c r="M146" s="229"/>
      <c r="N146" s="229"/>
      <c r="O146" s="229"/>
      <c r="P146" s="71"/>
      <c r="Q146" s="22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</row>
    <row r="147" spans="1:95" s="92" customFormat="1" ht="39.950000000000003" customHeight="1" x14ac:dyDescent="0.25">
      <c r="A147" s="229"/>
      <c r="B147" s="229"/>
      <c r="C147" s="229"/>
      <c r="D147" s="229"/>
      <c r="E147" s="229"/>
      <c r="F147" s="229"/>
      <c r="G147" s="229"/>
      <c r="H147" s="229"/>
      <c r="I147" s="68"/>
      <c r="J147" s="71"/>
      <c r="K147" s="229"/>
      <c r="L147" s="229"/>
      <c r="M147" s="229"/>
      <c r="N147" s="229"/>
      <c r="O147" s="229"/>
      <c r="P147" s="71"/>
      <c r="Q147" s="22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</row>
    <row r="148" spans="1:95" s="92" customFormat="1" ht="39.950000000000003" customHeight="1" x14ac:dyDescent="0.25">
      <c r="A148" s="229"/>
      <c r="B148" s="229"/>
      <c r="C148" s="229"/>
      <c r="D148" s="229"/>
      <c r="E148" s="229"/>
      <c r="F148" s="229"/>
      <c r="G148" s="229"/>
      <c r="H148" s="229"/>
      <c r="I148" s="68"/>
      <c r="J148" s="71"/>
      <c r="K148" s="229"/>
      <c r="L148" s="229"/>
      <c r="M148" s="229"/>
      <c r="N148" s="229"/>
      <c r="O148" s="229"/>
      <c r="P148" s="71"/>
      <c r="Q148" s="22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</row>
    <row r="149" spans="1:95" s="92" customFormat="1" ht="39.950000000000003" customHeight="1" x14ac:dyDescent="0.25">
      <c r="A149" s="229"/>
      <c r="B149" s="229"/>
      <c r="C149" s="229"/>
      <c r="D149" s="229"/>
      <c r="E149" s="229"/>
      <c r="F149" s="229"/>
      <c r="G149" s="229"/>
      <c r="H149" s="229"/>
      <c r="I149" s="68"/>
      <c r="J149" s="71"/>
      <c r="K149" s="229"/>
      <c r="L149" s="229"/>
      <c r="M149" s="229"/>
      <c r="N149" s="229"/>
      <c r="O149" s="229"/>
      <c r="P149" s="71"/>
      <c r="Q149" s="22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</row>
    <row r="150" spans="1:95" s="92" customFormat="1" ht="39.950000000000003" customHeight="1" x14ac:dyDescent="0.25">
      <c r="A150" s="229"/>
      <c r="B150" s="229"/>
      <c r="C150" s="229"/>
      <c r="D150" s="229"/>
      <c r="E150" s="229"/>
      <c r="F150" s="229"/>
      <c r="G150" s="229"/>
      <c r="H150" s="229"/>
      <c r="I150" s="68"/>
      <c r="J150" s="71"/>
      <c r="K150" s="229"/>
      <c r="L150" s="229"/>
      <c r="M150" s="229"/>
      <c r="N150" s="229"/>
      <c r="O150" s="229"/>
      <c r="P150" s="71"/>
      <c r="Q150" s="22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</row>
    <row r="151" spans="1:95" s="92" customFormat="1" ht="39.950000000000003" customHeight="1" x14ac:dyDescent="0.25">
      <c r="A151" s="229"/>
      <c r="B151" s="229"/>
      <c r="C151" s="229"/>
      <c r="D151" s="229"/>
      <c r="E151" s="229"/>
      <c r="F151" s="229"/>
      <c r="G151" s="229"/>
      <c r="H151" s="229"/>
      <c r="I151" s="68"/>
      <c r="J151" s="71"/>
      <c r="K151" s="229"/>
      <c r="L151" s="229"/>
      <c r="M151" s="229"/>
      <c r="N151" s="229"/>
      <c r="O151" s="229"/>
      <c r="P151" s="71"/>
      <c r="Q151" s="22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</row>
    <row r="152" spans="1:95" s="92" customFormat="1" ht="39.950000000000003" customHeight="1" x14ac:dyDescent="0.25">
      <c r="A152" s="229"/>
      <c r="B152" s="229"/>
      <c r="C152" s="229"/>
      <c r="D152" s="229"/>
      <c r="E152" s="229"/>
      <c r="F152" s="229"/>
      <c r="G152" s="229"/>
      <c r="H152" s="229"/>
      <c r="I152" s="68"/>
      <c r="J152" s="71"/>
      <c r="K152" s="229"/>
      <c r="L152" s="229"/>
      <c r="M152" s="229"/>
      <c r="N152" s="229"/>
      <c r="O152" s="229"/>
      <c r="P152" s="71"/>
      <c r="Q152" s="22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</row>
    <row r="153" spans="1:95" s="92" customFormat="1" ht="39.950000000000003" customHeight="1" x14ac:dyDescent="0.25">
      <c r="A153" s="229"/>
      <c r="B153" s="229"/>
      <c r="C153" s="229"/>
      <c r="D153" s="229"/>
      <c r="E153" s="229"/>
      <c r="F153" s="229"/>
      <c r="G153" s="229"/>
      <c r="H153" s="229"/>
      <c r="I153" s="68"/>
      <c r="J153" s="71"/>
      <c r="K153" s="229"/>
      <c r="L153" s="229"/>
      <c r="M153" s="229"/>
      <c r="N153" s="229"/>
      <c r="O153" s="229"/>
      <c r="P153" s="71"/>
      <c r="Q153" s="22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</row>
    <row r="154" spans="1:95" s="92" customFormat="1" ht="39.950000000000003" customHeight="1" x14ac:dyDescent="0.25">
      <c r="A154" s="229"/>
      <c r="B154" s="229"/>
      <c r="C154" s="229"/>
      <c r="D154" s="229"/>
      <c r="E154" s="229"/>
      <c r="F154" s="229"/>
      <c r="G154" s="229"/>
      <c r="H154" s="229"/>
      <c r="I154" s="68"/>
      <c r="J154" s="71"/>
      <c r="K154" s="229"/>
      <c r="L154" s="229"/>
      <c r="M154" s="229"/>
      <c r="N154" s="229"/>
      <c r="O154" s="229"/>
      <c r="P154" s="71"/>
      <c r="Q154" s="22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</row>
    <row r="155" spans="1:95" s="92" customFormat="1" ht="39.950000000000003" customHeight="1" x14ac:dyDescent="0.25">
      <c r="A155" s="229"/>
      <c r="B155" s="229"/>
      <c r="C155" s="229"/>
      <c r="D155" s="229"/>
      <c r="E155" s="229"/>
      <c r="F155" s="229"/>
      <c r="G155" s="229"/>
      <c r="H155" s="229"/>
      <c r="I155" s="68"/>
      <c r="J155" s="71"/>
      <c r="K155" s="229"/>
      <c r="L155" s="229"/>
      <c r="M155" s="229"/>
      <c r="N155" s="229"/>
      <c r="O155" s="229"/>
      <c r="P155" s="71"/>
      <c r="Q155" s="22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</row>
    <row r="156" spans="1:95" s="92" customFormat="1" ht="39.950000000000003" customHeight="1" x14ac:dyDescent="0.25">
      <c r="A156" s="229"/>
      <c r="B156" s="229"/>
      <c r="C156" s="229"/>
      <c r="D156" s="229"/>
      <c r="E156" s="229"/>
      <c r="F156" s="229"/>
      <c r="G156" s="229"/>
      <c r="H156" s="229"/>
      <c r="I156" s="68"/>
      <c r="J156" s="71"/>
      <c r="K156" s="229"/>
      <c r="L156" s="229"/>
      <c r="M156" s="229"/>
      <c r="N156" s="229"/>
      <c r="O156" s="229"/>
      <c r="P156" s="71"/>
      <c r="Q156" s="22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</row>
    <row r="157" spans="1:95" s="92" customFormat="1" ht="39.950000000000003" customHeight="1" x14ac:dyDescent="0.25">
      <c r="A157" s="229"/>
      <c r="B157" s="229"/>
      <c r="C157" s="229"/>
      <c r="D157" s="229"/>
      <c r="E157" s="229"/>
      <c r="F157" s="229"/>
      <c r="G157" s="229"/>
      <c r="H157" s="229"/>
      <c r="I157" s="68"/>
      <c r="J157" s="71"/>
      <c r="K157" s="229"/>
      <c r="L157" s="229"/>
      <c r="M157" s="229"/>
      <c r="N157" s="229"/>
      <c r="O157" s="229"/>
      <c r="P157" s="71"/>
      <c r="Q157" s="22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</row>
    <row r="158" spans="1:95" s="92" customFormat="1" ht="39.950000000000003" customHeight="1" x14ac:dyDescent="0.25">
      <c r="A158" s="229"/>
      <c r="B158" s="229"/>
      <c r="C158" s="229"/>
      <c r="D158" s="229"/>
      <c r="E158" s="229"/>
      <c r="F158" s="229"/>
      <c r="G158" s="229"/>
      <c r="H158" s="229"/>
      <c r="I158" s="68"/>
      <c r="J158" s="71"/>
      <c r="K158" s="229"/>
      <c r="L158" s="229"/>
      <c r="M158" s="229"/>
      <c r="N158" s="229"/>
      <c r="O158" s="229"/>
      <c r="P158" s="71"/>
      <c r="Q158" s="22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</row>
    <row r="159" spans="1:95" s="92" customFormat="1" ht="39.950000000000003" customHeight="1" x14ac:dyDescent="0.25">
      <c r="A159" s="229"/>
      <c r="B159" s="229"/>
      <c r="C159" s="229"/>
      <c r="D159" s="229"/>
      <c r="E159" s="229"/>
      <c r="F159" s="229"/>
      <c r="G159" s="229"/>
      <c r="H159" s="229"/>
      <c r="I159" s="68"/>
      <c r="J159" s="71"/>
      <c r="K159" s="229"/>
      <c r="L159" s="229"/>
      <c r="M159" s="229"/>
      <c r="N159" s="229"/>
      <c r="O159" s="229"/>
      <c r="P159" s="71"/>
      <c r="Q159" s="22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</row>
    <row r="160" spans="1:95" s="92" customFormat="1" ht="39.950000000000003" customHeight="1" x14ac:dyDescent="0.25">
      <c r="A160" s="229"/>
      <c r="B160" s="229"/>
      <c r="C160" s="229"/>
      <c r="D160" s="229"/>
      <c r="E160" s="229"/>
      <c r="F160" s="229"/>
      <c r="G160" s="229"/>
      <c r="H160" s="229"/>
      <c r="I160" s="68"/>
      <c r="J160" s="71"/>
      <c r="K160" s="229"/>
      <c r="L160" s="229"/>
      <c r="M160" s="229"/>
      <c r="N160" s="229"/>
      <c r="O160" s="229"/>
      <c r="P160" s="71"/>
      <c r="Q160" s="22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</row>
    <row r="161" spans="1:95" s="92" customFormat="1" ht="39.950000000000003" customHeight="1" x14ac:dyDescent="0.25">
      <c r="A161" s="229"/>
      <c r="B161" s="229"/>
      <c r="C161" s="229"/>
      <c r="D161" s="229"/>
      <c r="E161" s="229"/>
      <c r="F161" s="229"/>
      <c r="G161" s="229"/>
      <c r="H161" s="229"/>
      <c r="I161" s="68"/>
      <c r="J161" s="71"/>
      <c r="K161" s="229"/>
      <c r="L161" s="229"/>
      <c r="M161" s="229"/>
      <c r="N161" s="229"/>
      <c r="O161" s="229"/>
      <c r="P161" s="71"/>
      <c r="Q161" s="22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</row>
    <row r="162" spans="1:95" s="92" customFormat="1" ht="39.950000000000003" customHeight="1" x14ac:dyDescent="0.25">
      <c r="A162" s="229"/>
      <c r="B162" s="229"/>
      <c r="C162" s="229"/>
      <c r="D162" s="229"/>
      <c r="E162" s="229"/>
      <c r="F162" s="229"/>
      <c r="G162" s="229"/>
      <c r="H162" s="229"/>
      <c r="I162" s="68"/>
      <c r="J162" s="71"/>
      <c r="K162" s="229"/>
      <c r="L162" s="229"/>
      <c r="M162" s="229"/>
      <c r="N162" s="229"/>
      <c r="O162" s="229"/>
      <c r="P162" s="71"/>
      <c r="Q162" s="22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</row>
    <row r="163" spans="1:95" s="92" customFormat="1" ht="39.950000000000003" customHeight="1" x14ac:dyDescent="0.25">
      <c r="A163" s="229"/>
      <c r="B163" s="229"/>
      <c r="C163" s="229"/>
      <c r="D163" s="229"/>
      <c r="E163" s="229"/>
      <c r="F163" s="229"/>
      <c r="G163" s="229"/>
      <c r="H163" s="229"/>
      <c r="I163" s="68"/>
      <c r="J163" s="71"/>
      <c r="K163" s="229"/>
      <c r="L163" s="229"/>
      <c r="M163" s="229"/>
      <c r="N163" s="229"/>
      <c r="O163" s="229"/>
      <c r="P163" s="71"/>
      <c r="Q163" s="22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</row>
    <row r="164" spans="1:95" s="92" customFormat="1" ht="39.950000000000003" customHeight="1" x14ac:dyDescent="0.25">
      <c r="A164" s="229"/>
      <c r="B164" s="229"/>
      <c r="C164" s="229"/>
      <c r="D164" s="229"/>
      <c r="E164" s="229"/>
      <c r="F164" s="229"/>
      <c r="G164" s="229"/>
      <c r="H164" s="229"/>
      <c r="I164" s="68"/>
      <c r="J164" s="71"/>
      <c r="K164" s="229"/>
      <c r="L164" s="229"/>
      <c r="M164" s="229"/>
      <c r="N164" s="229"/>
      <c r="O164" s="229"/>
      <c r="P164" s="71"/>
      <c r="Q164" s="22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</row>
    <row r="165" spans="1:95" s="92" customFormat="1" ht="39.950000000000003" customHeight="1" x14ac:dyDescent="0.25">
      <c r="A165" s="229"/>
      <c r="B165" s="229"/>
      <c r="C165" s="229"/>
      <c r="D165" s="229"/>
      <c r="E165" s="229"/>
      <c r="F165" s="229"/>
      <c r="G165" s="229"/>
      <c r="H165" s="229"/>
      <c r="I165" s="68"/>
      <c r="J165" s="71"/>
      <c r="K165" s="229"/>
      <c r="L165" s="229"/>
      <c r="M165" s="229"/>
      <c r="N165" s="229"/>
      <c r="O165" s="229"/>
      <c r="P165" s="71"/>
      <c r="Q165" s="22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</row>
    <row r="166" spans="1:95" s="92" customFormat="1" ht="39.950000000000003" customHeight="1" x14ac:dyDescent="0.25">
      <c r="A166" s="229"/>
      <c r="B166" s="229"/>
      <c r="C166" s="229"/>
      <c r="D166" s="229"/>
      <c r="E166" s="229"/>
      <c r="F166" s="229"/>
      <c r="G166" s="229"/>
      <c r="H166" s="229"/>
      <c r="I166" s="68"/>
      <c r="J166" s="71"/>
      <c r="K166" s="229"/>
      <c r="L166" s="229"/>
      <c r="M166" s="229"/>
      <c r="N166" s="229"/>
      <c r="O166" s="229"/>
      <c r="P166" s="71"/>
      <c r="Q166" s="22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</row>
    <row r="167" spans="1:95" s="92" customFormat="1" ht="39.950000000000003" customHeight="1" x14ac:dyDescent="0.25">
      <c r="A167" s="229"/>
      <c r="B167" s="229"/>
      <c r="C167" s="229"/>
      <c r="D167" s="229"/>
      <c r="E167" s="229"/>
      <c r="F167" s="229"/>
      <c r="G167" s="229"/>
      <c r="H167" s="229"/>
      <c r="I167" s="68"/>
      <c r="J167" s="71"/>
      <c r="K167" s="229"/>
      <c r="L167" s="229"/>
      <c r="M167" s="229"/>
      <c r="N167" s="229"/>
      <c r="O167" s="229"/>
      <c r="P167" s="71"/>
      <c r="Q167" s="22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</row>
    <row r="168" spans="1:95" s="92" customFormat="1" ht="39.950000000000003" customHeight="1" x14ac:dyDescent="0.25">
      <c r="A168" s="229"/>
      <c r="B168" s="229"/>
      <c r="C168" s="229"/>
      <c r="D168" s="229"/>
      <c r="E168" s="229"/>
      <c r="F168" s="229"/>
      <c r="G168" s="229"/>
      <c r="H168" s="229"/>
      <c r="I168" s="68"/>
      <c r="J168" s="71"/>
      <c r="K168" s="229"/>
      <c r="L168" s="229"/>
      <c r="M168" s="229"/>
      <c r="N168" s="229"/>
      <c r="O168" s="229"/>
      <c r="P168" s="71"/>
      <c r="Q168" s="22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</row>
    <row r="169" spans="1:95" s="92" customFormat="1" ht="39.950000000000003" customHeight="1" x14ac:dyDescent="0.25">
      <c r="A169" s="229"/>
      <c r="B169" s="229"/>
      <c r="C169" s="229"/>
      <c r="D169" s="229"/>
      <c r="E169" s="229"/>
      <c r="F169" s="229"/>
      <c r="G169" s="229"/>
      <c r="H169" s="229"/>
      <c r="I169" s="68"/>
      <c r="J169" s="71"/>
      <c r="K169" s="229"/>
      <c r="L169" s="229"/>
      <c r="M169" s="229"/>
      <c r="N169" s="229"/>
      <c r="O169" s="229"/>
      <c r="P169" s="71"/>
      <c r="Q169" s="22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</row>
    <row r="170" spans="1:95" s="92" customFormat="1" ht="39.950000000000003" customHeight="1" x14ac:dyDescent="0.25">
      <c r="A170" s="229"/>
      <c r="B170" s="229"/>
      <c r="C170" s="229"/>
      <c r="D170" s="229"/>
      <c r="E170" s="229"/>
      <c r="F170" s="229"/>
      <c r="G170" s="229"/>
      <c r="H170" s="229"/>
      <c r="I170" s="68"/>
      <c r="J170" s="71"/>
      <c r="K170" s="229"/>
      <c r="L170" s="229"/>
      <c r="M170" s="229"/>
      <c r="N170" s="229"/>
      <c r="O170" s="229"/>
      <c r="P170" s="71"/>
      <c r="Q170" s="22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</row>
    <row r="171" spans="1:95" s="92" customFormat="1" ht="39.950000000000003" customHeight="1" x14ac:dyDescent="0.25">
      <c r="A171" s="229"/>
      <c r="B171" s="229"/>
      <c r="C171" s="229"/>
      <c r="D171" s="229"/>
      <c r="E171" s="229"/>
      <c r="F171" s="229"/>
      <c r="G171" s="229"/>
      <c r="H171" s="229"/>
      <c r="I171" s="68"/>
      <c r="J171" s="71"/>
      <c r="K171" s="229"/>
      <c r="L171" s="229"/>
      <c r="M171" s="229"/>
      <c r="N171" s="229"/>
      <c r="O171" s="229"/>
      <c r="P171" s="71"/>
      <c r="Q171" s="22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</row>
    <row r="172" spans="1:95" s="92" customFormat="1" ht="39.950000000000003" customHeight="1" x14ac:dyDescent="0.25">
      <c r="A172" s="229"/>
      <c r="B172" s="229"/>
      <c r="C172" s="229"/>
      <c r="D172" s="229"/>
      <c r="E172" s="229"/>
      <c r="F172" s="229"/>
      <c r="G172" s="229"/>
      <c r="H172" s="229"/>
      <c r="I172" s="68"/>
      <c r="J172" s="71"/>
      <c r="K172" s="229"/>
      <c r="L172" s="229"/>
      <c r="M172" s="229"/>
      <c r="N172" s="229"/>
      <c r="O172" s="229"/>
      <c r="P172" s="71"/>
      <c r="Q172" s="22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</row>
    <row r="173" spans="1:95" s="92" customFormat="1" ht="39.950000000000003" customHeight="1" x14ac:dyDescent="0.25">
      <c r="A173" s="229"/>
      <c r="B173" s="229"/>
      <c r="C173" s="229"/>
      <c r="D173" s="229"/>
      <c r="E173" s="229"/>
      <c r="F173" s="229"/>
      <c r="G173" s="229"/>
      <c r="H173" s="229"/>
      <c r="I173" s="68"/>
      <c r="J173" s="71"/>
      <c r="K173" s="229"/>
      <c r="L173" s="229"/>
      <c r="M173" s="229"/>
      <c r="N173" s="229"/>
      <c r="O173" s="229"/>
      <c r="P173" s="71"/>
      <c r="Q173" s="22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</row>
    <row r="174" spans="1:95" s="92" customFormat="1" ht="39.950000000000003" customHeight="1" x14ac:dyDescent="0.25">
      <c r="A174" s="229"/>
      <c r="B174" s="229"/>
      <c r="C174" s="229"/>
      <c r="D174" s="229"/>
      <c r="E174" s="229"/>
      <c r="F174" s="229"/>
      <c r="G174" s="229"/>
      <c r="H174" s="229"/>
      <c r="I174" s="68"/>
      <c r="J174" s="71"/>
      <c r="K174" s="229"/>
      <c r="L174" s="229"/>
      <c r="M174" s="229"/>
      <c r="N174" s="229"/>
      <c r="O174" s="229"/>
      <c r="P174" s="71"/>
      <c r="Q174" s="22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</row>
    <row r="175" spans="1:95" s="92" customFormat="1" ht="39.950000000000003" customHeight="1" x14ac:dyDescent="0.25">
      <c r="A175" s="229"/>
      <c r="B175" s="229"/>
      <c r="C175" s="229"/>
      <c r="D175" s="229"/>
      <c r="E175" s="229"/>
      <c r="F175" s="229"/>
      <c r="G175" s="229"/>
      <c r="H175" s="229"/>
      <c r="I175" s="68"/>
      <c r="J175" s="71"/>
      <c r="K175" s="229"/>
      <c r="L175" s="229"/>
      <c r="M175" s="229"/>
      <c r="N175" s="229"/>
      <c r="O175" s="229"/>
      <c r="P175" s="71"/>
      <c r="Q175" s="22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</row>
    <row r="176" spans="1:95" s="92" customFormat="1" ht="39.950000000000003" customHeight="1" x14ac:dyDescent="0.25">
      <c r="A176" s="229"/>
      <c r="B176" s="229"/>
      <c r="C176" s="229"/>
      <c r="D176" s="229"/>
      <c r="E176" s="229"/>
      <c r="F176" s="229"/>
      <c r="G176" s="229"/>
      <c r="H176" s="229"/>
      <c r="I176" s="68"/>
      <c r="J176" s="71"/>
      <c r="K176" s="229"/>
      <c r="L176" s="229"/>
      <c r="M176" s="229"/>
      <c r="N176" s="229"/>
      <c r="O176" s="229"/>
      <c r="P176" s="71"/>
      <c r="Q176" s="22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</row>
    <row r="177" spans="1:95" s="92" customFormat="1" ht="39.950000000000003" customHeight="1" x14ac:dyDescent="0.25">
      <c r="A177" s="229"/>
      <c r="B177" s="229"/>
      <c r="C177" s="229"/>
      <c r="D177" s="229"/>
      <c r="E177" s="229"/>
      <c r="F177" s="229"/>
      <c r="G177" s="229"/>
      <c r="H177" s="229"/>
      <c r="I177" s="68"/>
      <c r="J177" s="71"/>
      <c r="K177" s="229"/>
      <c r="L177" s="229"/>
      <c r="M177" s="229"/>
      <c r="N177" s="229"/>
      <c r="O177" s="229"/>
      <c r="P177" s="71"/>
      <c r="Q177" s="22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</row>
    <row r="178" spans="1:95" s="92" customFormat="1" ht="39.950000000000003" customHeight="1" x14ac:dyDescent="0.25">
      <c r="A178" s="229"/>
      <c r="B178" s="229"/>
      <c r="C178" s="229"/>
      <c r="D178" s="229"/>
      <c r="E178" s="229"/>
      <c r="F178" s="229"/>
      <c r="G178" s="229"/>
      <c r="H178" s="229"/>
      <c r="I178" s="68"/>
      <c r="J178" s="71"/>
      <c r="K178" s="229"/>
      <c r="L178" s="229"/>
      <c r="M178" s="229"/>
      <c r="N178" s="229"/>
      <c r="O178" s="229"/>
      <c r="P178" s="71"/>
      <c r="Q178" s="22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</row>
    <row r="179" spans="1:95" s="92" customFormat="1" ht="39.950000000000003" customHeight="1" x14ac:dyDescent="0.25">
      <c r="A179" s="229"/>
      <c r="B179" s="229"/>
      <c r="C179" s="229"/>
      <c r="D179" s="229"/>
      <c r="E179" s="229"/>
      <c r="F179" s="229"/>
      <c r="G179" s="229"/>
      <c r="H179" s="229"/>
      <c r="I179" s="68"/>
      <c r="J179" s="71"/>
      <c r="K179" s="229"/>
      <c r="L179" s="229"/>
      <c r="M179" s="229"/>
      <c r="N179" s="229"/>
      <c r="O179" s="229"/>
      <c r="P179" s="71"/>
      <c r="Q179" s="22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</row>
    <row r="180" spans="1:95" s="92" customFormat="1" ht="39.950000000000003" customHeight="1" x14ac:dyDescent="0.25">
      <c r="A180" s="229"/>
      <c r="B180" s="229"/>
      <c r="C180" s="229"/>
      <c r="D180" s="229"/>
      <c r="E180" s="229"/>
      <c r="F180" s="229"/>
      <c r="G180" s="229"/>
      <c r="H180" s="229"/>
      <c r="I180" s="68"/>
      <c r="J180" s="71"/>
      <c r="K180" s="229"/>
      <c r="L180" s="229"/>
      <c r="M180" s="229"/>
      <c r="N180" s="229"/>
      <c r="O180" s="229"/>
      <c r="P180" s="71"/>
      <c r="Q180" s="22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</row>
    <row r="181" spans="1:95" s="92" customFormat="1" ht="39.950000000000003" customHeight="1" x14ac:dyDescent="0.25">
      <c r="A181" s="229"/>
      <c r="B181" s="229"/>
      <c r="C181" s="229"/>
      <c r="D181" s="229"/>
      <c r="E181" s="229"/>
      <c r="F181" s="229"/>
      <c r="G181" s="229"/>
      <c r="H181" s="229"/>
      <c r="I181" s="68"/>
      <c r="J181" s="71"/>
      <c r="K181" s="229"/>
      <c r="L181" s="229"/>
      <c r="M181" s="229"/>
      <c r="N181" s="229"/>
      <c r="O181" s="229"/>
      <c r="P181" s="71"/>
      <c r="Q181" s="22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</row>
    <row r="182" spans="1:95" s="92" customFormat="1" ht="39.950000000000003" customHeight="1" x14ac:dyDescent="0.25">
      <c r="A182" s="229"/>
      <c r="B182" s="229"/>
      <c r="C182" s="229"/>
      <c r="D182" s="229"/>
      <c r="E182" s="229"/>
      <c r="F182" s="229"/>
      <c r="G182" s="229"/>
      <c r="H182" s="229"/>
      <c r="I182" s="68"/>
      <c r="J182" s="71"/>
      <c r="K182" s="229"/>
      <c r="L182" s="229"/>
      <c r="M182" s="229"/>
      <c r="N182" s="229"/>
      <c r="O182" s="229"/>
      <c r="P182" s="71"/>
      <c r="Q182" s="22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</row>
    <row r="183" spans="1:95" s="92" customFormat="1" ht="39.950000000000003" customHeight="1" x14ac:dyDescent="0.25">
      <c r="A183" s="229"/>
      <c r="B183" s="229"/>
      <c r="C183" s="229"/>
      <c r="D183" s="229"/>
      <c r="E183" s="229"/>
      <c r="F183" s="229"/>
      <c r="G183" s="229"/>
      <c r="H183" s="229"/>
      <c r="I183" s="68"/>
      <c r="J183" s="71"/>
      <c r="K183" s="229"/>
      <c r="L183" s="229"/>
      <c r="M183" s="229"/>
      <c r="N183" s="229"/>
      <c r="O183" s="229"/>
      <c r="P183" s="71"/>
      <c r="Q183" s="22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</row>
    <row r="184" spans="1:95" s="92" customFormat="1" ht="39.950000000000003" customHeight="1" x14ac:dyDescent="0.25">
      <c r="A184" s="229"/>
      <c r="B184" s="229"/>
      <c r="C184" s="229"/>
      <c r="D184" s="229"/>
      <c r="E184" s="229"/>
      <c r="F184" s="229"/>
      <c r="G184" s="229"/>
      <c r="H184" s="229"/>
      <c r="I184" s="68"/>
      <c r="J184" s="71"/>
      <c r="K184" s="229"/>
      <c r="L184" s="229"/>
      <c r="M184" s="229"/>
      <c r="N184" s="229"/>
      <c r="O184" s="229"/>
      <c r="P184" s="71"/>
      <c r="Q184" s="22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</row>
    <row r="185" spans="1:95" s="92" customFormat="1" ht="39.950000000000003" customHeight="1" x14ac:dyDescent="0.25">
      <c r="A185" s="229"/>
      <c r="B185" s="229"/>
      <c r="C185" s="229"/>
      <c r="D185" s="229"/>
      <c r="E185" s="229"/>
      <c r="F185" s="229"/>
      <c r="G185" s="229"/>
      <c r="H185" s="229"/>
      <c r="I185" s="68"/>
      <c r="J185" s="71"/>
      <c r="K185" s="229"/>
      <c r="L185" s="229"/>
      <c r="M185" s="229"/>
      <c r="N185" s="229"/>
      <c r="O185" s="229"/>
      <c r="P185" s="71"/>
      <c r="Q185" s="22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</row>
    <row r="186" spans="1:95" s="92" customFormat="1" ht="39.950000000000003" customHeight="1" x14ac:dyDescent="0.25">
      <c r="A186" s="229"/>
      <c r="B186" s="229"/>
      <c r="C186" s="229"/>
      <c r="D186" s="229"/>
      <c r="E186" s="229"/>
      <c r="F186" s="229"/>
      <c r="G186" s="229"/>
      <c r="H186" s="229"/>
      <c r="I186" s="68"/>
      <c r="J186" s="71"/>
      <c r="K186" s="229"/>
      <c r="L186" s="229"/>
      <c r="M186" s="229"/>
      <c r="N186" s="229"/>
      <c r="O186" s="229"/>
      <c r="P186" s="71"/>
      <c r="Q186" s="22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</row>
    <row r="187" spans="1:95" s="92" customFormat="1" ht="39.950000000000003" customHeight="1" x14ac:dyDescent="0.25">
      <c r="A187" s="229"/>
      <c r="B187" s="229"/>
      <c r="C187" s="229"/>
      <c r="D187" s="229"/>
      <c r="E187" s="229"/>
      <c r="F187" s="229"/>
      <c r="G187" s="229"/>
      <c r="H187" s="229"/>
      <c r="I187" s="68"/>
      <c r="J187" s="71"/>
      <c r="K187" s="229"/>
      <c r="L187" s="229"/>
      <c r="M187" s="229"/>
      <c r="N187" s="229"/>
      <c r="O187" s="229"/>
      <c r="P187" s="71"/>
      <c r="Q187" s="22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</row>
    <row r="188" spans="1:95" s="92" customFormat="1" ht="39.950000000000003" customHeight="1" x14ac:dyDescent="0.25">
      <c r="A188" s="229"/>
      <c r="B188" s="229"/>
      <c r="C188" s="229"/>
      <c r="D188" s="229"/>
      <c r="E188" s="229"/>
      <c r="F188" s="229"/>
      <c r="G188" s="229"/>
      <c r="H188" s="229"/>
      <c r="I188" s="68"/>
      <c r="J188" s="71"/>
      <c r="K188" s="229"/>
      <c r="L188" s="229"/>
      <c r="M188" s="229"/>
      <c r="N188" s="229"/>
      <c r="O188" s="229"/>
      <c r="P188" s="71"/>
      <c r="Q188" s="22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</row>
    <row r="189" spans="1:95" s="92" customFormat="1" ht="39.950000000000003" customHeight="1" x14ac:dyDescent="0.25">
      <c r="A189" s="229"/>
      <c r="B189" s="229"/>
      <c r="C189" s="229"/>
      <c r="D189" s="229"/>
      <c r="E189" s="229"/>
      <c r="F189" s="229"/>
      <c r="G189" s="229"/>
      <c r="H189" s="229"/>
      <c r="I189" s="68"/>
      <c r="J189" s="71"/>
      <c r="K189" s="229"/>
      <c r="L189" s="229"/>
      <c r="M189" s="229"/>
      <c r="N189" s="229"/>
      <c r="O189" s="229"/>
      <c r="P189" s="71"/>
      <c r="Q189" s="22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</row>
    <row r="190" spans="1:95" s="92" customFormat="1" ht="39.950000000000003" customHeight="1" x14ac:dyDescent="0.25">
      <c r="A190" s="229"/>
      <c r="B190" s="229"/>
      <c r="C190" s="229"/>
      <c r="D190" s="229"/>
      <c r="E190" s="229"/>
      <c r="F190" s="229"/>
      <c r="G190" s="229"/>
      <c r="H190" s="229"/>
      <c r="I190" s="68"/>
      <c r="J190" s="71"/>
      <c r="K190" s="229"/>
      <c r="L190" s="229"/>
      <c r="M190" s="229"/>
      <c r="N190" s="229"/>
      <c r="O190" s="229"/>
      <c r="P190" s="71"/>
      <c r="Q190" s="22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</row>
    <row r="191" spans="1:95" s="92" customFormat="1" ht="39.950000000000003" customHeight="1" x14ac:dyDescent="0.25">
      <c r="A191" s="229"/>
      <c r="B191" s="229"/>
      <c r="C191" s="229"/>
      <c r="D191" s="229"/>
      <c r="E191" s="229"/>
      <c r="F191" s="229"/>
      <c r="G191" s="229"/>
      <c r="H191" s="229"/>
      <c r="I191" s="68"/>
      <c r="J191" s="71"/>
      <c r="K191" s="229"/>
      <c r="L191" s="229"/>
      <c r="M191" s="229"/>
      <c r="N191" s="229"/>
      <c r="O191" s="229"/>
      <c r="P191" s="71"/>
      <c r="Q191" s="22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</row>
    <row r="192" spans="1:95" s="92" customFormat="1" ht="39.950000000000003" customHeight="1" x14ac:dyDescent="0.25">
      <c r="A192" s="229"/>
      <c r="B192" s="229"/>
      <c r="C192" s="229"/>
      <c r="D192" s="229"/>
      <c r="E192" s="229"/>
      <c r="F192" s="229"/>
      <c r="G192" s="229"/>
      <c r="H192" s="229"/>
      <c r="I192" s="68"/>
      <c r="J192" s="71"/>
      <c r="K192" s="229"/>
      <c r="L192" s="229"/>
      <c r="M192" s="229"/>
      <c r="N192" s="229"/>
      <c r="O192" s="229"/>
      <c r="P192" s="71"/>
      <c r="Q192" s="22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</row>
    <row r="193" spans="1:95" s="92" customFormat="1" ht="39.950000000000003" customHeight="1" x14ac:dyDescent="0.25">
      <c r="A193" s="229"/>
      <c r="B193" s="229"/>
      <c r="C193" s="229"/>
      <c r="D193" s="229"/>
      <c r="E193" s="229"/>
      <c r="F193" s="229"/>
      <c r="G193" s="229"/>
      <c r="H193" s="229"/>
      <c r="I193" s="68"/>
      <c r="J193" s="71"/>
      <c r="K193" s="229"/>
      <c r="L193" s="229"/>
      <c r="M193" s="229"/>
      <c r="N193" s="229"/>
      <c r="O193" s="229"/>
      <c r="P193" s="71"/>
      <c r="Q193" s="22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</row>
    <row r="194" spans="1:95" s="92" customFormat="1" ht="39.950000000000003" customHeight="1" x14ac:dyDescent="0.25">
      <c r="A194" s="229"/>
      <c r="B194" s="229"/>
      <c r="C194" s="229"/>
      <c r="D194" s="229"/>
      <c r="E194" s="229"/>
      <c r="F194" s="229"/>
      <c r="G194" s="229"/>
      <c r="H194" s="229"/>
      <c r="I194" s="68"/>
      <c r="J194" s="71"/>
      <c r="K194" s="229"/>
      <c r="L194" s="229"/>
      <c r="M194" s="229"/>
      <c r="N194" s="229"/>
      <c r="O194" s="229"/>
      <c r="P194" s="71"/>
      <c r="Q194" s="22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</row>
    <row r="195" spans="1:95" s="92" customFormat="1" ht="39.950000000000003" customHeight="1" x14ac:dyDescent="0.25">
      <c r="A195" s="229"/>
      <c r="B195" s="229"/>
      <c r="C195" s="229"/>
      <c r="D195" s="229"/>
      <c r="E195" s="229"/>
      <c r="F195" s="229"/>
      <c r="G195" s="229"/>
      <c r="H195" s="229"/>
      <c r="I195" s="68"/>
      <c r="J195" s="71"/>
      <c r="K195" s="229"/>
      <c r="L195" s="229"/>
      <c r="M195" s="229"/>
      <c r="N195" s="229"/>
      <c r="O195" s="229"/>
      <c r="P195" s="71"/>
      <c r="Q195" s="22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</row>
    <row r="196" spans="1:95" s="92" customFormat="1" ht="39.950000000000003" customHeight="1" x14ac:dyDescent="0.25">
      <c r="A196" s="229"/>
      <c r="B196" s="229"/>
      <c r="C196" s="229"/>
      <c r="D196" s="229"/>
      <c r="E196" s="229"/>
      <c r="F196" s="229"/>
      <c r="G196" s="229"/>
      <c r="H196" s="229"/>
      <c r="I196" s="68"/>
      <c r="J196" s="71"/>
      <c r="K196" s="229"/>
      <c r="L196" s="229"/>
      <c r="M196" s="229"/>
      <c r="N196" s="229"/>
      <c r="O196" s="229"/>
      <c r="P196" s="71"/>
      <c r="Q196" s="22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</row>
    <row r="197" spans="1:95" s="92" customFormat="1" ht="39.950000000000003" customHeight="1" x14ac:dyDescent="0.25">
      <c r="A197" s="229"/>
      <c r="B197" s="229"/>
      <c r="C197" s="229"/>
      <c r="D197" s="229"/>
      <c r="E197" s="229"/>
      <c r="F197" s="229"/>
      <c r="G197" s="229"/>
      <c r="H197" s="229"/>
      <c r="I197" s="68"/>
      <c r="J197" s="71"/>
      <c r="K197" s="229"/>
      <c r="L197" s="229"/>
      <c r="M197" s="229"/>
      <c r="N197" s="229"/>
      <c r="O197" s="229"/>
      <c r="P197" s="71"/>
      <c r="Q197" s="22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</row>
    <row r="198" spans="1:95" s="92" customFormat="1" ht="39.950000000000003" customHeight="1" x14ac:dyDescent="0.25">
      <c r="A198" s="229"/>
      <c r="B198" s="229"/>
      <c r="C198" s="229"/>
      <c r="D198" s="229"/>
      <c r="E198" s="229"/>
      <c r="F198" s="229"/>
      <c r="G198" s="229"/>
      <c r="H198" s="229"/>
      <c r="I198" s="68"/>
      <c r="J198" s="71"/>
      <c r="K198" s="229"/>
      <c r="L198" s="229"/>
      <c r="M198" s="229"/>
      <c r="N198" s="229"/>
      <c r="O198" s="229"/>
      <c r="P198" s="71"/>
      <c r="Q198" s="22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</row>
    <row r="199" spans="1:95" s="92" customFormat="1" ht="39.950000000000003" customHeight="1" x14ac:dyDescent="0.25">
      <c r="A199" s="229"/>
      <c r="B199" s="229"/>
      <c r="C199" s="229"/>
      <c r="D199" s="229"/>
      <c r="E199" s="229"/>
      <c r="F199" s="229"/>
      <c r="G199" s="229"/>
      <c r="H199" s="229"/>
      <c r="I199" s="68"/>
      <c r="J199" s="71"/>
      <c r="K199" s="229"/>
      <c r="L199" s="229"/>
      <c r="M199" s="229"/>
      <c r="N199" s="229"/>
      <c r="O199" s="229"/>
      <c r="P199" s="71"/>
      <c r="Q199" s="22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</row>
    <row r="200" spans="1:95" s="92" customFormat="1" ht="39.950000000000003" customHeight="1" x14ac:dyDescent="0.25">
      <c r="A200" s="229"/>
      <c r="B200" s="229"/>
      <c r="C200" s="229"/>
      <c r="D200" s="229"/>
      <c r="E200" s="229"/>
      <c r="F200" s="229"/>
      <c r="G200" s="229"/>
      <c r="H200" s="229"/>
      <c r="I200" s="68"/>
      <c r="J200" s="71"/>
      <c r="K200" s="229"/>
      <c r="L200" s="229"/>
      <c r="M200" s="229"/>
      <c r="N200" s="229"/>
      <c r="O200" s="229"/>
      <c r="P200" s="71"/>
      <c r="Q200" s="22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</row>
    <row r="201" spans="1:95" s="92" customFormat="1" ht="39.950000000000003" customHeight="1" x14ac:dyDescent="0.25">
      <c r="A201" s="229"/>
      <c r="B201" s="229"/>
      <c r="C201" s="229"/>
      <c r="D201" s="229"/>
      <c r="E201" s="229"/>
      <c r="F201" s="229"/>
      <c r="G201" s="229"/>
      <c r="H201" s="229"/>
      <c r="I201" s="68"/>
      <c r="J201" s="71"/>
      <c r="K201" s="229"/>
      <c r="L201" s="229"/>
      <c r="M201" s="229"/>
      <c r="N201" s="229"/>
      <c r="O201" s="229"/>
      <c r="P201" s="71"/>
      <c r="Q201" s="22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</row>
    <row r="202" spans="1:95" s="92" customFormat="1" ht="39.950000000000003" customHeight="1" x14ac:dyDescent="0.25">
      <c r="A202" s="229"/>
      <c r="B202" s="229"/>
      <c r="C202" s="229"/>
      <c r="D202" s="229"/>
      <c r="E202" s="229"/>
      <c r="F202" s="229"/>
      <c r="G202" s="229"/>
      <c r="H202" s="229"/>
      <c r="I202" s="68"/>
      <c r="J202" s="71"/>
      <c r="K202" s="229"/>
      <c r="L202" s="229"/>
      <c r="M202" s="229"/>
      <c r="N202" s="229"/>
      <c r="O202" s="229"/>
      <c r="P202" s="71"/>
      <c r="Q202" s="22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</row>
    <row r="203" spans="1:95" s="92" customFormat="1" ht="39.950000000000003" customHeight="1" x14ac:dyDescent="0.25">
      <c r="A203" s="229"/>
      <c r="B203" s="229"/>
      <c r="C203" s="229"/>
      <c r="D203" s="229"/>
      <c r="E203" s="229"/>
      <c r="F203" s="229"/>
      <c r="G203" s="229"/>
      <c r="H203" s="229"/>
      <c r="I203" s="68"/>
      <c r="J203" s="71"/>
      <c r="K203" s="229"/>
      <c r="L203" s="229"/>
      <c r="M203" s="229"/>
      <c r="N203" s="229"/>
      <c r="O203" s="229"/>
      <c r="P203" s="71"/>
      <c r="Q203" s="22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</row>
    <row r="204" spans="1:95" s="92" customFormat="1" ht="39.950000000000003" customHeight="1" x14ac:dyDescent="0.25">
      <c r="A204" s="229"/>
      <c r="B204" s="229"/>
      <c r="C204" s="229"/>
      <c r="D204" s="229"/>
      <c r="E204" s="229"/>
      <c r="F204" s="229"/>
      <c r="G204" s="229"/>
      <c r="H204" s="229"/>
      <c r="I204" s="68"/>
      <c r="J204" s="71"/>
      <c r="K204" s="229"/>
      <c r="L204" s="229"/>
      <c r="M204" s="229"/>
      <c r="N204" s="229"/>
      <c r="O204" s="229"/>
      <c r="P204" s="71"/>
      <c r="Q204" s="22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</row>
    <row r="205" spans="1:95" s="92" customFormat="1" ht="39.950000000000003" customHeight="1" x14ac:dyDescent="0.25">
      <c r="A205" s="229"/>
      <c r="B205" s="229"/>
      <c r="C205" s="229"/>
      <c r="D205" s="229"/>
      <c r="E205" s="229"/>
      <c r="F205" s="229"/>
      <c r="G205" s="229"/>
      <c r="H205" s="229"/>
      <c r="I205" s="68"/>
      <c r="J205" s="71"/>
      <c r="K205" s="229"/>
      <c r="L205" s="229"/>
      <c r="M205" s="229"/>
      <c r="N205" s="229"/>
      <c r="O205" s="229"/>
      <c r="P205" s="71"/>
      <c r="Q205" s="22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</row>
    <row r="206" spans="1:95" s="92" customFormat="1" ht="39.950000000000003" customHeight="1" x14ac:dyDescent="0.25">
      <c r="A206" s="229"/>
      <c r="B206" s="229"/>
      <c r="C206" s="229"/>
      <c r="D206" s="229"/>
      <c r="E206" s="229"/>
      <c r="F206" s="229"/>
      <c r="G206" s="229"/>
      <c r="H206" s="229"/>
      <c r="I206" s="68"/>
      <c r="J206" s="71"/>
      <c r="K206" s="229"/>
      <c r="L206" s="229"/>
      <c r="M206" s="229"/>
      <c r="N206" s="229"/>
      <c r="O206" s="229"/>
      <c r="P206" s="71"/>
      <c r="Q206" s="22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</row>
    <row r="207" spans="1:95" s="92" customFormat="1" ht="39.950000000000003" customHeight="1" x14ac:dyDescent="0.25">
      <c r="A207" s="229"/>
      <c r="B207" s="229"/>
      <c r="C207" s="229"/>
      <c r="D207" s="229"/>
      <c r="E207" s="229"/>
      <c r="F207" s="229"/>
      <c r="G207" s="229"/>
      <c r="H207" s="229"/>
      <c r="I207" s="68"/>
      <c r="J207" s="71"/>
      <c r="K207" s="229"/>
      <c r="L207" s="229"/>
      <c r="M207" s="229"/>
      <c r="N207" s="229"/>
      <c r="O207" s="229"/>
      <c r="P207" s="71"/>
      <c r="Q207" s="22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</row>
    <row r="208" spans="1:95" s="92" customFormat="1" ht="39.950000000000003" customHeight="1" x14ac:dyDescent="0.25">
      <c r="A208" s="229"/>
      <c r="B208" s="229"/>
      <c r="C208" s="229"/>
      <c r="D208" s="229"/>
      <c r="E208" s="229"/>
      <c r="F208" s="229"/>
      <c r="G208" s="229"/>
      <c r="H208" s="229"/>
      <c r="I208" s="68"/>
      <c r="J208" s="71"/>
      <c r="K208" s="229"/>
      <c r="L208" s="229"/>
      <c r="M208" s="229"/>
      <c r="N208" s="229"/>
      <c r="O208" s="229"/>
      <c r="P208" s="71"/>
      <c r="Q208" s="22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</row>
    <row r="209" spans="1:95" s="92" customFormat="1" ht="39.950000000000003" customHeight="1" x14ac:dyDescent="0.25">
      <c r="A209" s="229"/>
      <c r="B209" s="229"/>
      <c r="C209" s="229"/>
      <c r="D209" s="229"/>
      <c r="E209" s="229"/>
      <c r="F209" s="229"/>
      <c r="G209" s="229"/>
      <c r="H209" s="229"/>
      <c r="I209" s="68"/>
      <c r="J209" s="71"/>
      <c r="K209" s="229"/>
      <c r="L209" s="229"/>
      <c r="M209" s="229"/>
      <c r="N209" s="229"/>
      <c r="O209" s="229"/>
      <c r="P209" s="71"/>
      <c r="Q209" s="22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</row>
    <row r="210" spans="1:95" s="92" customFormat="1" ht="39.950000000000003" customHeight="1" x14ac:dyDescent="0.25">
      <c r="A210" s="229"/>
      <c r="B210" s="229"/>
      <c r="C210" s="229"/>
      <c r="D210" s="229"/>
      <c r="E210" s="229"/>
      <c r="F210" s="229"/>
      <c r="G210" s="229"/>
      <c r="H210" s="229"/>
      <c r="I210" s="68"/>
      <c r="J210" s="71"/>
      <c r="K210" s="229"/>
      <c r="L210" s="229"/>
      <c r="M210" s="229"/>
      <c r="N210" s="229"/>
      <c r="O210" s="229"/>
      <c r="P210" s="71"/>
      <c r="Q210" s="22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</row>
    <row r="211" spans="1:95" s="92" customFormat="1" ht="39.950000000000003" customHeight="1" x14ac:dyDescent="0.25">
      <c r="A211" s="229"/>
      <c r="B211" s="229"/>
      <c r="C211" s="229"/>
      <c r="D211" s="229"/>
      <c r="E211" s="229"/>
      <c r="F211" s="229"/>
      <c r="G211" s="229"/>
      <c r="H211" s="229"/>
      <c r="I211" s="68"/>
      <c r="J211" s="71"/>
      <c r="K211" s="229"/>
      <c r="L211" s="229"/>
      <c r="M211" s="229"/>
      <c r="N211" s="229"/>
      <c r="O211" s="229"/>
      <c r="P211" s="71"/>
      <c r="Q211" s="22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</row>
    <row r="212" spans="1:95" s="92" customFormat="1" ht="39.950000000000003" customHeight="1" x14ac:dyDescent="0.25">
      <c r="A212" s="229"/>
      <c r="B212" s="229"/>
      <c r="C212" s="229"/>
      <c r="D212" s="229"/>
      <c r="E212" s="229"/>
      <c r="F212" s="229"/>
      <c r="G212" s="229"/>
      <c r="H212" s="229"/>
      <c r="I212" s="68"/>
      <c r="J212" s="71"/>
      <c r="K212" s="229"/>
      <c r="L212" s="229"/>
      <c r="M212" s="229"/>
      <c r="N212" s="229"/>
      <c r="O212" s="229"/>
      <c r="P212" s="71"/>
      <c r="Q212" s="22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</row>
    <row r="213" spans="1:95" s="92" customFormat="1" ht="39.950000000000003" customHeight="1" x14ac:dyDescent="0.25">
      <c r="A213" s="229"/>
      <c r="B213" s="229"/>
      <c r="C213" s="229"/>
      <c r="D213" s="229"/>
      <c r="E213" s="229"/>
      <c r="F213" s="229"/>
      <c r="G213" s="229"/>
      <c r="H213" s="229"/>
      <c r="I213" s="68"/>
      <c r="J213" s="71"/>
      <c r="K213" s="229"/>
      <c r="L213" s="229"/>
      <c r="M213" s="229"/>
      <c r="N213" s="229"/>
      <c r="O213" s="229"/>
      <c r="P213" s="71"/>
      <c r="Q213" s="22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</row>
    <row r="214" spans="1:95" s="92" customFormat="1" ht="39.950000000000003" customHeight="1" x14ac:dyDescent="0.25">
      <c r="A214" s="229"/>
      <c r="B214" s="229"/>
      <c r="C214" s="229"/>
      <c r="D214" s="229"/>
      <c r="E214" s="229"/>
      <c r="F214" s="229"/>
      <c r="G214" s="229"/>
      <c r="H214" s="229"/>
      <c r="I214" s="68"/>
      <c r="J214" s="71"/>
      <c r="K214" s="229"/>
      <c r="L214" s="229"/>
      <c r="M214" s="229"/>
      <c r="N214" s="229"/>
      <c r="O214" s="229"/>
      <c r="P214" s="71"/>
      <c r="Q214" s="22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</row>
    <row r="215" spans="1:95" s="92" customFormat="1" ht="39.950000000000003" customHeight="1" x14ac:dyDescent="0.25">
      <c r="A215" s="229"/>
      <c r="B215" s="229"/>
      <c r="C215" s="229"/>
      <c r="D215" s="229"/>
      <c r="E215" s="229"/>
      <c r="F215" s="229"/>
      <c r="G215" s="229"/>
      <c r="H215" s="229"/>
      <c r="I215" s="68"/>
      <c r="J215" s="71"/>
      <c r="K215" s="229"/>
      <c r="L215" s="229"/>
      <c r="M215" s="229"/>
      <c r="N215" s="229"/>
      <c r="O215" s="229"/>
      <c r="P215" s="71"/>
      <c r="Q215" s="22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</row>
    <row r="216" spans="1:95" s="92" customFormat="1" ht="39.950000000000003" customHeight="1" x14ac:dyDescent="0.25">
      <c r="A216" s="229"/>
      <c r="B216" s="229"/>
      <c r="C216" s="229"/>
      <c r="D216" s="229"/>
      <c r="E216" s="229"/>
      <c r="F216" s="229"/>
      <c r="G216" s="229"/>
      <c r="H216" s="229"/>
      <c r="I216" s="68"/>
      <c r="J216" s="71"/>
      <c r="K216" s="229"/>
      <c r="L216" s="229"/>
      <c r="M216" s="229"/>
      <c r="N216" s="229"/>
      <c r="O216" s="229"/>
      <c r="P216" s="71"/>
      <c r="Q216" s="22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</row>
    <row r="217" spans="1:95" s="92" customFormat="1" ht="39.950000000000003" customHeight="1" x14ac:dyDescent="0.25">
      <c r="A217" s="229"/>
      <c r="B217" s="229"/>
      <c r="C217" s="229"/>
      <c r="D217" s="229"/>
      <c r="E217" s="229"/>
      <c r="F217" s="229"/>
      <c r="G217" s="229"/>
      <c r="H217" s="229"/>
      <c r="I217" s="68"/>
      <c r="J217" s="71"/>
      <c r="K217" s="229"/>
      <c r="L217" s="229"/>
      <c r="M217" s="229"/>
      <c r="N217" s="229"/>
      <c r="O217" s="229"/>
      <c r="P217" s="71"/>
      <c r="Q217" s="22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</row>
    <row r="218" spans="1:95" s="92" customFormat="1" ht="39.950000000000003" customHeight="1" x14ac:dyDescent="0.25">
      <c r="A218" s="229"/>
      <c r="B218" s="229"/>
      <c r="C218" s="229"/>
      <c r="D218" s="229"/>
      <c r="E218" s="229"/>
      <c r="F218" s="229"/>
      <c r="G218" s="229"/>
      <c r="H218" s="229"/>
      <c r="I218" s="68"/>
      <c r="J218" s="71"/>
      <c r="K218" s="229"/>
      <c r="L218" s="229"/>
      <c r="M218" s="229"/>
      <c r="N218" s="229"/>
      <c r="O218" s="229"/>
      <c r="P218" s="71"/>
      <c r="Q218" s="22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</row>
    <row r="219" spans="1:95" s="92" customFormat="1" ht="39.950000000000003" customHeight="1" x14ac:dyDescent="0.25">
      <c r="A219" s="229"/>
      <c r="B219" s="229"/>
      <c r="C219" s="229"/>
      <c r="D219" s="229"/>
      <c r="E219" s="229"/>
      <c r="F219" s="229"/>
      <c r="G219" s="229"/>
      <c r="H219" s="229"/>
      <c r="I219" s="68"/>
      <c r="J219" s="71"/>
      <c r="K219" s="229"/>
      <c r="L219" s="229"/>
      <c r="M219" s="229"/>
      <c r="N219" s="229"/>
      <c r="O219" s="229"/>
      <c r="P219" s="71"/>
      <c r="Q219" s="22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</row>
    <row r="220" spans="1:95" s="92" customFormat="1" ht="39.950000000000003" customHeight="1" x14ac:dyDescent="0.25">
      <c r="A220" s="229"/>
      <c r="B220" s="229"/>
      <c r="C220" s="229"/>
      <c r="D220" s="229"/>
      <c r="E220" s="229"/>
      <c r="F220" s="229"/>
      <c r="G220" s="229"/>
      <c r="H220" s="229"/>
      <c r="I220" s="68"/>
      <c r="J220" s="71"/>
      <c r="K220" s="229"/>
      <c r="L220" s="229"/>
      <c r="M220" s="229"/>
      <c r="N220" s="229"/>
      <c r="O220" s="229"/>
      <c r="P220" s="71"/>
      <c r="Q220" s="22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</row>
    <row r="221" spans="1:95" s="92" customFormat="1" ht="39.950000000000003" customHeight="1" x14ac:dyDescent="0.25">
      <c r="A221" s="229"/>
      <c r="B221" s="229"/>
      <c r="C221" s="229"/>
      <c r="D221" s="229"/>
      <c r="E221" s="229"/>
      <c r="F221" s="229"/>
      <c r="G221" s="229"/>
      <c r="H221" s="229"/>
      <c r="I221" s="68"/>
      <c r="J221" s="71"/>
      <c r="K221" s="229"/>
      <c r="L221" s="229"/>
      <c r="M221" s="229"/>
      <c r="N221" s="229"/>
      <c r="O221" s="229"/>
      <c r="P221" s="71"/>
      <c r="Q221" s="22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</row>
    <row r="222" spans="1:95" s="92" customFormat="1" ht="39.950000000000003" customHeight="1" x14ac:dyDescent="0.25">
      <c r="A222" s="229"/>
      <c r="B222" s="229"/>
      <c r="C222" s="229"/>
      <c r="D222" s="229"/>
      <c r="E222" s="229"/>
      <c r="F222" s="229"/>
      <c r="G222" s="229"/>
      <c r="H222" s="229"/>
      <c r="I222" s="68"/>
      <c r="J222" s="71"/>
      <c r="K222" s="229"/>
      <c r="L222" s="229"/>
      <c r="M222" s="229"/>
      <c r="N222" s="229"/>
      <c r="O222" s="229"/>
      <c r="P222" s="71"/>
      <c r="Q222" s="22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</row>
    <row r="223" spans="1:95" s="92" customFormat="1" ht="39.950000000000003" customHeight="1" x14ac:dyDescent="0.25">
      <c r="A223" s="229"/>
      <c r="B223" s="229"/>
      <c r="C223" s="229"/>
      <c r="D223" s="229"/>
      <c r="E223" s="229"/>
      <c r="F223" s="229"/>
      <c r="G223" s="229"/>
      <c r="H223" s="229"/>
      <c r="I223" s="68"/>
      <c r="J223" s="71"/>
      <c r="K223" s="229"/>
      <c r="L223" s="229"/>
      <c r="M223" s="229"/>
      <c r="N223" s="229"/>
      <c r="O223" s="229"/>
      <c r="P223" s="71"/>
      <c r="Q223" s="22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</row>
    <row r="224" spans="1:95" s="92" customFormat="1" ht="39.950000000000003" customHeight="1" x14ac:dyDescent="0.25">
      <c r="A224" s="229"/>
      <c r="B224" s="229"/>
      <c r="C224" s="229"/>
      <c r="D224" s="229"/>
      <c r="E224" s="229"/>
      <c r="F224" s="229"/>
      <c r="G224" s="229"/>
      <c r="H224" s="229"/>
      <c r="I224" s="68"/>
      <c r="J224" s="71"/>
      <c r="K224" s="229"/>
      <c r="L224" s="229"/>
      <c r="M224" s="229"/>
      <c r="N224" s="229"/>
      <c r="O224" s="229"/>
      <c r="P224" s="71"/>
      <c r="Q224" s="22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</row>
    <row r="225" spans="1:95" s="92" customFormat="1" ht="39.950000000000003" customHeight="1" x14ac:dyDescent="0.25">
      <c r="A225" s="229"/>
      <c r="B225" s="229"/>
      <c r="C225" s="229"/>
      <c r="D225" s="229"/>
      <c r="E225" s="229"/>
      <c r="F225" s="229"/>
      <c r="G225" s="229"/>
      <c r="H225" s="229"/>
      <c r="I225" s="68"/>
      <c r="J225" s="71"/>
      <c r="K225" s="229"/>
      <c r="L225" s="229"/>
      <c r="M225" s="229"/>
      <c r="N225" s="229"/>
      <c r="O225" s="229"/>
      <c r="P225" s="71"/>
      <c r="Q225" s="22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</row>
    <row r="226" spans="1:95" s="92" customFormat="1" ht="39.950000000000003" customHeight="1" x14ac:dyDescent="0.25">
      <c r="A226" s="229"/>
      <c r="B226" s="229"/>
      <c r="C226" s="229"/>
      <c r="D226" s="229"/>
      <c r="E226" s="229"/>
      <c r="F226" s="229"/>
      <c r="G226" s="229"/>
      <c r="H226" s="229"/>
      <c r="I226" s="68"/>
      <c r="J226" s="71"/>
      <c r="K226" s="229"/>
      <c r="L226" s="229"/>
      <c r="M226" s="229"/>
      <c r="N226" s="229"/>
      <c r="O226" s="229"/>
      <c r="P226" s="71"/>
      <c r="Q226" s="22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</row>
    <row r="227" spans="1:95" s="92" customFormat="1" ht="39.950000000000003" customHeight="1" x14ac:dyDescent="0.25">
      <c r="A227" s="229"/>
      <c r="B227" s="229"/>
      <c r="C227" s="229"/>
      <c r="D227" s="229"/>
      <c r="E227" s="229"/>
      <c r="F227" s="229"/>
      <c r="G227" s="229"/>
      <c r="H227" s="229"/>
      <c r="I227" s="68"/>
      <c r="J227" s="71"/>
      <c r="K227" s="229"/>
      <c r="L227" s="229"/>
      <c r="M227" s="229"/>
      <c r="N227" s="229"/>
      <c r="O227" s="229"/>
      <c r="P227" s="71"/>
      <c r="Q227" s="22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</row>
    <row r="228" spans="1:95" s="92" customFormat="1" ht="39.950000000000003" customHeight="1" x14ac:dyDescent="0.25">
      <c r="A228" s="229"/>
      <c r="B228" s="229"/>
      <c r="C228" s="229"/>
      <c r="D228" s="229"/>
      <c r="E228" s="229"/>
      <c r="F228" s="229"/>
      <c r="G228" s="229"/>
      <c r="H228" s="229"/>
      <c r="I228" s="68"/>
      <c r="J228" s="71"/>
      <c r="K228" s="229"/>
      <c r="L228" s="229"/>
      <c r="M228" s="229"/>
      <c r="N228" s="229"/>
      <c r="O228" s="229"/>
      <c r="P228" s="71"/>
      <c r="Q228" s="22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</row>
    <row r="229" spans="1:95" s="92" customFormat="1" ht="39.950000000000003" customHeight="1" x14ac:dyDescent="0.25">
      <c r="A229" s="229"/>
      <c r="B229" s="229"/>
      <c r="C229" s="229"/>
      <c r="D229" s="229"/>
      <c r="E229" s="229"/>
      <c r="F229" s="229"/>
      <c r="G229" s="229"/>
      <c r="H229" s="229"/>
      <c r="I229" s="68"/>
      <c r="J229" s="71"/>
      <c r="K229" s="229"/>
      <c r="L229" s="229"/>
      <c r="M229" s="229"/>
      <c r="N229" s="229"/>
      <c r="O229" s="229"/>
      <c r="P229" s="71"/>
      <c r="Q229" s="22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</row>
    <row r="230" spans="1:95" s="92" customFormat="1" ht="39.950000000000003" customHeight="1" x14ac:dyDescent="0.25">
      <c r="A230" s="229"/>
      <c r="B230" s="229"/>
      <c r="C230" s="229"/>
      <c r="D230" s="229"/>
      <c r="E230" s="229"/>
      <c r="F230" s="229"/>
      <c r="G230" s="229"/>
      <c r="H230" s="229"/>
      <c r="I230" s="68"/>
      <c r="J230" s="71"/>
      <c r="K230" s="229"/>
      <c r="L230" s="229"/>
      <c r="M230" s="229"/>
      <c r="N230" s="229"/>
      <c r="O230" s="229"/>
      <c r="P230" s="71"/>
      <c r="Q230" s="22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</row>
    <row r="231" spans="1:95" s="92" customFormat="1" ht="39.950000000000003" customHeight="1" x14ac:dyDescent="0.25">
      <c r="A231" s="229"/>
      <c r="B231" s="229"/>
      <c r="C231" s="229"/>
      <c r="D231" s="229"/>
      <c r="E231" s="229"/>
      <c r="F231" s="229"/>
      <c r="G231" s="229"/>
      <c r="H231" s="229"/>
      <c r="I231" s="68"/>
      <c r="J231" s="71"/>
      <c r="K231" s="229"/>
      <c r="L231" s="229"/>
      <c r="M231" s="229"/>
      <c r="N231" s="229"/>
      <c r="O231" s="229"/>
      <c r="P231" s="71"/>
      <c r="Q231" s="22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</row>
    <row r="232" spans="1:95" s="92" customFormat="1" ht="39.950000000000003" customHeight="1" x14ac:dyDescent="0.25">
      <c r="A232" s="229"/>
      <c r="B232" s="229"/>
      <c r="C232" s="229"/>
      <c r="D232" s="229"/>
      <c r="E232" s="229"/>
      <c r="F232" s="229"/>
      <c r="G232" s="229"/>
      <c r="H232" s="229"/>
      <c r="I232" s="68"/>
      <c r="J232" s="71"/>
      <c r="K232" s="229"/>
      <c r="L232" s="229"/>
      <c r="M232" s="229"/>
      <c r="N232" s="229"/>
      <c r="O232" s="229"/>
      <c r="P232" s="71"/>
      <c r="Q232" s="22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</row>
    <row r="233" spans="1:95" s="92" customFormat="1" ht="39.950000000000003" customHeight="1" x14ac:dyDescent="0.25">
      <c r="A233" s="229"/>
      <c r="B233" s="229"/>
      <c r="C233" s="229"/>
      <c r="D233" s="229"/>
      <c r="E233" s="229"/>
      <c r="F233" s="229"/>
      <c r="G233" s="229"/>
      <c r="H233" s="229"/>
      <c r="I233" s="68"/>
      <c r="J233" s="71"/>
      <c r="K233" s="229"/>
      <c r="L233" s="229"/>
      <c r="M233" s="229"/>
      <c r="N233" s="229"/>
      <c r="O233" s="229"/>
      <c r="P233" s="71"/>
      <c r="Q233" s="22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</row>
    <row r="234" spans="1:95" s="92" customFormat="1" ht="39.950000000000003" customHeight="1" x14ac:dyDescent="0.25">
      <c r="A234" s="229"/>
      <c r="B234" s="229"/>
      <c r="C234" s="229"/>
      <c r="D234" s="229"/>
      <c r="E234" s="229"/>
      <c r="F234" s="229"/>
      <c r="G234" s="229"/>
      <c r="H234" s="229"/>
      <c r="I234" s="68"/>
      <c r="J234" s="71"/>
      <c r="K234" s="229"/>
      <c r="L234" s="229"/>
      <c r="M234" s="229"/>
      <c r="N234" s="229"/>
      <c r="O234" s="229"/>
      <c r="P234" s="71"/>
      <c r="Q234" s="22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</row>
    <row r="235" spans="1:95" s="92" customFormat="1" ht="39.950000000000003" customHeight="1" x14ac:dyDescent="0.25">
      <c r="A235" s="229"/>
      <c r="B235" s="229"/>
      <c r="C235" s="229"/>
      <c r="D235" s="229"/>
      <c r="E235" s="229"/>
      <c r="F235" s="229"/>
      <c r="G235" s="229"/>
      <c r="H235" s="229"/>
      <c r="I235" s="68"/>
      <c r="J235" s="71"/>
      <c r="K235" s="229"/>
      <c r="L235" s="229"/>
      <c r="M235" s="229"/>
      <c r="N235" s="229"/>
      <c r="O235" s="229"/>
      <c r="P235" s="71"/>
      <c r="Q235" s="22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</row>
    <row r="236" spans="1:95" s="92" customFormat="1" ht="39.950000000000003" customHeight="1" x14ac:dyDescent="0.25">
      <c r="A236" s="229"/>
      <c r="B236" s="229"/>
      <c r="C236" s="229"/>
      <c r="D236" s="229"/>
      <c r="E236" s="229"/>
      <c r="F236" s="229"/>
      <c r="G236" s="229"/>
      <c r="H236" s="229"/>
      <c r="I236" s="68"/>
      <c r="J236" s="71"/>
      <c r="K236" s="229"/>
      <c r="L236" s="229"/>
      <c r="M236" s="229"/>
      <c r="N236" s="229"/>
      <c r="O236" s="229"/>
      <c r="P236" s="71"/>
      <c r="Q236" s="22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</row>
    <row r="237" spans="1:95" s="92" customFormat="1" ht="39.950000000000003" customHeight="1" x14ac:dyDescent="0.25">
      <c r="A237" s="229"/>
      <c r="B237" s="229"/>
      <c r="C237" s="229"/>
      <c r="D237" s="229"/>
      <c r="E237" s="229"/>
      <c r="F237" s="229"/>
      <c r="G237" s="229"/>
      <c r="H237" s="229"/>
      <c r="I237" s="68"/>
      <c r="J237" s="71"/>
      <c r="K237" s="229"/>
      <c r="L237" s="229"/>
      <c r="M237" s="229"/>
      <c r="N237" s="229"/>
      <c r="O237" s="229"/>
      <c r="P237" s="71"/>
      <c r="Q237" s="22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</row>
    <row r="238" spans="1:95" s="92" customFormat="1" ht="39.950000000000003" customHeight="1" x14ac:dyDescent="0.25">
      <c r="A238" s="229"/>
      <c r="B238" s="229"/>
      <c r="C238" s="229"/>
      <c r="D238" s="229"/>
      <c r="E238" s="229"/>
      <c r="F238" s="229"/>
      <c r="G238" s="229"/>
      <c r="H238" s="229"/>
      <c r="I238" s="68"/>
      <c r="J238" s="71"/>
      <c r="K238" s="229"/>
      <c r="L238" s="229"/>
      <c r="M238" s="229"/>
      <c r="N238" s="229"/>
      <c r="O238" s="229"/>
      <c r="P238" s="71"/>
      <c r="Q238" s="22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</row>
    <row r="239" spans="1:95" s="92" customFormat="1" ht="39.950000000000003" customHeight="1" x14ac:dyDescent="0.25">
      <c r="A239" s="229"/>
      <c r="B239" s="229"/>
      <c r="C239" s="229"/>
      <c r="D239" s="229"/>
      <c r="E239" s="229"/>
      <c r="F239" s="229"/>
      <c r="G239" s="229"/>
      <c r="H239" s="229"/>
      <c r="I239" s="68"/>
      <c r="J239" s="71"/>
      <c r="K239" s="229"/>
      <c r="L239" s="229"/>
      <c r="M239" s="229"/>
      <c r="N239" s="229"/>
      <c r="O239" s="229"/>
      <c r="P239" s="71"/>
      <c r="Q239" s="22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</row>
    <row r="240" spans="1:95" s="92" customFormat="1" ht="39.950000000000003" customHeight="1" x14ac:dyDescent="0.25">
      <c r="A240" s="229"/>
      <c r="B240" s="229"/>
      <c r="C240" s="229"/>
      <c r="D240" s="229"/>
      <c r="E240" s="229"/>
      <c r="F240" s="229"/>
      <c r="G240" s="229"/>
      <c r="H240" s="229"/>
      <c r="I240" s="68"/>
      <c r="J240" s="71"/>
      <c r="K240" s="229"/>
      <c r="L240" s="229"/>
      <c r="M240" s="229"/>
      <c r="N240" s="229"/>
      <c r="O240" s="229"/>
      <c r="P240" s="71"/>
      <c r="Q240" s="22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</row>
    <row r="241" spans="1:95" s="92" customFormat="1" ht="39.950000000000003" customHeight="1" x14ac:dyDescent="0.25">
      <c r="A241" s="229"/>
      <c r="B241" s="229"/>
      <c r="C241" s="229"/>
      <c r="D241" s="229"/>
      <c r="E241" s="229"/>
      <c r="F241" s="229"/>
      <c r="G241" s="229"/>
      <c r="H241" s="229"/>
      <c r="I241" s="68"/>
      <c r="J241" s="71"/>
      <c r="K241" s="229"/>
      <c r="L241" s="229"/>
      <c r="M241" s="229"/>
      <c r="N241" s="229"/>
      <c r="O241" s="229"/>
      <c r="P241" s="71"/>
      <c r="Q241" s="22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</row>
    <row r="242" spans="1:95" s="92" customFormat="1" ht="39.950000000000003" customHeight="1" x14ac:dyDescent="0.25">
      <c r="A242" s="229"/>
      <c r="B242" s="229"/>
      <c r="C242" s="229"/>
      <c r="D242" s="229"/>
      <c r="E242" s="229"/>
      <c r="F242" s="229"/>
      <c r="G242" s="229"/>
      <c r="H242" s="229"/>
      <c r="I242" s="68"/>
      <c r="J242" s="71"/>
      <c r="K242" s="229"/>
      <c r="L242" s="229"/>
      <c r="M242" s="229"/>
      <c r="N242" s="229"/>
      <c r="O242" s="229"/>
      <c r="P242" s="71"/>
      <c r="Q242" s="22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</row>
    <row r="243" spans="1:95" s="92" customFormat="1" ht="39.950000000000003" customHeight="1" x14ac:dyDescent="0.25">
      <c r="A243" s="229"/>
      <c r="B243" s="229"/>
      <c r="C243" s="229"/>
      <c r="D243" s="229"/>
      <c r="E243" s="229"/>
      <c r="F243" s="229"/>
      <c r="G243" s="229"/>
      <c r="H243" s="229"/>
      <c r="I243" s="68"/>
      <c r="J243" s="71"/>
      <c r="K243" s="229"/>
      <c r="L243" s="229"/>
      <c r="M243" s="229"/>
      <c r="N243" s="229"/>
      <c r="O243" s="229"/>
      <c r="P243" s="71"/>
      <c r="Q243" s="22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</row>
    <row r="244" spans="1:95" s="92" customFormat="1" ht="39.950000000000003" customHeight="1" x14ac:dyDescent="0.25">
      <c r="A244" s="229"/>
      <c r="B244" s="229"/>
      <c r="C244" s="229"/>
      <c r="D244" s="229"/>
      <c r="E244" s="229"/>
      <c r="F244" s="229"/>
      <c r="G244" s="229"/>
      <c r="H244" s="229"/>
      <c r="I244" s="68"/>
      <c r="J244" s="71"/>
      <c r="K244" s="229"/>
      <c r="L244" s="229"/>
      <c r="M244" s="229"/>
      <c r="N244" s="229"/>
      <c r="O244" s="229"/>
      <c r="P244" s="71"/>
      <c r="Q244" s="22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</row>
    <row r="245" spans="1:95" s="92" customFormat="1" ht="39.950000000000003" customHeight="1" x14ac:dyDescent="0.25">
      <c r="A245" s="229"/>
      <c r="B245" s="229"/>
      <c r="C245" s="229"/>
      <c r="D245" s="229"/>
      <c r="E245" s="229"/>
      <c r="F245" s="229"/>
      <c r="G245" s="229"/>
      <c r="H245" s="229"/>
      <c r="I245" s="68"/>
      <c r="J245" s="71"/>
      <c r="K245" s="229"/>
      <c r="L245" s="229"/>
      <c r="M245" s="229"/>
      <c r="N245" s="229"/>
      <c r="O245" s="229"/>
      <c r="P245" s="71"/>
      <c r="Q245" s="22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</row>
    <row r="246" spans="1:95" s="92" customFormat="1" ht="39.950000000000003" customHeight="1" x14ac:dyDescent="0.25">
      <c r="A246" s="229"/>
      <c r="B246" s="229"/>
      <c r="C246" s="229"/>
      <c r="D246" s="229"/>
      <c r="E246" s="229"/>
      <c r="F246" s="229"/>
      <c r="G246" s="229"/>
      <c r="H246" s="229"/>
      <c r="I246" s="68"/>
      <c r="J246" s="71"/>
      <c r="K246" s="229"/>
      <c r="L246" s="229"/>
      <c r="M246" s="229"/>
      <c r="N246" s="229"/>
      <c r="O246" s="229"/>
      <c r="P246" s="71"/>
      <c r="Q246" s="22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</row>
    <row r="247" spans="1:95" s="92" customFormat="1" ht="39.950000000000003" customHeight="1" x14ac:dyDescent="0.25">
      <c r="A247" s="229"/>
      <c r="B247" s="229"/>
      <c r="C247" s="229"/>
      <c r="D247" s="229"/>
      <c r="E247" s="229"/>
      <c r="F247" s="229"/>
      <c r="G247" s="229"/>
      <c r="H247" s="229"/>
      <c r="I247" s="68"/>
      <c r="J247" s="71"/>
      <c r="K247" s="229"/>
      <c r="L247" s="229"/>
      <c r="M247" s="229"/>
      <c r="N247" s="229"/>
      <c r="O247" s="229"/>
      <c r="P247" s="71"/>
      <c r="Q247" s="22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</row>
    <row r="248" spans="1:95" s="92" customFormat="1" ht="39.950000000000003" customHeight="1" x14ac:dyDescent="0.25">
      <c r="A248" s="229"/>
      <c r="B248" s="229"/>
      <c r="C248" s="229"/>
      <c r="D248" s="229"/>
      <c r="E248" s="229"/>
      <c r="F248" s="229"/>
      <c r="G248" s="229"/>
      <c r="H248" s="229"/>
      <c r="I248" s="68"/>
      <c r="J248" s="71"/>
      <c r="K248" s="229"/>
      <c r="L248" s="229"/>
      <c r="M248" s="229"/>
      <c r="N248" s="229"/>
      <c r="O248" s="229"/>
      <c r="P248" s="71"/>
      <c r="Q248" s="22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</row>
    <row r="249" spans="1:95" s="92" customFormat="1" ht="39.950000000000003" customHeight="1" x14ac:dyDescent="0.25">
      <c r="A249" s="229"/>
      <c r="B249" s="229"/>
      <c r="C249" s="229"/>
      <c r="D249" s="229"/>
      <c r="E249" s="229"/>
      <c r="F249" s="229"/>
      <c r="G249" s="229"/>
      <c r="H249" s="229"/>
      <c r="I249" s="68"/>
      <c r="J249" s="71"/>
      <c r="K249" s="229"/>
      <c r="L249" s="229"/>
      <c r="M249" s="229"/>
      <c r="N249" s="229"/>
      <c r="O249" s="229"/>
      <c r="P249" s="71"/>
      <c r="Q249" s="22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</row>
    <row r="250" spans="1:95" s="92" customFormat="1" ht="39.950000000000003" customHeight="1" x14ac:dyDescent="0.25">
      <c r="A250" s="229"/>
      <c r="B250" s="229"/>
      <c r="C250" s="229"/>
      <c r="D250" s="229"/>
      <c r="E250" s="229"/>
      <c r="F250" s="229"/>
      <c r="G250" s="229"/>
      <c r="H250" s="229"/>
      <c r="I250" s="68"/>
      <c r="J250" s="71"/>
      <c r="K250" s="229"/>
      <c r="L250" s="229"/>
      <c r="M250" s="229"/>
      <c r="N250" s="229"/>
      <c r="O250" s="229"/>
      <c r="P250" s="71"/>
      <c r="Q250" s="22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</row>
    <row r="251" spans="1:95" s="92" customFormat="1" ht="39.950000000000003" customHeight="1" x14ac:dyDescent="0.25">
      <c r="A251" s="229"/>
      <c r="B251" s="229"/>
      <c r="C251" s="229"/>
      <c r="D251" s="229"/>
      <c r="E251" s="229"/>
      <c r="F251" s="229"/>
      <c r="G251" s="229"/>
      <c r="H251" s="229"/>
      <c r="I251" s="68"/>
      <c r="J251" s="71"/>
      <c r="K251" s="229"/>
      <c r="L251" s="229"/>
      <c r="M251" s="229"/>
      <c r="N251" s="229"/>
      <c r="O251" s="229"/>
      <c r="P251" s="71"/>
      <c r="Q251" s="22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</row>
    <row r="252" spans="1:95" s="92" customFormat="1" ht="39.950000000000003" customHeight="1" x14ac:dyDescent="0.25">
      <c r="A252" s="229"/>
      <c r="B252" s="229"/>
      <c r="C252" s="229"/>
      <c r="D252" s="229"/>
      <c r="E252" s="229"/>
      <c r="F252" s="229"/>
      <c r="G252" s="229"/>
      <c r="H252" s="229"/>
      <c r="I252" s="68"/>
      <c r="J252" s="71"/>
      <c r="K252" s="229"/>
      <c r="L252" s="229"/>
      <c r="M252" s="229"/>
      <c r="N252" s="229"/>
      <c r="O252" s="229"/>
      <c r="P252" s="71"/>
      <c r="Q252" s="22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</row>
    <row r="253" spans="1:95" s="92" customFormat="1" ht="39.950000000000003" customHeight="1" x14ac:dyDescent="0.25">
      <c r="A253" s="229"/>
      <c r="B253" s="229"/>
      <c r="C253" s="229"/>
      <c r="D253" s="229"/>
      <c r="E253" s="229"/>
      <c r="F253" s="229"/>
      <c r="G253" s="229"/>
      <c r="H253" s="229"/>
      <c r="I253" s="68"/>
      <c r="J253" s="71"/>
      <c r="K253" s="229"/>
      <c r="L253" s="229"/>
      <c r="M253" s="229"/>
      <c r="N253" s="229"/>
      <c r="O253" s="229"/>
      <c r="P253" s="71"/>
      <c r="Q253" s="22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</row>
    <row r="254" spans="1:95" s="92" customFormat="1" ht="39.950000000000003" customHeight="1" x14ac:dyDescent="0.25">
      <c r="A254" s="229"/>
      <c r="B254" s="229"/>
      <c r="C254" s="229"/>
      <c r="D254" s="229"/>
      <c r="E254" s="229"/>
      <c r="F254" s="229"/>
      <c r="G254" s="229"/>
      <c r="H254" s="229"/>
      <c r="I254" s="68"/>
      <c r="J254" s="71"/>
      <c r="K254" s="229"/>
      <c r="L254" s="229"/>
      <c r="M254" s="229"/>
      <c r="N254" s="229"/>
      <c r="O254" s="229"/>
      <c r="P254" s="71"/>
      <c r="Q254" s="22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</row>
    <row r="255" spans="1:95" s="92" customFormat="1" ht="39.950000000000003" customHeight="1" x14ac:dyDescent="0.25">
      <c r="A255" s="229"/>
      <c r="B255" s="229"/>
      <c r="C255" s="229"/>
      <c r="D255" s="229"/>
      <c r="E255" s="229"/>
      <c r="F255" s="229"/>
      <c r="G255" s="229"/>
      <c r="H255" s="229"/>
      <c r="I255" s="68"/>
      <c r="J255" s="71"/>
      <c r="K255" s="229"/>
      <c r="L255" s="229"/>
      <c r="M255" s="229"/>
      <c r="N255" s="229"/>
      <c r="O255" s="229"/>
      <c r="P255" s="71"/>
      <c r="Q255" s="22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</row>
    <row r="256" spans="1:95" s="92" customFormat="1" ht="39.950000000000003" customHeight="1" x14ac:dyDescent="0.25">
      <c r="A256" s="229"/>
      <c r="B256" s="229"/>
      <c r="C256" s="229"/>
      <c r="D256" s="229"/>
      <c r="E256" s="229"/>
      <c r="F256" s="229"/>
      <c r="G256" s="229"/>
      <c r="H256" s="229"/>
      <c r="I256" s="68"/>
      <c r="J256" s="71"/>
      <c r="K256" s="229"/>
      <c r="L256" s="229"/>
      <c r="M256" s="229"/>
      <c r="N256" s="229"/>
      <c r="O256" s="229"/>
      <c r="P256" s="71"/>
      <c r="Q256" s="22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</row>
    <row r="257" spans="1:95" s="92" customFormat="1" ht="39.950000000000003" customHeight="1" x14ac:dyDescent="0.25">
      <c r="A257" s="229"/>
      <c r="B257" s="229"/>
      <c r="C257" s="229"/>
      <c r="D257" s="229"/>
      <c r="E257" s="229"/>
      <c r="F257" s="229"/>
      <c r="G257" s="229"/>
      <c r="H257" s="229"/>
      <c r="I257" s="68"/>
      <c r="J257" s="71"/>
      <c r="K257" s="229"/>
      <c r="L257" s="229"/>
      <c r="M257" s="229"/>
      <c r="N257" s="229"/>
      <c r="O257" s="229"/>
      <c r="P257" s="71"/>
      <c r="Q257" s="22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</row>
    <row r="258" spans="1:95" s="92" customFormat="1" ht="39.950000000000003" customHeight="1" x14ac:dyDescent="0.25">
      <c r="A258" s="229"/>
      <c r="B258" s="229"/>
      <c r="C258" s="229"/>
      <c r="D258" s="229"/>
      <c r="E258" s="229"/>
      <c r="F258" s="229"/>
      <c r="G258" s="229"/>
      <c r="H258" s="229"/>
      <c r="I258" s="68"/>
      <c r="J258" s="71"/>
      <c r="K258" s="229"/>
      <c r="L258" s="229"/>
      <c r="M258" s="229"/>
      <c r="N258" s="229"/>
      <c r="O258" s="229"/>
      <c r="P258" s="71"/>
      <c r="Q258" s="22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</row>
    <row r="259" spans="1:95" s="92" customFormat="1" ht="39.950000000000003" customHeight="1" x14ac:dyDescent="0.25">
      <c r="A259" s="229"/>
      <c r="B259" s="229"/>
      <c r="C259" s="229"/>
      <c r="D259" s="229"/>
      <c r="E259" s="229"/>
      <c r="F259" s="229"/>
      <c r="G259" s="229"/>
      <c r="H259" s="229"/>
      <c r="I259" s="68"/>
      <c r="J259" s="71"/>
      <c r="K259" s="229"/>
      <c r="L259" s="229"/>
      <c r="M259" s="229"/>
      <c r="N259" s="229"/>
      <c r="O259" s="229"/>
      <c r="P259" s="71"/>
      <c r="Q259" s="22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</row>
    <row r="260" spans="1:95" s="92" customFormat="1" ht="39.950000000000003" customHeight="1" x14ac:dyDescent="0.25">
      <c r="A260" s="229"/>
      <c r="B260" s="229"/>
      <c r="C260" s="229"/>
      <c r="D260" s="229"/>
      <c r="E260" s="229"/>
      <c r="F260" s="229"/>
      <c r="G260" s="229"/>
      <c r="H260" s="229"/>
      <c r="I260" s="68"/>
      <c r="J260" s="71"/>
      <c r="K260" s="229"/>
      <c r="L260" s="229"/>
      <c r="M260" s="229"/>
      <c r="N260" s="229"/>
      <c r="O260" s="229"/>
      <c r="P260" s="71"/>
      <c r="Q260" s="22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</row>
    <row r="261" spans="1:95" s="92" customFormat="1" ht="39.950000000000003" customHeight="1" x14ac:dyDescent="0.25">
      <c r="A261" s="229"/>
      <c r="B261" s="229"/>
      <c r="C261" s="229"/>
      <c r="D261" s="229"/>
      <c r="E261" s="229"/>
      <c r="F261" s="229"/>
      <c r="G261" s="229"/>
      <c r="H261" s="229"/>
      <c r="I261" s="68"/>
      <c r="J261" s="71"/>
      <c r="K261" s="229"/>
      <c r="L261" s="229"/>
      <c r="M261" s="229"/>
      <c r="N261" s="229"/>
      <c r="O261" s="229"/>
      <c r="P261" s="71"/>
      <c r="Q261" s="22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</row>
    <row r="262" spans="1:95" s="92" customFormat="1" ht="39.950000000000003" customHeight="1" x14ac:dyDescent="0.25">
      <c r="A262" s="229"/>
      <c r="B262" s="229"/>
      <c r="C262" s="229"/>
      <c r="D262" s="229"/>
      <c r="E262" s="229"/>
      <c r="F262" s="229"/>
      <c r="G262" s="229"/>
      <c r="H262" s="229"/>
      <c r="I262" s="68"/>
      <c r="J262" s="71"/>
      <c r="K262" s="229"/>
      <c r="L262" s="229"/>
      <c r="M262" s="229"/>
      <c r="N262" s="229"/>
      <c r="O262" s="229"/>
      <c r="P262" s="71"/>
      <c r="Q262" s="22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</row>
    <row r="263" spans="1:95" s="92" customFormat="1" ht="39.950000000000003" customHeight="1" x14ac:dyDescent="0.25">
      <c r="A263" s="229"/>
      <c r="B263" s="229"/>
      <c r="C263" s="229"/>
      <c r="D263" s="229"/>
      <c r="E263" s="229"/>
      <c r="F263" s="229"/>
      <c r="G263" s="229"/>
      <c r="H263" s="229"/>
      <c r="I263" s="68"/>
      <c r="J263" s="71"/>
      <c r="K263" s="229"/>
      <c r="L263" s="229"/>
      <c r="M263" s="229"/>
      <c r="N263" s="229"/>
      <c r="O263" s="229"/>
      <c r="P263" s="71"/>
      <c r="Q263" s="22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</row>
    <row r="264" spans="1:95" s="92" customFormat="1" ht="39.950000000000003" customHeight="1" x14ac:dyDescent="0.25">
      <c r="A264" s="229"/>
      <c r="B264" s="229"/>
      <c r="C264" s="229"/>
      <c r="D264" s="229"/>
      <c r="E264" s="229"/>
      <c r="F264" s="229"/>
      <c r="G264" s="229"/>
      <c r="H264" s="229"/>
      <c r="I264" s="68"/>
      <c r="J264" s="71"/>
      <c r="K264" s="229"/>
      <c r="L264" s="229"/>
      <c r="M264" s="229"/>
      <c r="N264" s="229"/>
      <c r="O264" s="229"/>
      <c r="P264" s="71"/>
      <c r="Q264" s="22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</row>
    <row r="265" spans="1:95" s="92" customFormat="1" ht="39.950000000000003" customHeight="1" x14ac:dyDescent="0.25">
      <c r="A265" s="229"/>
      <c r="B265" s="229"/>
      <c r="C265" s="229"/>
      <c r="D265" s="229"/>
      <c r="E265" s="229"/>
      <c r="F265" s="229"/>
      <c r="G265" s="229"/>
      <c r="H265" s="229"/>
      <c r="I265" s="68"/>
      <c r="J265" s="71"/>
      <c r="K265" s="229"/>
      <c r="L265" s="229"/>
      <c r="M265" s="229"/>
      <c r="N265" s="229"/>
      <c r="O265" s="229"/>
      <c r="P265" s="71"/>
      <c r="Q265" s="22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</row>
    <row r="266" spans="1:95" s="92" customFormat="1" ht="39.950000000000003" customHeight="1" x14ac:dyDescent="0.25">
      <c r="A266" s="229"/>
      <c r="B266" s="229"/>
      <c r="C266" s="229"/>
      <c r="D266" s="229"/>
      <c r="E266" s="229"/>
      <c r="F266" s="229"/>
      <c r="G266" s="229"/>
      <c r="H266" s="229"/>
      <c r="I266" s="68"/>
      <c r="J266" s="71"/>
      <c r="K266" s="229"/>
      <c r="L266" s="229"/>
      <c r="M266" s="229"/>
      <c r="N266" s="229"/>
      <c r="O266" s="229"/>
      <c r="P266" s="71"/>
      <c r="Q266" s="22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</row>
    <row r="267" spans="1:95" s="92" customFormat="1" ht="39.950000000000003" customHeight="1" x14ac:dyDescent="0.25">
      <c r="A267" s="229"/>
      <c r="B267" s="229"/>
      <c r="C267" s="229"/>
      <c r="D267" s="229"/>
      <c r="E267" s="229"/>
      <c r="F267" s="229"/>
      <c r="G267" s="229"/>
      <c r="H267" s="229"/>
      <c r="I267" s="68"/>
      <c r="J267" s="71"/>
      <c r="K267" s="229"/>
      <c r="L267" s="229"/>
      <c r="M267" s="229"/>
      <c r="N267" s="229"/>
      <c r="O267" s="229"/>
      <c r="P267" s="71"/>
      <c r="Q267" s="22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</row>
    <row r="268" spans="1:95" s="92" customFormat="1" ht="39.950000000000003" customHeight="1" x14ac:dyDescent="0.25">
      <c r="A268" s="229"/>
      <c r="B268" s="229"/>
      <c r="C268" s="229"/>
      <c r="D268" s="229"/>
      <c r="E268" s="229"/>
      <c r="F268" s="229"/>
      <c r="G268" s="229"/>
      <c r="H268" s="229"/>
      <c r="I268" s="68"/>
      <c r="J268" s="71"/>
      <c r="K268" s="229"/>
      <c r="L268" s="229"/>
      <c r="M268" s="229"/>
      <c r="N268" s="229"/>
      <c r="O268" s="229"/>
      <c r="P268" s="71"/>
      <c r="Q268" s="22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</row>
    <row r="269" spans="1:95" s="92" customFormat="1" ht="39.950000000000003" customHeight="1" x14ac:dyDescent="0.25">
      <c r="A269" s="229"/>
      <c r="B269" s="229"/>
      <c r="C269" s="229"/>
      <c r="D269" s="229"/>
      <c r="E269" s="229"/>
      <c r="F269" s="229"/>
      <c r="G269" s="229"/>
      <c r="H269" s="229"/>
      <c r="I269" s="68"/>
      <c r="J269" s="71"/>
      <c r="K269" s="229"/>
      <c r="L269" s="229"/>
      <c r="M269" s="229"/>
      <c r="N269" s="229"/>
      <c r="O269" s="229"/>
      <c r="P269" s="71"/>
      <c r="Q269" s="22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</row>
    <row r="270" spans="1:95" s="92" customFormat="1" ht="39.950000000000003" customHeight="1" x14ac:dyDescent="0.25">
      <c r="A270" s="229"/>
      <c r="B270" s="229"/>
      <c r="C270" s="229"/>
      <c r="D270" s="229"/>
      <c r="E270" s="229"/>
      <c r="F270" s="229"/>
      <c r="G270" s="229"/>
      <c r="H270" s="229"/>
      <c r="I270" s="68"/>
      <c r="J270" s="71"/>
      <c r="K270" s="229"/>
      <c r="L270" s="229"/>
      <c r="M270" s="229"/>
      <c r="N270" s="229"/>
      <c r="O270" s="229"/>
      <c r="P270" s="71"/>
      <c r="Q270" s="22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</row>
    <row r="271" spans="1:95" s="92" customFormat="1" ht="39.950000000000003" customHeight="1" x14ac:dyDescent="0.25">
      <c r="A271" s="229"/>
      <c r="B271" s="229"/>
      <c r="C271" s="229"/>
      <c r="D271" s="229"/>
      <c r="E271" s="229"/>
      <c r="F271" s="229"/>
      <c r="G271" s="229"/>
      <c r="H271" s="229"/>
      <c r="I271" s="68"/>
      <c r="J271" s="71"/>
      <c r="K271" s="229"/>
      <c r="L271" s="229"/>
      <c r="M271" s="229"/>
      <c r="N271" s="229"/>
      <c r="O271" s="229"/>
      <c r="P271" s="71"/>
      <c r="Q271" s="22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</row>
    <row r="272" spans="1:95" s="92" customFormat="1" ht="39.950000000000003" customHeight="1" x14ac:dyDescent="0.25">
      <c r="A272" s="229"/>
      <c r="B272" s="229"/>
      <c r="C272" s="229"/>
      <c r="D272" s="229"/>
      <c r="E272" s="229"/>
      <c r="F272" s="229"/>
      <c r="G272" s="229"/>
      <c r="H272" s="229"/>
      <c r="I272" s="68"/>
      <c r="J272" s="71"/>
      <c r="K272" s="229"/>
      <c r="L272" s="229"/>
      <c r="M272" s="229"/>
      <c r="N272" s="229"/>
      <c r="O272" s="229"/>
      <c r="P272" s="71"/>
      <c r="Q272" s="22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</row>
    <row r="273" spans="1:95" s="92" customFormat="1" ht="39.950000000000003" customHeight="1" x14ac:dyDescent="0.25">
      <c r="A273" s="229"/>
      <c r="B273" s="229"/>
      <c r="C273" s="229"/>
      <c r="D273" s="229"/>
      <c r="E273" s="229"/>
      <c r="F273" s="229"/>
      <c r="G273" s="229"/>
      <c r="H273" s="229"/>
      <c r="I273" s="68"/>
      <c r="J273" s="71"/>
      <c r="K273" s="229"/>
      <c r="L273" s="229"/>
      <c r="M273" s="229"/>
      <c r="N273" s="229"/>
      <c r="O273" s="229"/>
      <c r="P273" s="71"/>
      <c r="Q273" s="22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</row>
    <row r="274" spans="1:95" s="92" customFormat="1" ht="39.950000000000003" customHeight="1" x14ac:dyDescent="0.25">
      <c r="A274" s="229"/>
      <c r="B274" s="229"/>
      <c r="C274" s="229"/>
      <c r="D274" s="229"/>
      <c r="E274" s="229"/>
      <c r="F274" s="229"/>
      <c r="G274" s="229"/>
      <c r="H274" s="229"/>
      <c r="I274" s="68"/>
      <c r="J274" s="71"/>
      <c r="K274" s="229"/>
      <c r="L274" s="229"/>
      <c r="M274" s="229"/>
      <c r="N274" s="229"/>
      <c r="O274" s="229"/>
      <c r="P274" s="71"/>
      <c r="Q274" s="22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</row>
    <row r="275" spans="1:95" s="92" customFormat="1" ht="39.950000000000003" customHeight="1" x14ac:dyDescent="0.25">
      <c r="A275" s="229"/>
      <c r="B275" s="229"/>
      <c r="C275" s="229"/>
      <c r="D275" s="229"/>
      <c r="E275" s="229"/>
      <c r="F275" s="229"/>
      <c r="G275" s="229"/>
      <c r="H275" s="229"/>
      <c r="I275" s="68"/>
      <c r="J275" s="71"/>
      <c r="K275" s="229"/>
      <c r="L275" s="229"/>
      <c r="M275" s="229"/>
      <c r="N275" s="229"/>
      <c r="O275" s="229"/>
      <c r="P275" s="71"/>
      <c r="Q275" s="22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</row>
    <row r="276" spans="1:95" s="92" customFormat="1" ht="39.950000000000003" customHeight="1" x14ac:dyDescent="0.25">
      <c r="A276" s="229"/>
      <c r="B276" s="229"/>
      <c r="C276" s="229"/>
      <c r="D276" s="229"/>
      <c r="E276" s="229"/>
      <c r="F276" s="229"/>
      <c r="G276" s="229"/>
      <c r="H276" s="229"/>
      <c r="I276" s="68"/>
      <c r="J276" s="71"/>
      <c r="K276" s="229"/>
      <c r="L276" s="229"/>
      <c r="M276" s="229"/>
      <c r="N276" s="229"/>
      <c r="O276" s="229"/>
      <c r="P276" s="71"/>
      <c r="Q276" s="22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</row>
    <row r="277" spans="1:95" s="92" customFormat="1" ht="39.950000000000003" customHeight="1" x14ac:dyDescent="0.25">
      <c r="A277" s="229"/>
      <c r="B277" s="229"/>
      <c r="C277" s="229"/>
      <c r="D277" s="229"/>
      <c r="E277" s="229"/>
      <c r="F277" s="229"/>
      <c r="G277" s="229"/>
      <c r="H277" s="229"/>
      <c r="I277" s="68"/>
      <c r="J277" s="71"/>
      <c r="K277" s="229"/>
      <c r="L277" s="229"/>
      <c r="M277" s="229"/>
      <c r="N277" s="229"/>
      <c r="O277" s="229"/>
      <c r="P277" s="71"/>
      <c r="Q277" s="22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</row>
    <row r="278" spans="1:95" s="92" customFormat="1" ht="39.950000000000003" customHeight="1" x14ac:dyDescent="0.25">
      <c r="A278" s="229"/>
      <c r="B278" s="229"/>
      <c r="C278" s="229"/>
      <c r="D278" s="229"/>
      <c r="E278" s="229"/>
      <c r="F278" s="229"/>
      <c r="G278" s="229"/>
      <c r="H278" s="229"/>
      <c r="I278" s="68"/>
      <c r="J278" s="71"/>
      <c r="K278" s="229"/>
      <c r="L278" s="229"/>
      <c r="M278" s="229"/>
      <c r="N278" s="229"/>
      <c r="O278" s="229"/>
      <c r="P278" s="71"/>
      <c r="Q278" s="22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</row>
    <row r="279" spans="1:95" s="92" customFormat="1" ht="39.950000000000003" customHeight="1" x14ac:dyDescent="0.25">
      <c r="A279" s="229"/>
      <c r="B279" s="229"/>
      <c r="C279" s="229"/>
      <c r="D279" s="229"/>
      <c r="E279" s="229"/>
      <c r="F279" s="229"/>
      <c r="G279" s="229"/>
      <c r="H279" s="229"/>
      <c r="I279" s="68"/>
      <c r="J279" s="71"/>
      <c r="K279" s="229"/>
      <c r="L279" s="229"/>
      <c r="M279" s="229"/>
      <c r="N279" s="229"/>
      <c r="O279" s="229"/>
      <c r="P279" s="71"/>
      <c r="Q279" s="22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</row>
    <row r="280" spans="1:95" s="92" customFormat="1" ht="39.950000000000003" customHeight="1" x14ac:dyDescent="0.25">
      <c r="A280" s="229"/>
      <c r="B280" s="229"/>
      <c r="C280" s="229"/>
      <c r="D280" s="229"/>
      <c r="E280" s="229"/>
      <c r="F280" s="229"/>
      <c r="G280" s="229"/>
      <c r="H280" s="229"/>
      <c r="I280" s="68"/>
      <c r="J280" s="71"/>
      <c r="K280" s="229"/>
      <c r="L280" s="229"/>
      <c r="M280" s="229"/>
      <c r="N280" s="229"/>
      <c r="O280" s="229"/>
      <c r="P280" s="71"/>
      <c r="Q280" s="22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</row>
    <row r="281" spans="1:95" s="92" customFormat="1" ht="39.950000000000003" customHeight="1" x14ac:dyDescent="0.25">
      <c r="A281" s="229"/>
      <c r="B281" s="229"/>
      <c r="C281" s="229"/>
      <c r="D281" s="229"/>
      <c r="E281" s="229"/>
      <c r="F281" s="229"/>
      <c r="G281" s="229"/>
      <c r="H281" s="229"/>
      <c r="I281" s="68"/>
      <c r="J281" s="71"/>
      <c r="K281" s="229"/>
      <c r="L281" s="229"/>
      <c r="M281" s="229"/>
      <c r="N281" s="229"/>
      <c r="O281" s="229"/>
      <c r="P281" s="71"/>
      <c r="Q281" s="22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</row>
    <row r="282" spans="1:95" s="92" customFormat="1" ht="39.950000000000003" customHeight="1" x14ac:dyDescent="0.25">
      <c r="A282" s="229"/>
      <c r="B282" s="229"/>
      <c r="C282" s="229"/>
      <c r="D282" s="229"/>
      <c r="E282" s="229"/>
      <c r="F282" s="229"/>
      <c r="G282" s="229"/>
      <c r="H282" s="229"/>
      <c r="I282" s="68"/>
      <c r="J282" s="71"/>
      <c r="K282" s="229"/>
      <c r="L282" s="229"/>
      <c r="M282" s="229"/>
      <c r="N282" s="229"/>
      <c r="O282" s="229"/>
      <c r="P282" s="71"/>
      <c r="Q282" s="22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</row>
    <row r="283" spans="1:95" s="92" customFormat="1" ht="39.950000000000003" customHeight="1" x14ac:dyDescent="0.25">
      <c r="A283" s="229"/>
      <c r="B283" s="229"/>
      <c r="C283" s="229"/>
      <c r="D283" s="229"/>
      <c r="E283" s="229"/>
      <c r="F283" s="229"/>
      <c r="G283" s="229"/>
      <c r="H283" s="229"/>
      <c r="I283" s="68"/>
      <c r="J283" s="71"/>
      <c r="K283" s="229"/>
      <c r="L283" s="229"/>
      <c r="M283" s="229"/>
      <c r="N283" s="229"/>
      <c r="O283" s="229"/>
      <c r="P283" s="71"/>
      <c r="Q283" s="22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</row>
    <row r="284" spans="1:95" s="92" customFormat="1" ht="39.950000000000003" customHeight="1" x14ac:dyDescent="0.25">
      <c r="A284" s="229"/>
      <c r="B284" s="229"/>
      <c r="C284" s="229"/>
      <c r="D284" s="229"/>
      <c r="E284" s="229"/>
      <c r="F284" s="229"/>
      <c r="G284" s="229"/>
      <c r="H284" s="229"/>
      <c r="I284" s="68"/>
      <c r="J284" s="71"/>
      <c r="K284" s="229"/>
      <c r="L284" s="229"/>
      <c r="M284" s="229"/>
      <c r="N284" s="229"/>
      <c r="O284" s="229"/>
      <c r="P284" s="71"/>
      <c r="Q284" s="22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</row>
    <row r="285" spans="1:95" s="92" customFormat="1" ht="39.950000000000003" customHeight="1" x14ac:dyDescent="0.25">
      <c r="A285" s="229"/>
      <c r="B285" s="229"/>
      <c r="C285" s="229"/>
      <c r="D285" s="229"/>
      <c r="E285" s="229"/>
      <c r="F285" s="229"/>
      <c r="G285" s="229"/>
      <c r="H285" s="229"/>
      <c r="I285" s="68"/>
      <c r="J285" s="71"/>
      <c r="K285" s="229"/>
      <c r="L285" s="229"/>
      <c r="M285" s="229"/>
      <c r="N285" s="229"/>
      <c r="O285" s="229"/>
      <c r="P285" s="71"/>
      <c r="Q285" s="22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</row>
    <row r="286" spans="1:95" s="92" customFormat="1" ht="39.950000000000003" customHeight="1" x14ac:dyDescent="0.25">
      <c r="A286" s="229"/>
      <c r="B286" s="229"/>
      <c r="C286" s="229"/>
      <c r="D286" s="229"/>
      <c r="E286" s="229"/>
      <c r="F286" s="229"/>
      <c r="G286" s="229"/>
      <c r="H286" s="229"/>
      <c r="I286" s="68"/>
      <c r="J286" s="71"/>
      <c r="K286" s="229"/>
      <c r="L286" s="229"/>
      <c r="M286" s="229"/>
      <c r="N286" s="229"/>
      <c r="O286" s="229"/>
      <c r="P286" s="71"/>
      <c r="Q286" s="22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</row>
    <row r="287" spans="1:95" s="92" customFormat="1" ht="39.950000000000003" customHeight="1" x14ac:dyDescent="0.25">
      <c r="A287" s="229"/>
      <c r="B287" s="229"/>
      <c r="C287" s="229"/>
      <c r="D287" s="229"/>
      <c r="E287" s="229"/>
      <c r="F287" s="229"/>
      <c r="G287" s="229"/>
      <c r="H287" s="229"/>
      <c r="I287" s="68"/>
      <c r="J287" s="71"/>
      <c r="K287" s="229"/>
      <c r="L287" s="229"/>
      <c r="M287" s="229"/>
      <c r="N287" s="229"/>
      <c r="O287" s="229"/>
      <c r="P287" s="71"/>
      <c r="Q287" s="22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</row>
    <row r="288" spans="1:95" s="92" customFormat="1" ht="39.950000000000003" customHeight="1" x14ac:dyDescent="0.25">
      <c r="A288" s="229"/>
      <c r="B288" s="229"/>
      <c r="C288" s="229"/>
      <c r="D288" s="229"/>
      <c r="E288" s="229"/>
      <c r="F288" s="229"/>
      <c r="G288" s="229"/>
      <c r="H288" s="229"/>
      <c r="I288" s="68"/>
      <c r="J288" s="71"/>
      <c r="K288" s="229"/>
      <c r="L288" s="229"/>
      <c r="M288" s="229"/>
      <c r="N288" s="229"/>
      <c r="O288" s="229"/>
      <c r="P288" s="71"/>
      <c r="Q288" s="22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</row>
    <row r="289" spans="1:95" s="92" customFormat="1" ht="39.950000000000003" customHeight="1" x14ac:dyDescent="0.25">
      <c r="A289" s="229"/>
      <c r="B289" s="229"/>
      <c r="C289" s="229"/>
      <c r="D289" s="229"/>
      <c r="E289" s="229"/>
      <c r="F289" s="229"/>
      <c r="G289" s="229"/>
      <c r="H289" s="229"/>
      <c r="I289" s="68"/>
      <c r="J289" s="71"/>
      <c r="K289" s="229"/>
      <c r="L289" s="229"/>
      <c r="M289" s="229"/>
      <c r="N289" s="229"/>
      <c r="O289" s="229"/>
      <c r="P289" s="71"/>
      <c r="Q289" s="22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</row>
    <row r="290" spans="1:95" s="92" customFormat="1" ht="39.950000000000003" customHeight="1" x14ac:dyDescent="0.25">
      <c r="A290" s="229"/>
      <c r="B290" s="229"/>
      <c r="C290" s="229"/>
      <c r="D290" s="229"/>
      <c r="E290" s="229"/>
      <c r="F290" s="229"/>
      <c r="G290" s="229"/>
      <c r="H290" s="229"/>
      <c r="I290" s="68"/>
      <c r="J290" s="71"/>
      <c r="K290" s="229"/>
      <c r="L290" s="229"/>
      <c r="M290" s="229"/>
      <c r="N290" s="229"/>
      <c r="O290" s="229"/>
      <c r="P290" s="71"/>
      <c r="Q290" s="22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</row>
    <row r="291" spans="1:95" s="92" customFormat="1" ht="39.950000000000003" customHeight="1" x14ac:dyDescent="0.25">
      <c r="A291" s="229"/>
      <c r="B291" s="229"/>
      <c r="C291" s="229"/>
      <c r="D291" s="229"/>
      <c r="E291" s="229"/>
      <c r="F291" s="229"/>
      <c r="G291" s="229"/>
      <c r="H291" s="229"/>
      <c r="I291" s="68"/>
      <c r="J291" s="71"/>
      <c r="K291" s="229"/>
      <c r="L291" s="229"/>
      <c r="M291" s="229"/>
      <c r="N291" s="229"/>
      <c r="O291" s="229"/>
      <c r="P291" s="71"/>
      <c r="Q291" s="22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</row>
    <row r="292" spans="1:95" s="92" customFormat="1" ht="39.950000000000003" customHeight="1" x14ac:dyDescent="0.25">
      <c r="A292" s="229"/>
      <c r="B292" s="229"/>
      <c r="C292" s="229"/>
      <c r="D292" s="229"/>
      <c r="E292" s="229"/>
      <c r="F292" s="229"/>
      <c r="G292" s="229"/>
      <c r="H292" s="229"/>
      <c r="I292" s="68"/>
      <c r="J292" s="71"/>
      <c r="K292" s="229"/>
      <c r="L292" s="229"/>
      <c r="M292" s="229"/>
      <c r="N292" s="229"/>
      <c r="O292" s="229"/>
      <c r="P292" s="71"/>
      <c r="Q292" s="22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</row>
    <row r="293" spans="1:95" s="92" customFormat="1" ht="39.950000000000003" customHeight="1" x14ac:dyDescent="0.25">
      <c r="A293" s="229"/>
      <c r="B293" s="229"/>
      <c r="C293" s="229"/>
      <c r="D293" s="229"/>
      <c r="E293" s="229"/>
      <c r="F293" s="229"/>
      <c r="G293" s="229"/>
      <c r="H293" s="229"/>
      <c r="I293" s="68"/>
      <c r="J293" s="71"/>
      <c r="K293" s="229"/>
      <c r="L293" s="229"/>
      <c r="M293" s="229"/>
      <c r="N293" s="229"/>
      <c r="O293" s="229"/>
      <c r="P293" s="71"/>
      <c r="Q293" s="22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</row>
    <row r="294" spans="1:95" s="92" customFormat="1" ht="39.950000000000003" customHeight="1" x14ac:dyDescent="0.25">
      <c r="A294" s="229"/>
      <c r="B294" s="229"/>
      <c r="C294" s="229"/>
      <c r="D294" s="229"/>
      <c r="E294" s="229"/>
      <c r="F294" s="229"/>
      <c r="G294" s="229"/>
      <c r="H294" s="229"/>
      <c r="I294" s="68"/>
      <c r="J294" s="71"/>
      <c r="K294" s="229"/>
      <c r="L294" s="229"/>
      <c r="M294" s="229"/>
      <c r="N294" s="229"/>
      <c r="O294" s="229"/>
      <c r="P294" s="71"/>
      <c r="Q294" s="22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</row>
    <row r="295" spans="1:95" s="92" customFormat="1" ht="39.950000000000003" customHeight="1" x14ac:dyDescent="0.25">
      <c r="A295" s="229"/>
      <c r="B295" s="229"/>
      <c r="C295" s="229"/>
      <c r="D295" s="229"/>
      <c r="E295" s="229"/>
      <c r="F295" s="229"/>
      <c r="G295" s="229"/>
      <c r="H295" s="229"/>
      <c r="I295" s="68"/>
      <c r="J295" s="71"/>
      <c r="K295" s="229"/>
      <c r="L295" s="229"/>
      <c r="M295" s="229"/>
      <c r="N295" s="229"/>
      <c r="O295" s="229"/>
      <c r="P295" s="71"/>
      <c r="Q295" s="22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</row>
    <row r="296" spans="1:95" s="92" customFormat="1" ht="39.950000000000003" customHeight="1" x14ac:dyDescent="0.25">
      <c r="A296" s="229"/>
      <c r="B296" s="229"/>
      <c r="C296" s="229"/>
      <c r="D296" s="229"/>
      <c r="E296" s="229"/>
      <c r="F296" s="229"/>
      <c r="G296" s="229"/>
      <c r="H296" s="229"/>
      <c r="I296" s="68"/>
      <c r="J296" s="71"/>
      <c r="K296" s="229"/>
      <c r="L296" s="229"/>
      <c r="M296" s="229"/>
      <c r="N296" s="229"/>
      <c r="O296" s="229"/>
      <c r="P296" s="71"/>
      <c r="Q296" s="22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</row>
    <row r="297" spans="1:95" s="92" customFormat="1" ht="39.950000000000003" customHeight="1" x14ac:dyDescent="0.25">
      <c r="A297" s="229"/>
      <c r="B297" s="229"/>
      <c r="C297" s="229"/>
      <c r="D297" s="229"/>
      <c r="E297" s="229"/>
      <c r="F297" s="229"/>
      <c r="G297" s="229"/>
      <c r="H297" s="229"/>
      <c r="I297" s="68"/>
      <c r="J297" s="71"/>
      <c r="K297" s="229"/>
      <c r="L297" s="229"/>
      <c r="M297" s="229"/>
      <c r="N297" s="229"/>
      <c r="O297" s="229"/>
      <c r="P297" s="71"/>
      <c r="Q297" s="22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</row>
    <row r="298" spans="1:95" s="92" customFormat="1" ht="39.950000000000003" customHeight="1" x14ac:dyDescent="0.25">
      <c r="A298" s="229"/>
      <c r="B298" s="229"/>
      <c r="C298" s="229"/>
      <c r="D298" s="229"/>
      <c r="E298" s="229"/>
      <c r="F298" s="229"/>
      <c r="G298" s="229"/>
      <c r="H298" s="229"/>
      <c r="I298" s="68"/>
      <c r="J298" s="71"/>
      <c r="K298" s="229"/>
      <c r="L298" s="229"/>
      <c r="M298" s="229"/>
      <c r="N298" s="229"/>
      <c r="O298" s="229"/>
      <c r="P298" s="71"/>
      <c r="Q298" s="22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</row>
    <row r="299" spans="1:95" s="92" customFormat="1" ht="39.950000000000003" customHeight="1" x14ac:dyDescent="0.25">
      <c r="A299" s="229"/>
      <c r="B299" s="229"/>
      <c r="C299" s="229"/>
      <c r="D299" s="229"/>
      <c r="E299" s="229"/>
      <c r="F299" s="229"/>
      <c r="G299" s="229"/>
      <c r="H299" s="229"/>
      <c r="I299" s="68"/>
      <c r="J299" s="71"/>
      <c r="K299" s="229"/>
      <c r="L299" s="229"/>
      <c r="M299" s="229"/>
      <c r="N299" s="229"/>
      <c r="O299" s="229"/>
      <c r="P299" s="71"/>
      <c r="Q299" s="22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</row>
    <row r="300" spans="1:95" s="92" customFormat="1" ht="39.950000000000003" customHeight="1" x14ac:dyDescent="0.25">
      <c r="A300" s="229"/>
      <c r="B300" s="229"/>
      <c r="C300" s="229"/>
      <c r="D300" s="229"/>
      <c r="E300" s="229"/>
      <c r="F300" s="229"/>
      <c r="G300" s="229"/>
      <c r="H300" s="229"/>
      <c r="I300" s="68"/>
      <c r="J300" s="71"/>
      <c r="K300" s="229"/>
      <c r="L300" s="229"/>
      <c r="M300" s="229"/>
      <c r="N300" s="229"/>
      <c r="O300" s="229"/>
      <c r="P300" s="71"/>
      <c r="Q300" s="22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</row>
    <row r="301" spans="1:95" s="92" customFormat="1" ht="39.950000000000003" customHeight="1" x14ac:dyDescent="0.25">
      <c r="A301" s="229"/>
      <c r="B301" s="229"/>
      <c r="C301" s="229"/>
      <c r="D301" s="229"/>
      <c r="E301" s="229"/>
      <c r="F301" s="229"/>
      <c r="G301" s="229"/>
      <c r="H301" s="229"/>
      <c r="I301" s="68"/>
      <c r="J301" s="71"/>
      <c r="K301" s="229"/>
      <c r="L301" s="229"/>
      <c r="M301" s="229"/>
      <c r="N301" s="229"/>
      <c r="O301" s="229"/>
      <c r="P301" s="71"/>
      <c r="Q301" s="22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</row>
    <row r="302" spans="1:95" s="92" customFormat="1" ht="39.950000000000003" customHeight="1" x14ac:dyDescent="0.25">
      <c r="A302" s="229"/>
      <c r="B302" s="229"/>
      <c r="C302" s="229"/>
      <c r="D302" s="229"/>
      <c r="E302" s="229"/>
      <c r="F302" s="229"/>
      <c r="G302" s="229"/>
      <c r="H302" s="229"/>
      <c r="I302" s="68"/>
      <c r="J302" s="71"/>
      <c r="K302" s="229"/>
      <c r="L302" s="229"/>
      <c r="M302" s="229"/>
      <c r="N302" s="229"/>
      <c r="O302" s="229"/>
      <c r="P302" s="71"/>
      <c r="Q302" s="22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</row>
    <row r="303" spans="1:95" s="92" customFormat="1" ht="39.950000000000003" customHeight="1" x14ac:dyDescent="0.25">
      <c r="A303" s="229"/>
      <c r="B303" s="229"/>
      <c r="C303" s="229"/>
      <c r="D303" s="229"/>
      <c r="E303" s="229"/>
      <c r="F303" s="229"/>
      <c r="G303" s="229"/>
      <c r="H303" s="229"/>
      <c r="I303" s="68"/>
      <c r="J303" s="71"/>
      <c r="K303" s="229"/>
      <c r="L303" s="229"/>
      <c r="M303" s="229"/>
      <c r="N303" s="229"/>
      <c r="O303" s="229"/>
      <c r="P303" s="71"/>
      <c r="Q303" s="22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</row>
    <row r="304" spans="1:95" s="92" customFormat="1" ht="39.950000000000003" customHeight="1" x14ac:dyDescent="0.25">
      <c r="A304" s="229"/>
      <c r="B304" s="229"/>
      <c r="C304" s="229"/>
      <c r="D304" s="229"/>
      <c r="E304" s="229"/>
      <c r="F304" s="229"/>
      <c r="G304" s="229"/>
      <c r="H304" s="229"/>
      <c r="I304" s="68"/>
      <c r="J304" s="71"/>
      <c r="K304" s="229"/>
      <c r="L304" s="229"/>
      <c r="M304" s="229"/>
      <c r="N304" s="229"/>
      <c r="O304" s="229"/>
      <c r="P304" s="71"/>
      <c r="Q304" s="22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</row>
    <row r="305" spans="1:95" s="92" customFormat="1" ht="39.950000000000003" customHeight="1" x14ac:dyDescent="0.25">
      <c r="A305" s="229"/>
      <c r="B305" s="229"/>
      <c r="C305" s="229"/>
      <c r="D305" s="229"/>
      <c r="E305" s="229"/>
      <c r="F305" s="229"/>
      <c r="G305" s="229"/>
      <c r="H305" s="229"/>
      <c r="I305" s="68"/>
      <c r="J305" s="71"/>
      <c r="K305" s="229"/>
      <c r="L305" s="229"/>
      <c r="M305" s="229"/>
      <c r="N305" s="229"/>
      <c r="O305" s="229"/>
      <c r="P305" s="71"/>
      <c r="Q305" s="22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</row>
    <row r="306" spans="1:95" s="92" customFormat="1" ht="39.950000000000003" customHeight="1" x14ac:dyDescent="0.25">
      <c r="A306" s="229"/>
      <c r="B306" s="229"/>
      <c r="C306" s="229"/>
      <c r="D306" s="229"/>
      <c r="E306" s="229"/>
      <c r="F306" s="229"/>
      <c r="G306" s="229"/>
      <c r="H306" s="229"/>
      <c r="I306" s="68"/>
      <c r="J306" s="71"/>
      <c r="K306" s="229"/>
      <c r="L306" s="229"/>
      <c r="M306" s="229"/>
      <c r="N306" s="229"/>
      <c r="O306" s="229"/>
      <c r="P306" s="71"/>
      <c r="Q306" s="22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</row>
    <row r="307" spans="1:95" s="92" customFormat="1" ht="39.950000000000003" customHeight="1" x14ac:dyDescent="0.25">
      <c r="A307" s="229"/>
      <c r="B307" s="229"/>
      <c r="C307" s="229"/>
      <c r="D307" s="229"/>
      <c r="E307" s="229"/>
      <c r="F307" s="229"/>
      <c r="G307" s="229"/>
      <c r="H307" s="229"/>
      <c r="I307" s="68"/>
      <c r="J307" s="71"/>
      <c r="K307" s="229"/>
      <c r="L307" s="229"/>
      <c r="M307" s="229"/>
      <c r="N307" s="229"/>
      <c r="O307" s="229"/>
      <c r="P307" s="71"/>
      <c r="Q307" s="22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</row>
    <row r="308" spans="1:95" s="92" customFormat="1" ht="39.950000000000003" customHeight="1" x14ac:dyDescent="0.25">
      <c r="A308" s="229"/>
      <c r="B308" s="229"/>
      <c r="C308" s="229"/>
      <c r="D308" s="229"/>
      <c r="E308" s="229"/>
      <c r="F308" s="229"/>
      <c r="G308" s="229"/>
      <c r="H308" s="229"/>
      <c r="I308" s="68"/>
      <c r="J308" s="71"/>
      <c r="K308" s="229"/>
      <c r="L308" s="229"/>
      <c r="M308" s="229"/>
      <c r="N308" s="229"/>
      <c r="O308" s="229"/>
      <c r="P308" s="71"/>
      <c r="Q308" s="22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</row>
    <row r="309" spans="1:95" s="92" customFormat="1" ht="39.950000000000003" customHeight="1" x14ac:dyDescent="0.25">
      <c r="A309" s="229"/>
      <c r="B309" s="229"/>
      <c r="C309" s="229"/>
      <c r="D309" s="229"/>
      <c r="E309" s="229"/>
      <c r="F309" s="229"/>
      <c r="G309" s="229"/>
      <c r="H309" s="229"/>
      <c r="I309" s="68"/>
      <c r="J309" s="71"/>
      <c r="K309" s="229"/>
      <c r="L309" s="229"/>
      <c r="M309" s="229"/>
      <c r="N309" s="229"/>
      <c r="O309" s="229"/>
      <c r="P309" s="71"/>
      <c r="Q309" s="22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</row>
    <row r="310" spans="1:95" s="92" customFormat="1" ht="39.950000000000003" customHeight="1" x14ac:dyDescent="0.25">
      <c r="A310" s="229"/>
      <c r="B310" s="229"/>
      <c r="C310" s="229"/>
      <c r="D310" s="229"/>
      <c r="E310" s="229"/>
      <c r="F310" s="229"/>
      <c r="G310" s="229"/>
      <c r="H310" s="229"/>
      <c r="I310" s="68"/>
      <c r="J310" s="71"/>
      <c r="K310" s="229"/>
      <c r="L310" s="229"/>
      <c r="M310" s="229"/>
      <c r="N310" s="229"/>
      <c r="O310" s="229"/>
      <c r="P310" s="71"/>
      <c r="Q310" s="22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</row>
    <row r="311" spans="1:95" s="92" customFormat="1" ht="39.950000000000003" customHeight="1" x14ac:dyDescent="0.25">
      <c r="A311" s="229"/>
      <c r="B311" s="229"/>
      <c r="C311" s="229"/>
      <c r="D311" s="229"/>
      <c r="E311" s="229"/>
      <c r="F311" s="229"/>
      <c r="G311" s="229"/>
      <c r="H311" s="229"/>
      <c r="I311" s="68"/>
      <c r="J311" s="71"/>
      <c r="K311" s="229"/>
      <c r="L311" s="229"/>
      <c r="M311" s="229"/>
      <c r="N311" s="229"/>
      <c r="O311" s="229"/>
      <c r="P311" s="71"/>
      <c r="Q311" s="22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</row>
    <row r="312" spans="1:95" s="92" customFormat="1" ht="39.950000000000003" customHeight="1" x14ac:dyDescent="0.25">
      <c r="A312" s="229"/>
      <c r="B312" s="229"/>
      <c r="C312" s="229"/>
      <c r="D312" s="229"/>
      <c r="E312" s="229"/>
      <c r="F312" s="229"/>
      <c r="G312" s="229"/>
      <c r="H312" s="229"/>
      <c r="I312" s="68"/>
      <c r="J312" s="71"/>
      <c r="K312" s="229"/>
      <c r="L312" s="229"/>
      <c r="M312" s="229"/>
      <c r="N312" s="229"/>
      <c r="O312" s="229"/>
      <c r="P312" s="71"/>
      <c r="Q312" s="22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</row>
    <row r="313" spans="1:95" s="92" customFormat="1" ht="39.950000000000003" customHeight="1" x14ac:dyDescent="0.25">
      <c r="A313" s="229"/>
      <c r="B313" s="229"/>
      <c r="C313" s="229"/>
      <c r="D313" s="229"/>
      <c r="E313" s="229"/>
      <c r="F313" s="229"/>
      <c r="G313" s="229"/>
      <c r="H313" s="229"/>
      <c r="I313" s="68"/>
      <c r="J313" s="71"/>
      <c r="K313" s="229"/>
      <c r="L313" s="229"/>
      <c r="M313" s="229"/>
      <c r="N313" s="229"/>
      <c r="O313" s="229"/>
      <c r="P313" s="71"/>
      <c r="Q313" s="22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</row>
    <row r="314" spans="1:95" s="92" customFormat="1" ht="39.950000000000003" customHeight="1" x14ac:dyDescent="0.25">
      <c r="A314" s="229"/>
      <c r="B314" s="229"/>
      <c r="C314" s="229"/>
      <c r="D314" s="229"/>
      <c r="E314" s="229"/>
      <c r="F314" s="229"/>
      <c r="G314" s="229"/>
      <c r="H314" s="229"/>
      <c r="I314" s="68"/>
      <c r="J314" s="71"/>
      <c r="K314" s="229"/>
      <c r="L314" s="229"/>
      <c r="M314" s="229"/>
      <c r="N314" s="229"/>
      <c r="O314" s="229"/>
      <c r="P314" s="71"/>
      <c r="Q314" s="22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</row>
    <row r="315" spans="1:95" s="92" customFormat="1" ht="39.950000000000003" customHeight="1" x14ac:dyDescent="0.25">
      <c r="A315" s="229"/>
      <c r="B315" s="229"/>
      <c r="C315" s="229"/>
      <c r="D315" s="229"/>
      <c r="E315" s="229"/>
      <c r="F315" s="229"/>
      <c r="G315" s="229"/>
      <c r="H315" s="229"/>
      <c r="I315" s="68"/>
      <c r="J315" s="71"/>
      <c r="K315" s="229"/>
      <c r="L315" s="229"/>
      <c r="M315" s="229"/>
      <c r="N315" s="229"/>
      <c r="O315" s="229"/>
      <c r="P315" s="71"/>
      <c r="Q315" s="22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</row>
    <row r="316" spans="1:95" s="92" customFormat="1" ht="39.950000000000003" customHeight="1" x14ac:dyDescent="0.25">
      <c r="A316" s="229"/>
      <c r="B316" s="229"/>
      <c r="C316" s="229"/>
      <c r="D316" s="229"/>
      <c r="E316" s="229"/>
      <c r="F316" s="229"/>
      <c r="G316" s="229"/>
      <c r="H316" s="229"/>
      <c r="I316" s="68"/>
      <c r="J316" s="71"/>
      <c r="K316" s="229"/>
      <c r="L316" s="229"/>
      <c r="M316" s="229"/>
      <c r="N316" s="229"/>
      <c r="O316" s="229"/>
      <c r="P316" s="71"/>
      <c r="Q316" s="22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</row>
    <row r="317" spans="1:95" s="92" customFormat="1" ht="39.950000000000003" customHeight="1" x14ac:dyDescent="0.25">
      <c r="A317" s="229"/>
      <c r="B317" s="229"/>
      <c r="C317" s="229"/>
      <c r="D317" s="229"/>
      <c r="E317" s="229"/>
      <c r="F317" s="229"/>
      <c r="G317" s="229"/>
      <c r="H317" s="229"/>
      <c r="I317" s="68"/>
      <c r="J317" s="71"/>
      <c r="K317" s="229"/>
      <c r="L317" s="229"/>
      <c r="M317" s="229"/>
      <c r="N317" s="229"/>
      <c r="O317" s="229"/>
      <c r="P317" s="71"/>
      <c r="Q317" s="22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</row>
    <row r="318" spans="1:95" s="92" customFormat="1" ht="39.950000000000003" customHeight="1" x14ac:dyDescent="0.25">
      <c r="A318" s="229"/>
      <c r="B318" s="229"/>
      <c r="C318" s="229"/>
      <c r="D318" s="229"/>
      <c r="E318" s="229"/>
      <c r="F318" s="229"/>
      <c r="G318" s="229"/>
      <c r="H318" s="229"/>
      <c r="I318" s="68"/>
      <c r="J318" s="71"/>
      <c r="K318" s="229"/>
      <c r="L318" s="229"/>
      <c r="M318" s="229"/>
      <c r="N318" s="229"/>
      <c r="O318" s="229"/>
      <c r="P318" s="71"/>
      <c r="Q318" s="22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</row>
    <row r="319" spans="1:95" s="92" customFormat="1" ht="39.950000000000003" customHeight="1" x14ac:dyDescent="0.25">
      <c r="A319" s="229"/>
      <c r="B319" s="229"/>
      <c r="C319" s="229"/>
      <c r="D319" s="229"/>
      <c r="E319" s="229"/>
      <c r="F319" s="229"/>
      <c r="G319" s="229"/>
      <c r="H319" s="229"/>
      <c r="I319" s="68"/>
      <c r="J319" s="71"/>
      <c r="K319" s="229"/>
      <c r="L319" s="229"/>
      <c r="M319" s="229"/>
      <c r="N319" s="229"/>
      <c r="O319" s="229"/>
      <c r="P319" s="71"/>
      <c r="Q319" s="22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</row>
    <row r="320" spans="1:95" s="92" customFormat="1" ht="39.950000000000003" customHeight="1" x14ac:dyDescent="0.25">
      <c r="A320" s="229"/>
      <c r="B320" s="229"/>
      <c r="C320" s="229"/>
      <c r="D320" s="229"/>
      <c r="E320" s="229"/>
      <c r="F320" s="229"/>
      <c r="G320" s="229"/>
      <c r="H320" s="229"/>
      <c r="I320" s="68"/>
      <c r="J320" s="71"/>
      <c r="K320" s="229"/>
      <c r="L320" s="229"/>
      <c r="M320" s="229"/>
      <c r="N320" s="229"/>
      <c r="O320" s="229"/>
      <c r="P320" s="71"/>
      <c r="Q320" s="22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</row>
    <row r="321" spans="1:95" s="92" customFormat="1" ht="39.950000000000003" customHeight="1" x14ac:dyDescent="0.25">
      <c r="A321" s="229"/>
      <c r="B321" s="229"/>
      <c r="C321" s="229"/>
      <c r="D321" s="229"/>
      <c r="E321" s="229"/>
      <c r="F321" s="229"/>
      <c r="G321" s="229"/>
      <c r="H321" s="229"/>
      <c r="I321" s="68"/>
      <c r="J321" s="71"/>
      <c r="K321" s="229"/>
      <c r="L321" s="229"/>
      <c r="M321" s="229"/>
      <c r="N321" s="229"/>
      <c r="O321" s="229"/>
      <c r="P321" s="71"/>
      <c r="Q321" s="22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</row>
    <row r="322" spans="1:95" s="92" customFormat="1" ht="39.950000000000003" customHeight="1" x14ac:dyDescent="0.25">
      <c r="A322" s="229"/>
      <c r="B322" s="229"/>
      <c r="C322" s="229"/>
      <c r="D322" s="229"/>
      <c r="E322" s="229"/>
      <c r="F322" s="229"/>
      <c r="G322" s="229"/>
      <c r="H322" s="229"/>
      <c r="I322" s="68"/>
      <c r="J322" s="71"/>
      <c r="K322" s="229"/>
      <c r="L322" s="229"/>
      <c r="M322" s="229"/>
      <c r="N322" s="229"/>
      <c r="O322" s="229"/>
      <c r="P322" s="71"/>
      <c r="Q322" s="22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</row>
    <row r="323" spans="1:95" s="92" customFormat="1" ht="39.950000000000003" customHeight="1" x14ac:dyDescent="0.25">
      <c r="A323" s="229"/>
      <c r="B323" s="229"/>
      <c r="C323" s="229"/>
      <c r="D323" s="229"/>
      <c r="E323" s="229"/>
      <c r="F323" s="229"/>
      <c r="G323" s="229"/>
      <c r="H323" s="229"/>
      <c r="I323" s="68"/>
      <c r="J323" s="71"/>
      <c r="K323" s="229"/>
      <c r="L323" s="229"/>
      <c r="M323" s="229"/>
      <c r="N323" s="229"/>
      <c r="O323" s="229"/>
      <c r="P323" s="71"/>
      <c r="Q323" s="22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</row>
    <row r="324" spans="1:95" s="92" customFormat="1" ht="39.950000000000003" customHeight="1" x14ac:dyDescent="0.25">
      <c r="A324" s="229"/>
      <c r="B324" s="229"/>
      <c r="C324" s="229"/>
      <c r="D324" s="229"/>
      <c r="E324" s="229"/>
      <c r="F324" s="229"/>
      <c r="G324" s="229"/>
      <c r="H324" s="229"/>
      <c r="I324" s="68"/>
      <c r="J324" s="71"/>
      <c r="K324" s="229"/>
      <c r="L324" s="229"/>
      <c r="M324" s="229"/>
      <c r="N324" s="229"/>
      <c r="O324" s="229"/>
      <c r="P324" s="71"/>
      <c r="Q324" s="22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</row>
    <row r="325" spans="1:95" s="92" customFormat="1" ht="39.950000000000003" customHeight="1" x14ac:dyDescent="0.25">
      <c r="A325" s="229"/>
      <c r="B325" s="229"/>
      <c r="C325" s="229"/>
      <c r="D325" s="229"/>
      <c r="E325" s="229"/>
      <c r="F325" s="229"/>
      <c r="G325" s="229"/>
      <c r="H325" s="229"/>
      <c r="I325" s="68"/>
      <c r="J325" s="71"/>
      <c r="K325" s="229"/>
      <c r="L325" s="229"/>
      <c r="M325" s="229"/>
      <c r="N325" s="229"/>
      <c r="O325" s="229"/>
      <c r="P325" s="71"/>
      <c r="Q325" s="22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  <c r="BA325" s="39"/>
      <c r="BB325" s="39"/>
      <c r="BC325" s="39"/>
      <c r="BD325" s="39"/>
      <c r="BE325" s="39"/>
      <c r="BF325" s="39"/>
      <c r="BG325" s="39"/>
      <c r="BH325" s="39"/>
      <c r="BI325" s="39"/>
      <c r="BJ325" s="39"/>
      <c r="BK325" s="39"/>
      <c r="BL325" s="39"/>
      <c r="BM325" s="39"/>
      <c r="BN325" s="39"/>
      <c r="BO325" s="39"/>
      <c r="BP325" s="39"/>
      <c r="BQ325" s="39"/>
      <c r="BR325" s="39"/>
      <c r="BS325" s="39"/>
      <c r="BT325" s="39"/>
      <c r="BU325" s="39"/>
      <c r="BV325" s="39"/>
      <c r="BW325" s="39"/>
      <c r="BX325" s="39"/>
      <c r="BY325" s="39"/>
      <c r="BZ325" s="39"/>
      <c r="CA325" s="39"/>
      <c r="CB325" s="39"/>
      <c r="CC325" s="39"/>
      <c r="CD325" s="39"/>
      <c r="CE325" s="39"/>
      <c r="CF325" s="39"/>
      <c r="CG325" s="39"/>
      <c r="CH325" s="39"/>
      <c r="CI325" s="39"/>
      <c r="CJ325" s="39"/>
      <c r="CK325" s="39"/>
      <c r="CL325" s="39"/>
      <c r="CM325" s="39"/>
      <c r="CN325" s="39"/>
      <c r="CO325" s="39"/>
      <c r="CP325" s="39"/>
      <c r="CQ325" s="39"/>
    </row>
    <row r="326" spans="1:95" s="92" customFormat="1" ht="39.950000000000003" customHeight="1" x14ac:dyDescent="0.25">
      <c r="A326" s="229"/>
      <c r="B326" s="229"/>
      <c r="C326" s="229"/>
      <c r="D326" s="229"/>
      <c r="E326" s="229"/>
      <c r="F326" s="229"/>
      <c r="G326" s="229"/>
      <c r="H326" s="229"/>
      <c r="I326" s="68"/>
      <c r="J326" s="71"/>
      <c r="K326" s="229"/>
      <c r="L326" s="229"/>
      <c r="M326" s="229"/>
      <c r="N326" s="229"/>
      <c r="O326" s="229"/>
      <c r="P326" s="71"/>
      <c r="Q326" s="22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  <c r="BA326" s="39"/>
      <c r="BB326" s="39"/>
      <c r="BC326" s="39"/>
      <c r="BD326" s="39"/>
      <c r="BE326" s="39"/>
      <c r="BF326" s="39"/>
      <c r="BG326" s="39"/>
      <c r="BH326" s="39"/>
      <c r="BI326" s="39"/>
      <c r="BJ326" s="39"/>
      <c r="BK326" s="39"/>
      <c r="BL326" s="39"/>
      <c r="BM326" s="39"/>
      <c r="BN326" s="39"/>
      <c r="BO326" s="39"/>
      <c r="BP326" s="39"/>
      <c r="BQ326" s="39"/>
      <c r="BR326" s="39"/>
      <c r="BS326" s="39"/>
      <c r="BT326" s="39"/>
      <c r="BU326" s="39"/>
      <c r="BV326" s="39"/>
      <c r="BW326" s="39"/>
      <c r="BX326" s="39"/>
      <c r="BY326" s="39"/>
      <c r="BZ326" s="39"/>
      <c r="CA326" s="39"/>
      <c r="CB326" s="39"/>
      <c r="CC326" s="39"/>
      <c r="CD326" s="39"/>
      <c r="CE326" s="39"/>
      <c r="CF326" s="39"/>
      <c r="CG326" s="39"/>
      <c r="CH326" s="39"/>
      <c r="CI326" s="39"/>
      <c r="CJ326" s="39"/>
      <c r="CK326" s="39"/>
      <c r="CL326" s="39"/>
      <c r="CM326" s="39"/>
      <c r="CN326" s="39"/>
      <c r="CO326" s="39"/>
      <c r="CP326" s="39"/>
      <c r="CQ326" s="39"/>
    </row>
    <row r="327" spans="1:95" s="92" customFormat="1" ht="39.950000000000003" customHeight="1" x14ac:dyDescent="0.25">
      <c r="A327" s="229"/>
      <c r="B327" s="229"/>
      <c r="C327" s="229"/>
      <c r="D327" s="229"/>
      <c r="E327" s="229"/>
      <c r="F327" s="229"/>
      <c r="G327" s="229"/>
      <c r="H327" s="229"/>
      <c r="I327" s="68"/>
      <c r="J327" s="71"/>
      <c r="K327" s="229"/>
      <c r="L327" s="229"/>
      <c r="M327" s="229"/>
      <c r="N327" s="229"/>
      <c r="O327" s="229"/>
      <c r="P327" s="71"/>
      <c r="Q327" s="22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  <c r="BA327" s="39"/>
      <c r="BB327" s="39"/>
      <c r="BC327" s="39"/>
      <c r="BD327" s="39"/>
      <c r="BE327" s="39"/>
      <c r="BF327" s="39"/>
      <c r="BG327" s="39"/>
      <c r="BH327" s="39"/>
      <c r="BI327" s="39"/>
      <c r="BJ327" s="39"/>
      <c r="BK327" s="39"/>
      <c r="BL327" s="39"/>
      <c r="BM327" s="39"/>
      <c r="BN327" s="39"/>
      <c r="BO327" s="39"/>
      <c r="BP327" s="39"/>
      <c r="BQ327" s="39"/>
      <c r="BR327" s="39"/>
      <c r="BS327" s="39"/>
      <c r="BT327" s="39"/>
      <c r="BU327" s="39"/>
      <c r="BV327" s="39"/>
      <c r="BW327" s="39"/>
      <c r="BX327" s="39"/>
      <c r="BY327" s="39"/>
      <c r="BZ327" s="39"/>
      <c r="CA327" s="39"/>
      <c r="CB327" s="39"/>
      <c r="CC327" s="39"/>
      <c r="CD327" s="39"/>
      <c r="CE327" s="39"/>
      <c r="CF327" s="39"/>
      <c r="CG327" s="39"/>
      <c r="CH327" s="39"/>
      <c r="CI327" s="39"/>
      <c r="CJ327" s="39"/>
      <c r="CK327" s="39"/>
      <c r="CL327" s="39"/>
      <c r="CM327" s="39"/>
      <c r="CN327" s="39"/>
      <c r="CO327" s="39"/>
      <c r="CP327" s="39"/>
      <c r="CQ327" s="39"/>
    </row>
    <row r="328" spans="1:95" s="92" customFormat="1" ht="39.950000000000003" customHeight="1" x14ac:dyDescent="0.25">
      <c r="A328" s="229"/>
      <c r="B328" s="229"/>
      <c r="C328" s="229"/>
      <c r="D328" s="229"/>
      <c r="E328" s="229"/>
      <c r="F328" s="229"/>
      <c r="G328" s="229"/>
      <c r="H328" s="229"/>
      <c r="I328" s="68"/>
      <c r="J328" s="71"/>
      <c r="K328" s="229"/>
      <c r="L328" s="229"/>
      <c r="M328" s="229"/>
      <c r="N328" s="229"/>
      <c r="O328" s="229"/>
      <c r="P328" s="71"/>
      <c r="Q328" s="22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  <c r="BA328" s="39"/>
      <c r="BB328" s="39"/>
      <c r="BC328" s="39"/>
      <c r="BD328" s="39"/>
      <c r="BE328" s="39"/>
      <c r="BF328" s="39"/>
      <c r="BG328" s="39"/>
      <c r="BH328" s="39"/>
      <c r="BI328" s="39"/>
      <c r="BJ328" s="39"/>
      <c r="BK328" s="39"/>
      <c r="BL328" s="39"/>
      <c r="BM328" s="39"/>
      <c r="BN328" s="39"/>
      <c r="BO328" s="39"/>
      <c r="BP328" s="39"/>
      <c r="BQ328" s="39"/>
      <c r="BR328" s="39"/>
      <c r="BS328" s="39"/>
      <c r="BT328" s="39"/>
      <c r="BU328" s="39"/>
      <c r="BV328" s="39"/>
      <c r="BW328" s="39"/>
      <c r="BX328" s="39"/>
      <c r="BY328" s="39"/>
      <c r="BZ328" s="39"/>
      <c r="CA328" s="39"/>
      <c r="CB328" s="39"/>
      <c r="CC328" s="39"/>
      <c r="CD328" s="39"/>
      <c r="CE328" s="39"/>
      <c r="CF328" s="39"/>
      <c r="CG328" s="39"/>
      <c r="CH328" s="39"/>
      <c r="CI328" s="39"/>
      <c r="CJ328" s="39"/>
      <c r="CK328" s="39"/>
      <c r="CL328" s="39"/>
      <c r="CM328" s="39"/>
      <c r="CN328" s="39"/>
      <c r="CO328" s="39"/>
      <c r="CP328" s="39"/>
      <c r="CQ328" s="39"/>
    </row>
    <row r="329" spans="1:95" s="92" customFormat="1" ht="39.950000000000003" customHeight="1" x14ac:dyDescent="0.25">
      <c r="A329" s="229"/>
      <c r="B329" s="229"/>
      <c r="C329" s="229"/>
      <c r="D329" s="229"/>
      <c r="E329" s="229"/>
      <c r="F329" s="229"/>
      <c r="G329" s="229"/>
      <c r="H329" s="229"/>
      <c r="I329" s="68"/>
      <c r="J329" s="71"/>
      <c r="K329" s="229"/>
      <c r="L329" s="229"/>
      <c r="M329" s="229"/>
      <c r="N329" s="229"/>
      <c r="O329" s="229"/>
      <c r="P329" s="71"/>
      <c r="Q329" s="22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  <c r="BA329" s="39"/>
      <c r="BB329" s="39"/>
      <c r="BC329" s="39"/>
      <c r="BD329" s="39"/>
      <c r="BE329" s="39"/>
      <c r="BF329" s="39"/>
      <c r="BG329" s="39"/>
      <c r="BH329" s="39"/>
      <c r="BI329" s="39"/>
      <c r="BJ329" s="39"/>
      <c r="BK329" s="39"/>
      <c r="BL329" s="39"/>
      <c r="BM329" s="39"/>
      <c r="BN329" s="39"/>
      <c r="BO329" s="39"/>
      <c r="BP329" s="39"/>
      <c r="BQ329" s="39"/>
      <c r="BR329" s="39"/>
      <c r="BS329" s="39"/>
      <c r="BT329" s="39"/>
      <c r="BU329" s="39"/>
      <c r="BV329" s="39"/>
      <c r="BW329" s="39"/>
      <c r="BX329" s="39"/>
      <c r="BY329" s="39"/>
      <c r="BZ329" s="39"/>
      <c r="CA329" s="39"/>
      <c r="CB329" s="39"/>
      <c r="CC329" s="39"/>
      <c r="CD329" s="39"/>
      <c r="CE329" s="39"/>
      <c r="CF329" s="39"/>
      <c r="CG329" s="39"/>
      <c r="CH329" s="39"/>
      <c r="CI329" s="39"/>
      <c r="CJ329" s="39"/>
      <c r="CK329" s="39"/>
      <c r="CL329" s="39"/>
      <c r="CM329" s="39"/>
      <c r="CN329" s="39"/>
      <c r="CO329" s="39"/>
      <c r="CP329" s="39"/>
      <c r="CQ329" s="39"/>
    </row>
    <row r="330" spans="1:95" s="92" customFormat="1" ht="39.950000000000003" customHeight="1" x14ac:dyDescent="0.25">
      <c r="A330" s="229"/>
      <c r="B330" s="229"/>
      <c r="C330" s="229"/>
      <c r="D330" s="229"/>
      <c r="E330" s="229"/>
      <c r="F330" s="229"/>
      <c r="G330" s="229"/>
      <c r="H330" s="229"/>
      <c r="I330" s="68"/>
      <c r="J330" s="71"/>
      <c r="K330" s="229"/>
      <c r="L330" s="229"/>
      <c r="M330" s="229"/>
      <c r="N330" s="229"/>
      <c r="O330" s="229"/>
      <c r="P330" s="71"/>
      <c r="Q330" s="22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  <c r="BA330" s="39"/>
      <c r="BB330" s="39"/>
      <c r="BC330" s="39"/>
      <c r="BD330" s="39"/>
      <c r="BE330" s="39"/>
      <c r="BF330" s="39"/>
      <c r="BG330" s="39"/>
      <c r="BH330" s="39"/>
      <c r="BI330" s="39"/>
      <c r="BJ330" s="39"/>
      <c r="BK330" s="39"/>
      <c r="BL330" s="39"/>
      <c r="BM330" s="39"/>
      <c r="BN330" s="39"/>
      <c r="BO330" s="39"/>
      <c r="BP330" s="39"/>
      <c r="BQ330" s="39"/>
      <c r="BR330" s="39"/>
      <c r="BS330" s="39"/>
      <c r="BT330" s="39"/>
      <c r="BU330" s="39"/>
      <c r="BV330" s="39"/>
      <c r="BW330" s="39"/>
      <c r="BX330" s="39"/>
      <c r="BY330" s="39"/>
      <c r="BZ330" s="39"/>
      <c r="CA330" s="39"/>
      <c r="CB330" s="39"/>
      <c r="CC330" s="39"/>
      <c r="CD330" s="39"/>
      <c r="CE330" s="39"/>
      <c r="CF330" s="39"/>
      <c r="CG330" s="39"/>
      <c r="CH330" s="39"/>
      <c r="CI330" s="39"/>
      <c r="CJ330" s="39"/>
      <c r="CK330" s="39"/>
      <c r="CL330" s="39"/>
      <c r="CM330" s="39"/>
      <c r="CN330" s="39"/>
      <c r="CO330" s="39"/>
      <c r="CP330" s="39"/>
      <c r="CQ330" s="39"/>
    </row>
    <row r="331" spans="1:95" s="92" customFormat="1" ht="39.950000000000003" customHeight="1" x14ac:dyDescent="0.25">
      <c r="A331" s="229"/>
      <c r="B331" s="229"/>
      <c r="C331" s="229"/>
      <c r="D331" s="229"/>
      <c r="E331" s="229"/>
      <c r="F331" s="229"/>
      <c r="G331" s="229"/>
      <c r="H331" s="229"/>
      <c r="I331" s="68"/>
      <c r="J331" s="71"/>
      <c r="K331" s="229"/>
      <c r="L331" s="229"/>
      <c r="M331" s="229"/>
      <c r="N331" s="229"/>
      <c r="O331" s="229"/>
      <c r="P331" s="71"/>
      <c r="Q331" s="22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  <c r="BA331" s="39"/>
      <c r="BB331" s="39"/>
      <c r="BC331" s="39"/>
      <c r="BD331" s="39"/>
      <c r="BE331" s="39"/>
      <c r="BF331" s="39"/>
      <c r="BG331" s="39"/>
      <c r="BH331" s="39"/>
      <c r="BI331" s="39"/>
      <c r="BJ331" s="39"/>
      <c r="BK331" s="39"/>
      <c r="BL331" s="39"/>
      <c r="BM331" s="39"/>
      <c r="BN331" s="39"/>
      <c r="BO331" s="39"/>
      <c r="BP331" s="39"/>
      <c r="BQ331" s="39"/>
      <c r="BR331" s="39"/>
      <c r="BS331" s="39"/>
      <c r="BT331" s="39"/>
      <c r="BU331" s="39"/>
      <c r="BV331" s="39"/>
      <c r="BW331" s="39"/>
      <c r="BX331" s="39"/>
      <c r="BY331" s="39"/>
      <c r="BZ331" s="39"/>
      <c r="CA331" s="39"/>
      <c r="CB331" s="39"/>
      <c r="CC331" s="39"/>
      <c r="CD331" s="39"/>
      <c r="CE331" s="39"/>
      <c r="CF331" s="39"/>
      <c r="CG331" s="39"/>
      <c r="CH331" s="39"/>
      <c r="CI331" s="39"/>
      <c r="CJ331" s="39"/>
      <c r="CK331" s="39"/>
      <c r="CL331" s="39"/>
      <c r="CM331" s="39"/>
      <c r="CN331" s="39"/>
      <c r="CO331" s="39"/>
      <c r="CP331" s="39"/>
      <c r="CQ331" s="39"/>
    </row>
    <row r="332" spans="1:95" s="92" customFormat="1" ht="39.950000000000003" customHeight="1" x14ac:dyDescent="0.25">
      <c r="A332" s="229"/>
      <c r="B332" s="229"/>
      <c r="C332" s="229"/>
      <c r="D332" s="229"/>
      <c r="E332" s="229"/>
      <c r="F332" s="229"/>
      <c r="G332" s="229"/>
      <c r="H332" s="229"/>
      <c r="I332" s="68"/>
      <c r="J332" s="71"/>
      <c r="K332" s="229"/>
      <c r="L332" s="229"/>
      <c r="M332" s="229"/>
      <c r="N332" s="229"/>
      <c r="O332" s="229"/>
      <c r="P332" s="71"/>
      <c r="Q332" s="22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  <c r="BA332" s="39"/>
      <c r="BB332" s="39"/>
      <c r="BC332" s="39"/>
      <c r="BD332" s="39"/>
      <c r="BE332" s="39"/>
      <c r="BF332" s="39"/>
      <c r="BG332" s="39"/>
      <c r="BH332" s="39"/>
      <c r="BI332" s="39"/>
      <c r="BJ332" s="39"/>
      <c r="BK332" s="39"/>
      <c r="BL332" s="39"/>
      <c r="BM332" s="39"/>
      <c r="BN332" s="39"/>
      <c r="BO332" s="39"/>
      <c r="BP332" s="39"/>
      <c r="BQ332" s="39"/>
      <c r="BR332" s="39"/>
      <c r="BS332" s="39"/>
      <c r="BT332" s="39"/>
      <c r="BU332" s="39"/>
      <c r="BV332" s="39"/>
      <c r="BW332" s="39"/>
      <c r="BX332" s="39"/>
      <c r="BY332" s="39"/>
      <c r="BZ332" s="39"/>
      <c r="CA332" s="39"/>
      <c r="CB332" s="39"/>
      <c r="CC332" s="39"/>
      <c r="CD332" s="39"/>
      <c r="CE332" s="39"/>
      <c r="CF332" s="39"/>
      <c r="CG332" s="39"/>
      <c r="CH332" s="39"/>
      <c r="CI332" s="39"/>
      <c r="CJ332" s="39"/>
      <c r="CK332" s="39"/>
      <c r="CL332" s="39"/>
      <c r="CM332" s="39"/>
      <c r="CN332" s="39"/>
      <c r="CO332" s="39"/>
      <c r="CP332" s="39"/>
      <c r="CQ332" s="39"/>
    </row>
    <row r="333" spans="1:95" s="92" customFormat="1" ht="39.950000000000003" customHeight="1" x14ac:dyDescent="0.25">
      <c r="A333" s="229"/>
      <c r="B333" s="229"/>
      <c r="C333" s="229"/>
      <c r="D333" s="229"/>
      <c r="E333" s="229"/>
      <c r="F333" s="229"/>
      <c r="G333" s="229"/>
      <c r="H333" s="229"/>
      <c r="I333" s="68"/>
      <c r="J333" s="71"/>
      <c r="K333" s="229"/>
      <c r="L333" s="229"/>
      <c r="M333" s="229"/>
      <c r="N333" s="229"/>
      <c r="O333" s="229"/>
      <c r="P333" s="71"/>
      <c r="Q333" s="22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  <c r="BA333" s="39"/>
      <c r="BB333" s="39"/>
      <c r="BC333" s="39"/>
      <c r="BD333" s="39"/>
      <c r="BE333" s="39"/>
      <c r="BF333" s="39"/>
      <c r="BG333" s="39"/>
      <c r="BH333" s="39"/>
      <c r="BI333" s="39"/>
      <c r="BJ333" s="39"/>
      <c r="BK333" s="39"/>
      <c r="BL333" s="39"/>
      <c r="BM333" s="39"/>
      <c r="BN333" s="39"/>
      <c r="BO333" s="39"/>
      <c r="BP333" s="39"/>
      <c r="BQ333" s="39"/>
      <c r="BR333" s="39"/>
      <c r="BS333" s="39"/>
      <c r="BT333" s="39"/>
      <c r="BU333" s="39"/>
      <c r="BV333" s="39"/>
      <c r="BW333" s="39"/>
      <c r="BX333" s="39"/>
      <c r="BY333" s="39"/>
      <c r="BZ333" s="39"/>
      <c r="CA333" s="39"/>
      <c r="CB333" s="39"/>
      <c r="CC333" s="39"/>
      <c r="CD333" s="39"/>
      <c r="CE333" s="39"/>
      <c r="CF333" s="39"/>
      <c r="CG333" s="39"/>
      <c r="CH333" s="39"/>
      <c r="CI333" s="39"/>
      <c r="CJ333" s="39"/>
      <c r="CK333" s="39"/>
      <c r="CL333" s="39"/>
      <c r="CM333" s="39"/>
      <c r="CN333" s="39"/>
      <c r="CO333" s="39"/>
      <c r="CP333" s="39"/>
      <c r="CQ333" s="39"/>
    </row>
    <row r="334" spans="1:95" s="92" customFormat="1" ht="39.950000000000003" customHeight="1" x14ac:dyDescent="0.25">
      <c r="A334" s="229"/>
      <c r="B334" s="229"/>
      <c r="C334" s="229"/>
      <c r="D334" s="229"/>
      <c r="E334" s="229"/>
      <c r="F334" s="229"/>
      <c r="G334" s="229"/>
      <c r="H334" s="229"/>
      <c r="I334" s="68"/>
      <c r="J334" s="71"/>
      <c r="K334" s="229"/>
      <c r="L334" s="229"/>
      <c r="M334" s="229"/>
      <c r="N334" s="229"/>
      <c r="O334" s="229"/>
      <c r="P334" s="71"/>
      <c r="Q334" s="22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  <c r="BA334" s="39"/>
      <c r="BB334" s="39"/>
      <c r="BC334" s="39"/>
      <c r="BD334" s="39"/>
      <c r="BE334" s="39"/>
      <c r="BF334" s="39"/>
      <c r="BG334" s="39"/>
      <c r="BH334" s="39"/>
      <c r="BI334" s="39"/>
      <c r="BJ334" s="39"/>
      <c r="BK334" s="39"/>
      <c r="BL334" s="39"/>
      <c r="BM334" s="39"/>
      <c r="BN334" s="39"/>
      <c r="BO334" s="39"/>
      <c r="BP334" s="39"/>
      <c r="BQ334" s="39"/>
      <c r="BR334" s="39"/>
      <c r="BS334" s="39"/>
      <c r="BT334" s="39"/>
      <c r="BU334" s="39"/>
      <c r="BV334" s="39"/>
      <c r="BW334" s="39"/>
      <c r="BX334" s="39"/>
      <c r="BY334" s="39"/>
      <c r="BZ334" s="39"/>
      <c r="CA334" s="39"/>
      <c r="CB334" s="39"/>
      <c r="CC334" s="39"/>
      <c r="CD334" s="39"/>
      <c r="CE334" s="39"/>
      <c r="CF334" s="39"/>
      <c r="CG334" s="39"/>
      <c r="CH334" s="39"/>
      <c r="CI334" s="39"/>
      <c r="CJ334" s="39"/>
      <c r="CK334" s="39"/>
      <c r="CL334" s="39"/>
      <c r="CM334" s="39"/>
      <c r="CN334" s="39"/>
      <c r="CO334" s="39"/>
      <c r="CP334" s="39"/>
      <c r="CQ334" s="39"/>
    </row>
    <row r="335" spans="1:95" s="92" customFormat="1" ht="39.950000000000003" customHeight="1" x14ac:dyDescent="0.25">
      <c r="A335" s="229"/>
      <c r="B335" s="229"/>
      <c r="C335" s="229"/>
      <c r="D335" s="229"/>
      <c r="E335" s="229"/>
      <c r="F335" s="229"/>
      <c r="G335" s="229"/>
      <c r="H335" s="229"/>
      <c r="I335" s="68"/>
      <c r="J335" s="71"/>
      <c r="K335" s="229"/>
      <c r="L335" s="229"/>
      <c r="M335" s="229"/>
      <c r="N335" s="229"/>
      <c r="O335" s="229"/>
      <c r="P335" s="71"/>
      <c r="Q335" s="22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  <c r="BA335" s="39"/>
      <c r="BB335" s="39"/>
      <c r="BC335" s="39"/>
      <c r="BD335" s="39"/>
      <c r="BE335" s="39"/>
      <c r="BF335" s="39"/>
      <c r="BG335" s="39"/>
      <c r="BH335" s="39"/>
      <c r="BI335" s="39"/>
      <c r="BJ335" s="39"/>
      <c r="BK335" s="39"/>
      <c r="BL335" s="39"/>
      <c r="BM335" s="39"/>
      <c r="BN335" s="39"/>
      <c r="BO335" s="39"/>
      <c r="BP335" s="39"/>
      <c r="BQ335" s="39"/>
      <c r="BR335" s="39"/>
      <c r="BS335" s="39"/>
      <c r="BT335" s="39"/>
      <c r="BU335" s="39"/>
      <c r="BV335" s="39"/>
      <c r="BW335" s="39"/>
      <c r="BX335" s="39"/>
      <c r="BY335" s="39"/>
      <c r="BZ335" s="39"/>
      <c r="CA335" s="39"/>
      <c r="CB335" s="39"/>
      <c r="CC335" s="39"/>
      <c r="CD335" s="39"/>
      <c r="CE335" s="39"/>
      <c r="CF335" s="39"/>
      <c r="CG335" s="39"/>
      <c r="CH335" s="39"/>
      <c r="CI335" s="39"/>
      <c r="CJ335" s="39"/>
      <c r="CK335" s="39"/>
      <c r="CL335" s="39"/>
      <c r="CM335" s="39"/>
      <c r="CN335" s="39"/>
      <c r="CO335" s="39"/>
      <c r="CP335" s="39"/>
      <c r="CQ335" s="39"/>
    </row>
    <row r="336" spans="1:95" s="92" customFormat="1" ht="39.950000000000003" customHeight="1" x14ac:dyDescent="0.25">
      <c r="A336" s="229"/>
      <c r="B336" s="229"/>
      <c r="C336" s="229"/>
      <c r="D336" s="229"/>
      <c r="E336" s="229"/>
      <c r="F336" s="229"/>
      <c r="G336" s="229"/>
      <c r="H336" s="229"/>
      <c r="I336" s="68"/>
      <c r="J336" s="71"/>
      <c r="K336" s="229"/>
      <c r="L336" s="229"/>
      <c r="M336" s="229"/>
      <c r="N336" s="229"/>
      <c r="O336" s="229"/>
      <c r="P336" s="71"/>
      <c r="Q336" s="22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  <c r="BA336" s="39"/>
      <c r="BB336" s="39"/>
      <c r="BC336" s="39"/>
      <c r="BD336" s="39"/>
      <c r="BE336" s="39"/>
      <c r="BF336" s="39"/>
      <c r="BG336" s="39"/>
      <c r="BH336" s="39"/>
      <c r="BI336" s="39"/>
      <c r="BJ336" s="39"/>
      <c r="BK336" s="39"/>
      <c r="BL336" s="39"/>
      <c r="BM336" s="39"/>
      <c r="BN336" s="39"/>
      <c r="BO336" s="39"/>
      <c r="BP336" s="39"/>
      <c r="BQ336" s="39"/>
      <c r="BR336" s="39"/>
      <c r="BS336" s="39"/>
      <c r="BT336" s="39"/>
      <c r="BU336" s="39"/>
      <c r="BV336" s="39"/>
      <c r="BW336" s="39"/>
      <c r="BX336" s="39"/>
      <c r="BY336" s="39"/>
      <c r="BZ336" s="39"/>
      <c r="CA336" s="39"/>
      <c r="CB336" s="39"/>
      <c r="CC336" s="39"/>
      <c r="CD336" s="39"/>
      <c r="CE336" s="39"/>
      <c r="CF336" s="39"/>
      <c r="CG336" s="39"/>
      <c r="CH336" s="39"/>
      <c r="CI336" s="39"/>
      <c r="CJ336" s="39"/>
      <c r="CK336" s="39"/>
      <c r="CL336" s="39"/>
      <c r="CM336" s="39"/>
      <c r="CN336" s="39"/>
      <c r="CO336" s="39"/>
      <c r="CP336" s="39"/>
      <c r="CQ336" s="39"/>
    </row>
    <row r="337" spans="1:95" s="92" customFormat="1" ht="39.950000000000003" customHeight="1" x14ac:dyDescent="0.25">
      <c r="A337" s="229"/>
      <c r="B337" s="229"/>
      <c r="C337" s="229"/>
      <c r="D337" s="229"/>
      <c r="E337" s="229"/>
      <c r="F337" s="229"/>
      <c r="G337" s="229"/>
      <c r="H337" s="229"/>
      <c r="I337" s="68"/>
      <c r="J337" s="71"/>
      <c r="K337" s="229"/>
      <c r="L337" s="229"/>
      <c r="M337" s="229"/>
      <c r="N337" s="229"/>
      <c r="O337" s="229"/>
      <c r="P337" s="71"/>
      <c r="Q337" s="22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  <c r="BA337" s="39"/>
      <c r="BB337" s="39"/>
      <c r="BC337" s="39"/>
      <c r="BD337" s="39"/>
      <c r="BE337" s="39"/>
      <c r="BF337" s="39"/>
      <c r="BG337" s="39"/>
      <c r="BH337" s="39"/>
      <c r="BI337" s="39"/>
      <c r="BJ337" s="39"/>
      <c r="BK337" s="39"/>
      <c r="BL337" s="39"/>
      <c r="BM337" s="39"/>
      <c r="BN337" s="39"/>
      <c r="BO337" s="39"/>
      <c r="BP337" s="39"/>
      <c r="BQ337" s="39"/>
      <c r="BR337" s="39"/>
      <c r="BS337" s="39"/>
      <c r="BT337" s="39"/>
      <c r="BU337" s="39"/>
      <c r="BV337" s="39"/>
      <c r="BW337" s="39"/>
      <c r="BX337" s="39"/>
      <c r="BY337" s="39"/>
      <c r="BZ337" s="39"/>
      <c r="CA337" s="39"/>
      <c r="CB337" s="39"/>
      <c r="CC337" s="39"/>
      <c r="CD337" s="39"/>
      <c r="CE337" s="39"/>
      <c r="CF337" s="39"/>
      <c r="CG337" s="39"/>
      <c r="CH337" s="39"/>
      <c r="CI337" s="39"/>
      <c r="CJ337" s="39"/>
      <c r="CK337" s="39"/>
      <c r="CL337" s="39"/>
      <c r="CM337" s="39"/>
      <c r="CN337" s="39"/>
      <c r="CO337" s="39"/>
      <c r="CP337" s="39"/>
      <c r="CQ337" s="39"/>
    </row>
    <row r="338" spans="1:95" s="92" customFormat="1" ht="39.950000000000003" customHeight="1" x14ac:dyDescent="0.25">
      <c r="A338" s="229"/>
      <c r="B338" s="229"/>
      <c r="C338" s="229"/>
      <c r="D338" s="229"/>
      <c r="E338" s="229"/>
      <c r="F338" s="229"/>
      <c r="G338" s="229"/>
      <c r="H338" s="229"/>
      <c r="I338" s="68"/>
      <c r="J338" s="71"/>
      <c r="K338" s="229"/>
      <c r="L338" s="229"/>
      <c r="M338" s="229"/>
      <c r="N338" s="229"/>
      <c r="O338" s="229"/>
      <c r="P338" s="71"/>
      <c r="Q338" s="22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  <c r="BA338" s="39"/>
      <c r="BB338" s="39"/>
      <c r="BC338" s="39"/>
      <c r="BD338" s="39"/>
      <c r="BE338" s="39"/>
      <c r="BF338" s="39"/>
      <c r="BG338" s="39"/>
      <c r="BH338" s="39"/>
      <c r="BI338" s="39"/>
      <c r="BJ338" s="39"/>
      <c r="BK338" s="39"/>
      <c r="BL338" s="39"/>
      <c r="BM338" s="39"/>
      <c r="BN338" s="39"/>
      <c r="BO338" s="39"/>
      <c r="BP338" s="39"/>
      <c r="BQ338" s="39"/>
      <c r="BR338" s="39"/>
      <c r="BS338" s="39"/>
      <c r="BT338" s="39"/>
      <c r="BU338" s="39"/>
      <c r="BV338" s="39"/>
      <c r="BW338" s="39"/>
      <c r="BX338" s="39"/>
      <c r="BY338" s="39"/>
      <c r="BZ338" s="39"/>
      <c r="CA338" s="39"/>
      <c r="CB338" s="39"/>
      <c r="CC338" s="39"/>
      <c r="CD338" s="39"/>
      <c r="CE338" s="39"/>
      <c r="CF338" s="39"/>
      <c r="CG338" s="39"/>
      <c r="CH338" s="39"/>
      <c r="CI338" s="39"/>
      <c r="CJ338" s="39"/>
      <c r="CK338" s="39"/>
      <c r="CL338" s="39"/>
      <c r="CM338" s="39"/>
      <c r="CN338" s="39"/>
      <c r="CO338" s="39"/>
      <c r="CP338" s="39"/>
      <c r="CQ338" s="39"/>
    </row>
    <row r="339" spans="1:95" s="92" customFormat="1" ht="39.950000000000003" customHeight="1" x14ac:dyDescent="0.25">
      <c r="A339" s="229"/>
      <c r="B339" s="229"/>
      <c r="C339" s="229"/>
      <c r="D339" s="229"/>
      <c r="E339" s="229"/>
      <c r="F339" s="229"/>
      <c r="G339" s="229"/>
      <c r="H339" s="229"/>
      <c r="I339" s="68"/>
      <c r="J339" s="71"/>
      <c r="K339" s="229"/>
      <c r="L339" s="229"/>
      <c r="M339" s="229"/>
      <c r="N339" s="229"/>
      <c r="O339" s="229"/>
      <c r="P339" s="71"/>
      <c r="Q339" s="22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  <c r="BA339" s="39"/>
      <c r="BB339" s="39"/>
      <c r="BC339" s="39"/>
      <c r="BD339" s="39"/>
      <c r="BE339" s="39"/>
      <c r="BF339" s="39"/>
      <c r="BG339" s="39"/>
      <c r="BH339" s="39"/>
      <c r="BI339" s="39"/>
      <c r="BJ339" s="39"/>
      <c r="BK339" s="39"/>
      <c r="BL339" s="39"/>
      <c r="BM339" s="39"/>
      <c r="BN339" s="39"/>
      <c r="BO339" s="39"/>
      <c r="BP339" s="39"/>
      <c r="BQ339" s="39"/>
      <c r="BR339" s="39"/>
      <c r="BS339" s="39"/>
      <c r="BT339" s="39"/>
      <c r="BU339" s="39"/>
      <c r="BV339" s="39"/>
      <c r="BW339" s="39"/>
      <c r="BX339" s="39"/>
      <c r="BY339" s="39"/>
      <c r="BZ339" s="39"/>
      <c r="CA339" s="39"/>
      <c r="CB339" s="39"/>
      <c r="CC339" s="39"/>
      <c r="CD339" s="39"/>
      <c r="CE339" s="39"/>
      <c r="CF339" s="39"/>
      <c r="CG339" s="39"/>
      <c r="CH339" s="39"/>
      <c r="CI339" s="39"/>
      <c r="CJ339" s="39"/>
      <c r="CK339" s="39"/>
      <c r="CL339" s="39"/>
      <c r="CM339" s="39"/>
      <c r="CN339" s="39"/>
      <c r="CO339" s="39"/>
      <c r="CP339" s="39"/>
      <c r="CQ339" s="39"/>
    </row>
    <row r="340" spans="1:95" s="92" customFormat="1" ht="39.950000000000003" customHeight="1" x14ac:dyDescent="0.25">
      <c r="A340" s="229"/>
      <c r="B340" s="229"/>
      <c r="C340" s="229"/>
      <c r="D340" s="229"/>
      <c r="E340" s="229"/>
      <c r="F340" s="229"/>
      <c r="G340" s="229"/>
      <c r="H340" s="229"/>
      <c r="I340" s="68"/>
      <c r="J340" s="71"/>
      <c r="K340" s="229"/>
      <c r="L340" s="229"/>
      <c r="M340" s="229"/>
      <c r="N340" s="229"/>
      <c r="O340" s="229"/>
      <c r="P340" s="71"/>
      <c r="Q340" s="22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  <c r="BA340" s="39"/>
      <c r="BB340" s="39"/>
      <c r="BC340" s="39"/>
      <c r="BD340" s="39"/>
      <c r="BE340" s="39"/>
      <c r="BF340" s="39"/>
      <c r="BG340" s="39"/>
      <c r="BH340" s="39"/>
      <c r="BI340" s="39"/>
      <c r="BJ340" s="39"/>
      <c r="BK340" s="39"/>
      <c r="BL340" s="39"/>
      <c r="BM340" s="39"/>
      <c r="BN340" s="39"/>
      <c r="BO340" s="39"/>
      <c r="BP340" s="39"/>
      <c r="BQ340" s="39"/>
      <c r="BR340" s="39"/>
      <c r="BS340" s="39"/>
      <c r="BT340" s="39"/>
      <c r="BU340" s="39"/>
      <c r="BV340" s="39"/>
      <c r="BW340" s="39"/>
      <c r="BX340" s="39"/>
      <c r="BY340" s="39"/>
      <c r="BZ340" s="39"/>
      <c r="CA340" s="39"/>
      <c r="CB340" s="39"/>
      <c r="CC340" s="39"/>
      <c r="CD340" s="39"/>
      <c r="CE340" s="39"/>
      <c r="CF340" s="39"/>
      <c r="CG340" s="39"/>
      <c r="CH340" s="39"/>
      <c r="CI340" s="39"/>
      <c r="CJ340" s="39"/>
      <c r="CK340" s="39"/>
      <c r="CL340" s="39"/>
      <c r="CM340" s="39"/>
      <c r="CN340" s="39"/>
      <c r="CO340" s="39"/>
      <c r="CP340" s="39"/>
      <c r="CQ340" s="39"/>
    </row>
    <row r="341" spans="1:95" s="92" customFormat="1" ht="39.950000000000003" customHeight="1" x14ac:dyDescent="0.25">
      <c r="A341" s="229"/>
      <c r="B341" s="229"/>
      <c r="C341" s="229"/>
      <c r="D341" s="229"/>
      <c r="E341" s="229"/>
      <c r="F341" s="229"/>
      <c r="G341" s="229"/>
      <c r="H341" s="229"/>
      <c r="I341" s="68"/>
      <c r="J341" s="71"/>
      <c r="K341" s="229"/>
      <c r="L341" s="229"/>
      <c r="M341" s="229"/>
      <c r="N341" s="229"/>
      <c r="O341" s="229"/>
      <c r="P341" s="71"/>
      <c r="Q341" s="22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  <c r="BA341" s="39"/>
      <c r="BB341" s="39"/>
      <c r="BC341" s="39"/>
      <c r="BD341" s="39"/>
      <c r="BE341" s="39"/>
      <c r="BF341" s="39"/>
      <c r="BG341" s="39"/>
      <c r="BH341" s="39"/>
      <c r="BI341" s="39"/>
      <c r="BJ341" s="39"/>
      <c r="BK341" s="39"/>
      <c r="BL341" s="39"/>
      <c r="BM341" s="39"/>
      <c r="BN341" s="39"/>
      <c r="BO341" s="39"/>
      <c r="BP341" s="39"/>
      <c r="BQ341" s="39"/>
      <c r="BR341" s="39"/>
      <c r="BS341" s="39"/>
      <c r="BT341" s="39"/>
      <c r="BU341" s="39"/>
      <c r="BV341" s="39"/>
      <c r="BW341" s="39"/>
      <c r="BX341" s="39"/>
      <c r="BY341" s="39"/>
      <c r="BZ341" s="39"/>
      <c r="CA341" s="39"/>
      <c r="CB341" s="39"/>
      <c r="CC341" s="39"/>
      <c r="CD341" s="39"/>
      <c r="CE341" s="39"/>
      <c r="CF341" s="39"/>
      <c r="CG341" s="39"/>
      <c r="CH341" s="39"/>
      <c r="CI341" s="39"/>
      <c r="CJ341" s="39"/>
      <c r="CK341" s="39"/>
      <c r="CL341" s="39"/>
      <c r="CM341" s="39"/>
      <c r="CN341" s="39"/>
      <c r="CO341" s="39"/>
      <c r="CP341" s="39"/>
      <c r="CQ341" s="39"/>
    </row>
    <row r="342" spans="1:95" s="92" customFormat="1" ht="39.950000000000003" customHeight="1" x14ac:dyDescent="0.25">
      <c r="A342" s="229"/>
      <c r="B342" s="229"/>
      <c r="C342" s="229"/>
      <c r="D342" s="229"/>
      <c r="E342" s="229"/>
      <c r="F342" s="229"/>
      <c r="G342" s="229"/>
      <c r="H342" s="229"/>
      <c r="I342" s="68"/>
      <c r="J342" s="71"/>
      <c r="K342" s="229"/>
      <c r="L342" s="229"/>
      <c r="M342" s="229"/>
      <c r="N342" s="229"/>
      <c r="O342" s="229"/>
      <c r="P342" s="71"/>
      <c r="Q342" s="22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  <c r="BA342" s="39"/>
      <c r="BB342" s="39"/>
      <c r="BC342" s="39"/>
      <c r="BD342" s="39"/>
      <c r="BE342" s="39"/>
      <c r="BF342" s="39"/>
      <c r="BG342" s="39"/>
      <c r="BH342" s="39"/>
      <c r="BI342" s="39"/>
      <c r="BJ342" s="39"/>
      <c r="BK342" s="39"/>
      <c r="BL342" s="39"/>
      <c r="BM342" s="39"/>
      <c r="BN342" s="39"/>
      <c r="BO342" s="39"/>
      <c r="BP342" s="39"/>
      <c r="BQ342" s="39"/>
      <c r="BR342" s="39"/>
      <c r="BS342" s="39"/>
      <c r="BT342" s="39"/>
      <c r="BU342" s="39"/>
      <c r="BV342" s="39"/>
      <c r="BW342" s="39"/>
      <c r="BX342" s="39"/>
      <c r="BY342" s="39"/>
      <c r="BZ342" s="39"/>
      <c r="CA342" s="39"/>
      <c r="CB342" s="39"/>
      <c r="CC342" s="39"/>
      <c r="CD342" s="39"/>
      <c r="CE342" s="39"/>
      <c r="CF342" s="39"/>
      <c r="CG342" s="39"/>
      <c r="CH342" s="39"/>
      <c r="CI342" s="39"/>
      <c r="CJ342" s="39"/>
      <c r="CK342" s="39"/>
      <c r="CL342" s="39"/>
      <c r="CM342" s="39"/>
      <c r="CN342" s="39"/>
      <c r="CO342" s="39"/>
      <c r="CP342" s="39"/>
      <c r="CQ342" s="39"/>
    </row>
    <row r="343" spans="1:95" s="92" customFormat="1" ht="39.950000000000003" customHeight="1" x14ac:dyDescent="0.25">
      <c r="A343" s="229"/>
      <c r="B343" s="229"/>
      <c r="C343" s="229"/>
      <c r="D343" s="229"/>
      <c r="E343" s="229"/>
      <c r="F343" s="229"/>
      <c r="G343" s="229"/>
      <c r="H343" s="229"/>
      <c r="I343" s="68"/>
      <c r="J343" s="71"/>
      <c r="K343" s="229"/>
      <c r="L343" s="229"/>
      <c r="M343" s="229"/>
      <c r="N343" s="229"/>
      <c r="O343" s="229"/>
      <c r="P343" s="71"/>
      <c r="Q343" s="22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  <c r="BA343" s="39"/>
      <c r="BB343" s="39"/>
      <c r="BC343" s="39"/>
      <c r="BD343" s="39"/>
      <c r="BE343" s="39"/>
      <c r="BF343" s="39"/>
      <c r="BG343" s="39"/>
      <c r="BH343" s="39"/>
      <c r="BI343" s="39"/>
      <c r="BJ343" s="39"/>
      <c r="BK343" s="39"/>
      <c r="BL343" s="39"/>
      <c r="BM343" s="39"/>
      <c r="BN343" s="39"/>
      <c r="BO343" s="39"/>
      <c r="BP343" s="39"/>
      <c r="BQ343" s="39"/>
      <c r="BR343" s="39"/>
      <c r="BS343" s="39"/>
      <c r="BT343" s="39"/>
      <c r="BU343" s="39"/>
      <c r="BV343" s="39"/>
      <c r="BW343" s="39"/>
      <c r="BX343" s="39"/>
      <c r="BY343" s="39"/>
      <c r="BZ343" s="39"/>
      <c r="CA343" s="39"/>
      <c r="CB343" s="39"/>
      <c r="CC343" s="39"/>
      <c r="CD343" s="39"/>
      <c r="CE343" s="39"/>
      <c r="CF343" s="39"/>
      <c r="CG343" s="39"/>
      <c r="CH343" s="39"/>
      <c r="CI343" s="39"/>
      <c r="CJ343" s="39"/>
      <c r="CK343" s="39"/>
      <c r="CL343" s="39"/>
      <c r="CM343" s="39"/>
      <c r="CN343" s="39"/>
      <c r="CO343" s="39"/>
      <c r="CP343" s="39"/>
      <c r="CQ343" s="39"/>
    </row>
    <row r="344" spans="1:95" s="92" customFormat="1" ht="39.950000000000003" customHeight="1" x14ac:dyDescent="0.25">
      <c r="A344" s="229"/>
      <c r="B344" s="229"/>
      <c r="C344" s="229"/>
      <c r="D344" s="229"/>
      <c r="E344" s="229"/>
      <c r="F344" s="229"/>
      <c r="G344" s="229"/>
      <c r="H344" s="229"/>
      <c r="I344" s="68"/>
      <c r="J344" s="71"/>
      <c r="K344" s="229"/>
      <c r="L344" s="229"/>
      <c r="M344" s="229"/>
      <c r="N344" s="229"/>
      <c r="O344" s="229"/>
      <c r="P344" s="71"/>
      <c r="Q344" s="22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  <c r="BA344" s="39"/>
      <c r="BB344" s="39"/>
      <c r="BC344" s="39"/>
      <c r="BD344" s="39"/>
      <c r="BE344" s="39"/>
      <c r="BF344" s="39"/>
      <c r="BG344" s="39"/>
      <c r="BH344" s="39"/>
      <c r="BI344" s="39"/>
      <c r="BJ344" s="39"/>
      <c r="BK344" s="39"/>
      <c r="BL344" s="39"/>
      <c r="BM344" s="39"/>
      <c r="BN344" s="39"/>
      <c r="BO344" s="39"/>
      <c r="BP344" s="39"/>
      <c r="BQ344" s="39"/>
      <c r="BR344" s="39"/>
      <c r="BS344" s="39"/>
      <c r="BT344" s="39"/>
      <c r="BU344" s="39"/>
      <c r="BV344" s="39"/>
      <c r="BW344" s="39"/>
      <c r="BX344" s="39"/>
      <c r="BY344" s="39"/>
      <c r="BZ344" s="39"/>
      <c r="CA344" s="39"/>
      <c r="CB344" s="39"/>
      <c r="CC344" s="39"/>
      <c r="CD344" s="39"/>
      <c r="CE344" s="39"/>
      <c r="CF344" s="39"/>
      <c r="CG344" s="39"/>
      <c r="CH344" s="39"/>
      <c r="CI344" s="39"/>
      <c r="CJ344" s="39"/>
      <c r="CK344" s="39"/>
      <c r="CL344" s="39"/>
      <c r="CM344" s="39"/>
      <c r="CN344" s="39"/>
      <c r="CO344" s="39"/>
      <c r="CP344" s="39"/>
      <c r="CQ344" s="39"/>
    </row>
    <row r="345" spans="1:95" s="92" customFormat="1" ht="39.950000000000003" customHeight="1" x14ac:dyDescent="0.25">
      <c r="A345" s="229"/>
      <c r="B345" s="229"/>
      <c r="C345" s="229"/>
      <c r="D345" s="229"/>
      <c r="E345" s="229"/>
      <c r="F345" s="229"/>
      <c r="G345" s="229"/>
      <c r="H345" s="229"/>
      <c r="I345" s="68"/>
      <c r="J345" s="71"/>
      <c r="K345" s="229"/>
      <c r="L345" s="229"/>
      <c r="M345" s="229"/>
      <c r="N345" s="229"/>
      <c r="O345" s="229"/>
      <c r="P345" s="71"/>
      <c r="Q345" s="22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  <c r="BA345" s="39"/>
      <c r="BB345" s="39"/>
      <c r="BC345" s="39"/>
      <c r="BD345" s="39"/>
      <c r="BE345" s="39"/>
      <c r="BF345" s="39"/>
      <c r="BG345" s="39"/>
      <c r="BH345" s="39"/>
      <c r="BI345" s="39"/>
      <c r="BJ345" s="39"/>
      <c r="BK345" s="39"/>
      <c r="BL345" s="39"/>
      <c r="BM345" s="39"/>
      <c r="BN345" s="39"/>
      <c r="BO345" s="39"/>
      <c r="BP345" s="39"/>
      <c r="BQ345" s="39"/>
      <c r="BR345" s="39"/>
      <c r="BS345" s="39"/>
      <c r="BT345" s="39"/>
      <c r="BU345" s="39"/>
      <c r="BV345" s="39"/>
      <c r="BW345" s="39"/>
      <c r="BX345" s="39"/>
      <c r="BY345" s="39"/>
      <c r="BZ345" s="39"/>
      <c r="CA345" s="39"/>
      <c r="CB345" s="39"/>
      <c r="CC345" s="39"/>
      <c r="CD345" s="39"/>
      <c r="CE345" s="39"/>
      <c r="CF345" s="39"/>
      <c r="CG345" s="39"/>
      <c r="CH345" s="39"/>
      <c r="CI345" s="39"/>
      <c r="CJ345" s="39"/>
      <c r="CK345" s="39"/>
      <c r="CL345" s="39"/>
      <c r="CM345" s="39"/>
      <c r="CN345" s="39"/>
      <c r="CO345" s="39"/>
      <c r="CP345" s="39"/>
      <c r="CQ345" s="39"/>
    </row>
    <row r="346" spans="1:95" s="92" customFormat="1" ht="39.950000000000003" customHeight="1" x14ac:dyDescent="0.25">
      <c r="A346" s="229"/>
      <c r="B346" s="229"/>
      <c r="C346" s="229"/>
      <c r="D346" s="229"/>
      <c r="E346" s="229"/>
      <c r="F346" s="229"/>
      <c r="G346" s="229"/>
      <c r="H346" s="229"/>
      <c r="I346" s="68"/>
      <c r="J346" s="71"/>
      <c r="K346" s="229"/>
      <c r="L346" s="229"/>
      <c r="M346" s="229"/>
      <c r="N346" s="229"/>
      <c r="O346" s="229"/>
      <c r="P346" s="71"/>
      <c r="Q346" s="22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  <c r="BA346" s="39"/>
      <c r="BB346" s="39"/>
      <c r="BC346" s="39"/>
      <c r="BD346" s="39"/>
      <c r="BE346" s="39"/>
      <c r="BF346" s="39"/>
      <c r="BG346" s="39"/>
      <c r="BH346" s="39"/>
      <c r="BI346" s="39"/>
      <c r="BJ346" s="39"/>
      <c r="BK346" s="39"/>
      <c r="BL346" s="39"/>
      <c r="BM346" s="39"/>
      <c r="BN346" s="39"/>
      <c r="BO346" s="39"/>
      <c r="BP346" s="39"/>
      <c r="BQ346" s="39"/>
      <c r="BR346" s="39"/>
      <c r="BS346" s="39"/>
      <c r="BT346" s="39"/>
      <c r="BU346" s="39"/>
      <c r="BV346" s="39"/>
      <c r="BW346" s="39"/>
      <c r="BX346" s="39"/>
      <c r="BY346" s="39"/>
      <c r="BZ346" s="39"/>
      <c r="CA346" s="39"/>
      <c r="CB346" s="39"/>
      <c r="CC346" s="39"/>
      <c r="CD346" s="39"/>
      <c r="CE346" s="39"/>
      <c r="CF346" s="39"/>
      <c r="CG346" s="39"/>
      <c r="CH346" s="39"/>
      <c r="CI346" s="39"/>
      <c r="CJ346" s="39"/>
      <c r="CK346" s="39"/>
      <c r="CL346" s="39"/>
      <c r="CM346" s="39"/>
      <c r="CN346" s="39"/>
      <c r="CO346" s="39"/>
      <c r="CP346" s="39"/>
      <c r="CQ346" s="39"/>
    </row>
    <row r="347" spans="1:95" s="92" customFormat="1" ht="39.950000000000003" customHeight="1" x14ac:dyDescent="0.25">
      <c r="A347" s="229"/>
      <c r="B347" s="229"/>
      <c r="C347" s="229"/>
      <c r="D347" s="229"/>
      <c r="E347" s="229"/>
      <c r="F347" s="229"/>
      <c r="G347" s="229"/>
      <c r="H347" s="229"/>
      <c r="I347" s="68"/>
      <c r="J347" s="71"/>
      <c r="K347" s="229"/>
      <c r="L347" s="229"/>
      <c r="M347" s="229"/>
      <c r="N347" s="229"/>
      <c r="O347" s="229"/>
      <c r="P347" s="71"/>
      <c r="Q347" s="22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  <c r="BA347" s="39"/>
      <c r="BB347" s="39"/>
      <c r="BC347" s="39"/>
      <c r="BD347" s="39"/>
      <c r="BE347" s="39"/>
      <c r="BF347" s="39"/>
      <c r="BG347" s="39"/>
      <c r="BH347" s="39"/>
      <c r="BI347" s="39"/>
      <c r="BJ347" s="39"/>
      <c r="BK347" s="39"/>
      <c r="BL347" s="39"/>
      <c r="BM347" s="39"/>
      <c r="BN347" s="39"/>
      <c r="BO347" s="39"/>
      <c r="BP347" s="39"/>
      <c r="BQ347" s="39"/>
      <c r="BR347" s="39"/>
      <c r="BS347" s="39"/>
      <c r="BT347" s="39"/>
      <c r="BU347" s="39"/>
      <c r="BV347" s="39"/>
      <c r="BW347" s="39"/>
      <c r="BX347" s="39"/>
      <c r="BY347" s="39"/>
      <c r="BZ347" s="39"/>
      <c r="CA347" s="39"/>
      <c r="CB347" s="39"/>
      <c r="CC347" s="39"/>
      <c r="CD347" s="39"/>
      <c r="CE347" s="39"/>
      <c r="CF347" s="39"/>
      <c r="CG347" s="39"/>
      <c r="CH347" s="39"/>
      <c r="CI347" s="39"/>
      <c r="CJ347" s="39"/>
      <c r="CK347" s="39"/>
      <c r="CL347" s="39"/>
      <c r="CM347" s="39"/>
      <c r="CN347" s="39"/>
      <c r="CO347" s="39"/>
      <c r="CP347" s="39"/>
      <c r="CQ347" s="39"/>
    </row>
    <row r="348" spans="1:95" s="92" customFormat="1" ht="39.950000000000003" customHeight="1" x14ac:dyDescent="0.25">
      <c r="A348" s="229"/>
      <c r="B348" s="229"/>
      <c r="C348" s="229"/>
      <c r="D348" s="229"/>
      <c r="E348" s="229"/>
      <c r="F348" s="229"/>
      <c r="G348" s="229"/>
      <c r="H348" s="229"/>
      <c r="I348" s="68"/>
      <c r="J348" s="71"/>
      <c r="K348" s="229"/>
      <c r="L348" s="229"/>
      <c r="M348" s="229"/>
      <c r="N348" s="229"/>
      <c r="O348" s="229"/>
      <c r="P348" s="71"/>
      <c r="Q348" s="22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  <c r="BA348" s="39"/>
      <c r="BB348" s="39"/>
      <c r="BC348" s="39"/>
      <c r="BD348" s="39"/>
      <c r="BE348" s="39"/>
      <c r="BF348" s="39"/>
      <c r="BG348" s="39"/>
      <c r="BH348" s="39"/>
      <c r="BI348" s="39"/>
      <c r="BJ348" s="39"/>
      <c r="BK348" s="39"/>
      <c r="BL348" s="39"/>
      <c r="BM348" s="39"/>
      <c r="BN348" s="39"/>
      <c r="BO348" s="39"/>
      <c r="BP348" s="39"/>
      <c r="BQ348" s="39"/>
      <c r="BR348" s="39"/>
      <c r="BS348" s="39"/>
      <c r="BT348" s="39"/>
      <c r="BU348" s="39"/>
      <c r="BV348" s="39"/>
      <c r="BW348" s="39"/>
      <c r="BX348" s="39"/>
      <c r="BY348" s="39"/>
      <c r="BZ348" s="39"/>
      <c r="CA348" s="39"/>
      <c r="CB348" s="39"/>
      <c r="CC348" s="39"/>
      <c r="CD348" s="39"/>
      <c r="CE348" s="39"/>
      <c r="CF348" s="39"/>
      <c r="CG348" s="39"/>
      <c r="CH348" s="39"/>
      <c r="CI348" s="39"/>
      <c r="CJ348" s="39"/>
      <c r="CK348" s="39"/>
      <c r="CL348" s="39"/>
      <c r="CM348" s="39"/>
      <c r="CN348" s="39"/>
      <c r="CO348" s="39"/>
      <c r="CP348" s="39"/>
      <c r="CQ348" s="39"/>
    </row>
    <row r="349" spans="1:95" s="92" customFormat="1" ht="39.950000000000003" customHeight="1" x14ac:dyDescent="0.25">
      <c r="A349" s="229"/>
      <c r="B349" s="229"/>
      <c r="C349" s="229"/>
      <c r="D349" s="229"/>
      <c r="E349" s="229"/>
      <c r="F349" s="229"/>
      <c r="G349" s="229"/>
      <c r="H349" s="229"/>
      <c r="I349" s="68"/>
      <c r="J349" s="71"/>
      <c r="K349" s="229"/>
      <c r="L349" s="229"/>
      <c r="M349" s="229"/>
      <c r="N349" s="229"/>
      <c r="O349" s="229"/>
      <c r="P349" s="71"/>
      <c r="Q349" s="22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  <c r="BA349" s="39"/>
      <c r="BB349" s="39"/>
      <c r="BC349" s="39"/>
      <c r="BD349" s="39"/>
      <c r="BE349" s="39"/>
      <c r="BF349" s="39"/>
      <c r="BG349" s="39"/>
      <c r="BH349" s="39"/>
      <c r="BI349" s="39"/>
      <c r="BJ349" s="39"/>
      <c r="BK349" s="39"/>
      <c r="BL349" s="39"/>
      <c r="BM349" s="39"/>
      <c r="BN349" s="39"/>
      <c r="BO349" s="39"/>
      <c r="BP349" s="39"/>
      <c r="BQ349" s="39"/>
      <c r="BR349" s="39"/>
      <c r="BS349" s="39"/>
      <c r="BT349" s="39"/>
      <c r="BU349" s="39"/>
      <c r="BV349" s="39"/>
      <c r="BW349" s="39"/>
      <c r="BX349" s="39"/>
      <c r="BY349" s="39"/>
      <c r="BZ349" s="39"/>
      <c r="CA349" s="39"/>
      <c r="CB349" s="39"/>
      <c r="CC349" s="39"/>
      <c r="CD349" s="39"/>
      <c r="CE349" s="39"/>
      <c r="CF349" s="39"/>
      <c r="CG349" s="39"/>
      <c r="CH349" s="39"/>
      <c r="CI349" s="39"/>
      <c r="CJ349" s="39"/>
      <c r="CK349" s="39"/>
      <c r="CL349" s="39"/>
      <c r="CM349" s="39"/>
      <c r="CN349" s="39"/>
      <c r="CO349" s="39"/>
      <c r="CP349" s="39"/>
      <c r="CQ349" s="39"/>
    </row>
    <row r="350" spans="1:95" s="92" customFormat="1" ht="39.950000000000003" customHeight="1" x14ac:dyDescent="0.25">
      <c r="A350" s="229"/>
      <c r="B350" s="229"/>
      <c r="C350" s="229"/>
      <c r="D350" s="229"/>
      <c r="E350" s="229"/>
      <c r="F350" s="229"/>
      <c r="G350" s="229"/>
      <c r="H350" s="229"/>
      <c r="I350" s="68"/>
      <c r="J350" s="71"/>
      <c r="K350" s="229"/>
      <c r="L350" s="229"/>
      <c r="M350" s="229"/>
      <c r="N350" s="229"/>
      <c r="O350" s="229"/>
      <c r="P350" s="71"/>
      <c r="Q350" s="22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  <c r="BA350" s="39"/>
      <c r="BB350" s="39"/>
      <c r="BC350" s="39"/>
      <c r="BD350" s="39"/>
      <c r="BE350" s="39"/>
      <c r="BF350" s="39"/>
      <c r="BG350" s="39"/>
      <c r="BH350" s="39"/>
      <c r="BI350" s="39"/>
      <c r="BJ350" s="39"/>
      <c r="BK350" s="39"/>
      <c r="BL350" s="39"/>
      <c r="BM350" s="39"/>
      <c r="BN350" s="39"/>
      <c r="BO350" s="39"/>
      <c r="BP350" s="39"/>
      <c r="BQ350" s="39"/>
      <c r="BR350" s="39"/>
      <c r="BS350" s="39"/>
      <c r="BT350" s="39"/>
      <c r="BU350" s="39"/>
      <c r="BV350" s="39"/>
      <c r="BW350" s="39"/>
      <c r="BX350" s="39"/>
      <c r="BY350" s="39"/>
      <c r="BZ350" s="39"/>
      <c r="CA350" s="39"/>
      <c r="CB350" s="39"/>
      <c r="CC350" s="39"/>
      <c r="CD350" s="39"/>
      <c r="CE350" s="39"/>
      <c r="CF350" s="39"/>
      <c r="CG350" s="39"/>
      <c r="CH350" s="39"/>
      <c r="CI350" s="39"/>
      <c r="CJ350" s="39"/>
      <c r="CK350" s="39"/>
      <c r="CL350" s="39"/>
      <c r="CM350" s="39"/>
      <c r="CN350" s="39"/>
      <c r="CO350" s="39"/>
      <c r="CP350" s="39"/>
      <c r="CQ350" s="39"/>
    </row>
    <row r="351" spans="1:95" s="92" customFormat="1" ht="39.950000000000003" customHeight="1" x14ac:dyDescent="0.25">
      <c r="A351" s="229"/>
      <c r="B351" s="229"/>
      <c r="C351" s="229"/>
      <c r="D351" s="229"/>
      <c r="E351" s="229"/>
      <c r="F351" s="229"/>
      <c r="G351" s="229"/>
      <c r="H351" s="229"/>
      <c r="I351" s="68"/>
      <c r="J351" s="71"/>
      <c r="K351" s="229"/>
      <c r="L351" s="229"/>
      <c r="M351" s="229"/>
      <c r="N351" s="229"/>
      <c r="O351" s="229"/>
      <c r="P351" s="71"/>
      <c r="Q351" s="22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  <c r="BA351" s="39"/>
      <c r="BB351" s="39"/>
      <c r="BC351" s="39"/>
      <c r="BD351" s="39"/>
      <c r="BE351" s="39"/>
      <c r="BF351" s="39"/>
      <c r="BG351" s="39"/>
      <c r="BH351" s="39"/>
      <c r="BI351" s="39"/>
      <c r="BJ351" s="39"/>
      <c r="BK351" s="39"/>
      <c r="BL351" s="39"/>
      <c r="BM351" s="39"/>
      <c r="BN351" s="39"/>
      <c r="BO351" s="39"/>
      <c r="BP351" s="39"/>
      <c r="BQ351" s="39"/>
      <c r="BR351" s="39"/>
      <c r="BS351" s="39"/>
      <c r="BT351" s="39"/>
      <c r="BU351" s="39"/>
      <c r="BV351" s="39"/>
      <c r="BW351" s="39"/>
      <c r="BX351" s="39"/>
      <c r="BY351" s="39"/>
      <c r="BZ351" s="39"/>
      <c r="CA351" s="39"/>
      <c r="CB351" s="39"/>
      <c r="CC351" s="39"/>
      <c r="CD351" s="39"/>
      <c r="CE351" s="39"/>
      <c r="CF351" s="39"/>
      <c r="CG351" s="39"/>
      <c r="CH351" s="39"/>
      <c r="CI351" s="39"/>
      <c r="CJ351" s="39"/>
      <c r="CK351" s="39"/>
      <c r="CL351" s="39"/>
      <c r="CM351" s="39"/>
      <c r="CN351" s="39"/>
      <c r="CO351" s="39"/>
      <c r="CP351" s="39"/>
      <c r="CQ351" s="39"/>
    </row>
    <row r="352" spans="1:95" s="92" customFormat="1" ht="39.950000000000003" customHeight="1" x14ac:dyDescent="0.25">
      <c r="A352" s="229"/>
      <c r="B352" s="229"/>
      <c r="C352" s="229"/>
      <c r="D352" s="229"/>
      <c r="E352" s="229"/>
      <c r="F352" s="229"/>
      <c r="G352" s="229"/>
      <c r="H352" s="229"/>
      <c r="I352" s="68"/>
      <c r="J352" s="71"/>
      <c r="K352" s="229"/>
      <c r="L352" s="229"/>
      <c r="M352" s="229"/>
      <c r="N352" s="229"/>
      <c r="O352" s="229"/>
      <c r="P352" s="71"/>
      <c r="Q352" s="22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  <c r="BA352" s="39"/>
      <c r="BB352" s="39"/>
      <c r="BC352" s="39"/>
      <c r="BD352" s="39"/>
      <c r="BE352" s="39"/>
      <c r="BF352" s="39"/>
      <c r="BG352" s="39"/>
      <c r="BH352" s="39"/>
      <c r="BI352" s="39"/>
      <c r="BJ352" s="39"/>
      <c r="BK352" s="39"/>
      <c r="BL352" s="39"/>
      <c r="BM352" s="39"/>
      <c r="BN352" s="39"/>
      <c r="BO352" s="39"/>
      <c r="BP352" s="39"/>
      <c r="BQ352" s="39"/>
      <c r="BR352" s="39"/>
      <c r="BS352" s="39"/>
      <c r="BT352" s="39"/>
      <c r="BU352" s="39"/>
      <c r="BV352" s="39"/>
      <c r="BW352" s="39"/>
      <c r="BX352" s="39"/>
      <c r="BY352" s="39"/>
      <c r="BZ352" s="39"/>
      <c r="CA352" s="39"/>
      <c r="CB352" s="39"/>
      <c r="CC352" s="39"/>
      <c r="CD352" s="39"/>
      <c r="CE352" s="39"/>
      <c r="CF352" s="39"/>
      <c r="CG352" s="39"/>
      <c r="CH352" s="39"/>
      <c r="CI352" s="39"/>
      <c r="CJ352" s="39"/>
      <c r="CK352" s="39"/>
      <c r="CL352" s="39"/>
      <c r="CM352" s="39"/>
      <c r="CN352" s="39"/>
      <c r="CO352" s="39"/>
      <c r="CP352" s="39"/>
      <c r="CQ352" s="39"/>
    </row>
    <row r="353" spans="1:95" s="92" customFormat="1" ht="39.950000000000003" customHeight="1" x14ac:dyDescent="0.25">
      <c r="A353" s="229"/>
      <c r="B353" s="229"/>
      <c r="C353" s="229"/>
      <c r="D353" s="229"/>
      <c r="E353" s="229"/>
      <c r="F353" s="229"/>
      <c r="G353" s="229"/>
      <c r="H353" s="229"/>
      <c r="I353" s="68"/>
      <c r="J353" s="71"/>
      <c r="K353" s="229"/>
      <c r="L353" s="229"/>
      <c r="M353" s="229"/>
      <c r="N353" s="229"/>
      <c r="O353" s="229"/>
      <c r="P353" s="71"/>
      <c r="Q353" s="22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  <c r="BA353" s="39"/>
      <c r="BB353" s="39"/>
      <c r="BC353" s="39"/>
      <c r="BD353" s="39"/>
      <c r="BE353" s="39"/>
      <c r="BF353" s="39"/>
      <c r="BG353" s="39"/>
      <c r="BH353" s="39"/>
      <c r="BI353" s="39"/>
      <c r="BJ353" s="39"/>
      <c r="BK353" s="39"/>
      <c r="BL353" s="39"/>
      <c r="BM353" s="39"/>
      <c r="BN353" s="39"/>
      <c r="BO353" s="39"/>
      <c r="BP353" s="39"/>
      <c r="BQ353" s="39"/>
      <c r="BR353" s="39"/>
      <c r="BS353" s="39"/>
      <c r="BT353" s="39"/>
      <c r="BU353" s="39"/>
      <c r="BV353" s="39"/>
      <c r="BW353" s="39"/>
      <c r="BX353" s="39"/>
      <c r="BY353" s="39"/>
      <c r="BZ353" s="39"/>
      <c r="CA353" s="39"/>
      <c r="CB353" s="39"/>
      <c r="CC353" s="39"/>
      <c r="CD353" s="39"/>
      <c r="CE353" s="39"/>
      <c r="CF353" s="39"/>
      <c r="CG353" s="39"/>
      <c r="CH353" s="39"/>
      <c r="CI353" s="39"/>
      <c r="CJ353" s="39"/>
      <c r="CK353" s="39"/>
      <c r="CL353" s="39"/>
      <c r="CM353" s="39"/>
      <c r="CN353" s="39"/>
      <c r="CO353" s="39"/>
      <c r="CP353" s="39"/>
      <c r="CQ353" s="39"/>
    </row>
    <row r="354" spans="1:95" s="92" customFormat="1" ht="39.950000000000003" customHeight="1" x14ac:dyDescent="0.25">
      <c r="A354" s="229"/>
      <c r="B354" s="229"/>
      <c r="C354" s="229"/>
      <c r="D354" s="229"/>
      <c r="E354" s="229"/>
      <c r="F354" s="229"/>
      <c r="G354" s="229"/>
      <c r="H354" s="229"/>
      <c r="I354" s="68"/>
      <c r="J354" s="71"/>
      <c r="K354" s="229"/>
      <c r="L354" s="229"/>
      <c r="M354" s="229"/>
      <c r="N354" s="229"/>
      <c r="O354" s="229"/>
      <c r="P354" s="71"/>
      <c r="Q354" s="22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  <c r="BA354" s="39"/>
      <c r="BB354" s="39"/>
      <c r="BC354" s="39"/>
      <c r="BD354" s="39"/>
      <c r="BE354" s="39"/>
      <c r="BF354" s="39"/>
      <c r="BG354" s="39"/>
      <c r="BH354" s="39"/>
      <c r="BI354" s="39"/>
      <c r="BJ354" s="39"/>
      <c r="BK354" s="39"/>
      <c r="BL354" s="39"/>
      <c r="BM354" s="39"/>
      <c r="BN354" s="39"/>
      <c r="BO354" s="39"/>
      <c r="BP354" s="39"/>
      <c r="BQ354" s="39"/>
      <c r="BR354" s="39"/>
      <c r="BS354" s="39"/>
      <c r="BT354" s="39"/>
      <c r="BU354" s="39"/>
      <c r="BV354" s="39"/>
      <c r="BW354" s="39"/>
      <c r="BX354" s="39"/>
      <c r="BY354" s="39"/>
      <c r="BZ354" s="39"/>
      <c r="CA354" s="39"/>
      <c r="CB354" s="39"/>
      <c r="CC354" s="39"/>
      <c r="CD354" s="39"/>
      <c r="CE354" s="39"/>
      <c r="CF354" s="39"/>
      <c r="CG354" s="39"/>
      <c r="CH354" s="39"/>
      <c r="CI354" s="39"/>
      <c r="CJ354" s="39"/>
      <c r="CK354" s="39"/>
      <c r="CL354" s="39"/>
      <c r="CM354" s="39"/>
      <c r="CN354" s="39"/>
      <c r="CO354" s="39"/>
      <c r="CP354" s="39"/>
      <c r="CQ354" s="39"/>
    </row>
    <row r="355" spans="1:95" s="92" customFormat="1" ht="39.950000000000003" customHeight="1" x14ac:dyDescent="0.25">
      <c r="A355" s="229"/>
      <c r="B355" s="229"/>
      <c r="C355" s="229"/>
      <c r="D355" s="229"/>
      <c r="E355" s="229"/>
      <c r="F355" s="229"/>
      <c r="G355" s="229"/>
      <c r="H355" s="229"/>
      <c r="I355" s="68"/>
      <c r="J355" s="71"/>
      <c r="K355" s="229"/>
      <c r="L355" s="229"/>
      <c r="M355" s="229"/>
      <c r="N355" s="229"/>
      <c r="O355" s="229"/>
      <c r="P355" s="71"/>
      <c r="Q355" s="22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  <c r="BA355" s="39"/>
      <c r="BB355" s="39"/>
      <c r="BC355" s="39"/>
      <c r="BD355" s="39"/>
      <c r="BE355" s="39"/>
      <c r="BF355" s="39"/>
      <c r="BG355" s="39"/>
      <c r="BH355" s="39"/>
      <c r="BI355" s="39"/>
      <c r="BJ355" s="39"/>
      <c r="BK355" s="39"/>
      <c r="BL355" s="39"/>
      <c r="BM355" s="39"/>
      <c r="BN355" s="39"/>
      <c r="BO355" s="39"/>
      <c r="BP355" s="39"/>
      <c r="BQ355" s="39"/>
      <c r="BR355" s="39"/>
      <c r="BS355" s="39"/>
      <c r="BT355" s="39"/>
      <c r="BU355" s="39"/>
      <c r="BV355" s="39"/>
      <c r="BW355" s="39"/>
      <c r="BX355" s="39"/>
      <c r="BY355" s="39"/>
      <c r="BZ355" s="39"/>
      <c r="CA355" s="39"/>
      <c r="CB355" s="39"/>
      <c r="CC355" s="39"/>
      <c r="CD355" s="39"/>
      <c r="CE355" s="39"/>
      <c r="CF355" s="39"/>
      <c r="CG355" s="39"/>
      <c r="CH355" s="39"/>
      <c r="CI355" s="39"/>
      <c r="CJ355" s="39"/>
      <c r="CK355" s="39"/>
      <c r="CL355" s="39"/>
      <c r="CM355" s="39"/>
      <c r="CN355" s="39"/>
      <c r="CO355" s="39"/>
      <c r="CP355" s="39"/>
      <c r="CQ355" s="39"/>
    </row>
    <row r="356" spans="1:95" s="92" customFormat="1" ht="39.950000000000003" customHeight="1" x14ac:dyDescent="0.25">
      <c r="A356" s="229"/>
      <c r="B356" s="229"/>
      <c r="C356" s="229"/>
      <c r="D356" s="229"/>
      <c r="E356" s="229"/>
      <c r="F356" s="229"/>
      <c r="G356" s="229"/>
      <c r="H356" s="229"/>
      <c r="I356" s="68"/>
      <c r="J356" s="71"/>
      <c r="K356" s="229"/>
      <c r="L356" s="229"/>
      <c r="M356" s="229"/>
      <c r="N356" s="229"/>
      <c r="O356" s="229"/>
      <c r="P356" s="71"/>
      <c r="Q356" s="22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/>
      <c r="BO356" s="39"/>
      <c r="BP356" s="39"/>
      <c r="BQ356" s="39"/>
      <c r="BR356" s="39"/>
      <c r="BS356" s="39"/>
      <c r="BT356" s="39"/>
      <c r="BU356" s="39"/>
      <c r="BV356" s="39"/>
      <c r="BW356" s="39"/>
      <c r="BX356" s="39"/>
      <c r="BY356" s="39"/>
      <c r="BZ356" s="39"/>
      <c r="CA356" s="39"/>
      <c r="CB356" s="39"/>
      <c r="CC356" s="39"/>
      <c r="CD356" s="39"/>
      <c r="CE356" s="39"/>
      <c r="CF356" s="39"/>
      <c r="CG356" s="39"/>
      <c r="CH356" s="39"/>
      <c r="CI356" s="39"/>
      <c r="CJ356" s="39"/>
      <c r="CK356" s="39"/>
      <c r="CL356" s="39"/>
      <c r="CM356" s="39"/>
      <c r="CN356" s="39"/>
      <c r="CO356" s="39"/>
      <c r="CP356" s="39"/>
      <c r="CQ356" s="39"/>
    </row>
    <row r="357" spans="1:95" s="92" customFormat="1" ht="39.950000000000003" customHeight="1" x14ac:dyDescent="0.25">
      <c r="A357" s="229"/>
      <c r="B357" s="229"/>
      <c r="C357" s="229"/>
      <c r="D357" s="229"/>
      <c r="E357" s="229"/>
      <c r="F357" s="229"/>
      <c r="G357" s="229"/>
      <c r="H357" s="229"/>
      <c r="I357" s="68"/>
      <c r="J357" s="71"/>
      <c r="K357" s="229"/>
      <c r="L357" s="229"/>
      <c r="M357" s="229"/>
      <c r="N357" s="229"/>
      <c r="O357" s="229"/>
      <c r="P357" s="71"/>
      <c r="Q357" s="22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  <c r="BA357" s="39"/>
      <c r="BB357" s="39"/>
      <c r="BC357" s="39"/>
      <c r="BD357" s="39"/>
      <c r="BE357" s="39"/>
      <c r="BF357" s="39"/>
      <c r="BG357" s="39"/>
      <c r="BH357" s="39"/>
      <c r="BI357" s="39"/>
      <c r="BJ357" s="39"/>
      <c r="BK357" s="39"/>
      <c r="BL357" s="39"/>
      <c r="BM357" s="39"/>
      <c r="BN357" s="39"/>
      <c r="BO357" s="39"/>
      <c r="BP357" s="39"/>
      <c r="BQ357" s="39"/>
      <c r="BR357" s="39"/>
      <c r="BS357" s="39"/>
      <c r="BT357" s="39"/>
      <c r="BU357" s="39"/>
      <c r="BV357" s="39"/>
      <c r="BW357" s="39"/>
      <c r="BX357" s="39"/>
      <c r="BY357" s="39"/>
      <c r="BZ357" s="39"/>
      <c r="CA357" s="39"/>
      <c r="CB357" s="39"/>
      <c r="CC357" s="39"/>
      <c r="CD357" s="39"/>
      <c r="CE357" s="39"/>
      <c r="CF357" s="39"/>
      <c r="CG357" s="39"/>
      <c r="CH357" s="39"/>
      <c r="CI357" s="39"/>
      <c r="CJ357" s="39"/>
      <c r="CK357" s="39"/>
      <c r="CL357" s="39"/>
      <c r="CM357" s="39"/>
      <c r="CN357" s="39"/>
      <c r="CO357" s="39"/>
      <c r="CP357" s="39"/>
      <c r="CQ357" s="39"/>
    </row>
    <row r="358" spans="1:95" s="92" customFormat="1" ht="39.950000000000003" customHeight="1" x14ac:dyDescent="0.25">
      <c r="A358" s="229"/>
      <c r="B358" s="229"/>
      <c r="C358" s="229"/>
      <c r="D358" s="229"/>
      <c r="E358" s="229"/>
      <c r="F358" s="229"/>
      <c r="G358" s="229"/>
      <c r="H358" s="229"/>
      <c r="I358" s="68"/>
      <c r="J358" s="71"/>
      <c r="K358" s="229"/>
      <c r="L358" s="229"/>
      <c r="M358" s="229"/>
      <c r="N358" s="229"/>
      <c r="O358" s="229"/>
      <c r="P358" s="71"/>
      <c r="Q358" s="22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  <c r="BA358" s="39"/>
      <c r="BB358" s="39"/>
      <c r="BC358" s="39"/>
      <c r="BD358" s="39"/>
      <c r="BE358" s="39"/>
      <c r="BF358" s="39"/>
      <c r="BG358" s="39"/>
      <c r="BH358" s="39"/>
      <c r="BI358" s="39"/>
      <c r="BJ358" s="39"/>
      <c r="BK358" s="39"/>
      <c r="BL358" s="39"/>
      <c r="BM358" s="39"/>
      <c r="BN358" s="39"/>
      <c r="BO358" s="39"/>
      <c r="BP358" s="39"/>
      <c r="BQ358" s="39"/>
      <c r="BR358" s="39"/>
      <c r="BS358" s="39"/>
      <c r="BT358" s="39"/>
      <c r="BU358" s="39"/>
      <c r="BV358" s="39"/>
      <c r="BW358" s="39"/>
      <c r="BX358" s="39"/>
      <c r="BY358" s="39"/>
      <c r="BZ358" s="39"/>
      <c r="CA358" s="39"/>
      <c r="CB358" s="39"/>
      <c r="CC358" s="39"/>
      <c r="CD358" s="39"/>
      <c r="CE358" s="39"/>
      <c r="CF358" s="39"/>
      <c r="CG358" s="39"/>
      <c r="CH358" s="39"/>
      <c r="CI358" s="39"/>
      <c r="CJ358" s="39"/>
      <c r="CK358" s="39"/>
      <c r="CL358" s="39"/>
      <c r="CM358" s="39"/>
      <c r="CN358" s="39"/>
      <c r="CO358" s="39"/>
      <c r="CP358" s="39"/>
      <c r="CQ358" s="39"/>
    </row>
    <row r="359" spans="1:95" s="92" customFormat="1" ht="39.950000000000003" customHeight="1" x14ac:dyDescent="0.25">
      <c r="A359" s="229"/>
      <c r="B359" s="229"/>
      <c r="C359" s="229"/>
      <c r="D359" s="229"/>
      <c r="E359" s="229"/>
      <c r="F359" s="229"/>
      <c r="G359" s="229"/>
      <c r="H359" s="229"/>
      <c r="I359" s="68"/>
      <c r="J359" s="71"/>
      <c r="K359" s="229"/>
      <c r="L359" s="229"/>
      <c r="M359" s="229"/>
      <c r="N359" s="229"/>
      <c r="O359" s="229"/>
      <c r="P359" s="71"/>
      <c r="Q359" s="22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  <c r="BA359" s="39"/>
      <c r="BB359" s="39"/>
      <c r="BC359" s="39"/>
      <c r="BD359" s="39"/>
      <c r="BE359" s="39"/>
      <c r="BF359" s="39"/>
      <c r="BG359" s="39"/>
      <c r="BH359" s="39"/>
      <c r="BI359" s="39"/>
      <c r="BJ359" s="39"/>
      <c r="BK359" s="39"/>
      <c r="BL359" s="39"/>
      <c r="BM359" s="39"/>
      <c r="BN359" s="39"/>
      <c r="BO359" s="39"/>
      <c r="BP359" s="39"/>
      <c r="BQ359" s="39"/>
      <c r="BR359" s="39"/>
      <c r="BS359" s="39"/>
      <c r="BT359" s="39"/>
      <c r="BU359" s="39"/>
      <c r="BV359" s="39"/>
      <c r="BW359" s="39"/>
      <c r="BX359" s="39"/>
      <c r="BY359" s="39"/>
      <c r="BZ359" s="39"/>
      <c r="CA359" s="39"/>
      <c r="CB359" s="39"/>
      <c r="CC359" s="39"/>
      <c r="CD359" s="39"/>
      <c r="CE359" s="39"/>
      <c r="CF359" s="39"/>
      <c r="CG359" s="39"/>
      <c r="CH359" s="39"/>
      <c r="CI359" s="39"/>
      <c r="CJ359" s="39"/>
      <c r="CK359" s="39"/>
      <c r="CL359" s="39"/>
      <c r="CM359" s="39"/>
      <c r="CN359" s="39"/>
      <c r="CO359" s="39"/>
      <c r="CP359" s="39"/>
      <c r="CQ359" s="39"/>
    </row>
    <row r="360" spans="1:95" s="92" customFormat="1" ht="39.950000000000003" customHeight="1" x14ac:dyDescent="0.25">
      <c r="A360" s="229"/>
      <c r="B360" s="229"/>
      <c r="C360" s="229"/>
      <c r="D360" s="229"/>
      <c r="E360" s="229"/>
      <c r="F360" s="229"/>
      <c r="G360" s="229"/>
      <c r="H360" s="229"/>
      <c r="I360" s="68"/>
      <c r="J360" s="71"/>
      <c r="K360" s="229"/>
      <c r="L360" s="229"/>
      <c r="M360" s="229"/>
      <c r="N360" s="229"/>
      <c r="O360" s="229"/>
      <c r="P360" s="71"/>
      <c r="Q360" s="22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  <c r="BA360" s="39"/>
      <c r="BB360" s="39"/>
      <c r="BC360" s="39"/>
      <c r="BD360" s="39"/>
      <c r="BE360" s="39"/>
      <c r="BF360" s="39"/>
      <c r="BG360" s="39"/>
      <c r="BH360" s="39"/>
      <c r="BI360" s="39"/>
      <c r="BJ360" s="39"/>
      <c r="BK360" s="39"/>
      <c r="BL360" s="39"/>
      <c r="BM360" s="39"/>
      <c r="BN360" s="39"/>
      <c r="BO360" s="39"/>
      <c r="BP360" s="39"/>
      <c r="BQ360" s="39"/>
      <c r="BR360" s="39"/>
      <c r="BS360" s="39"/>
      <c r="BT360" s="39"/>
      <c r="BU360" s="39"/>
      <c r="BV360" s="39"/>
      <c r="BW360" s="39"/>
      <c r="BX360" s="39"/>
      <c r="BY360" s="39"/>
      <c r="BZ360" s="39"/>
      <c r="CA360" s="39"/>
      <c r="CB360" s="39"/>
      <c r="CC360" s="39"/>
      <c r="CD360" s="39"/>
      <c r="CE360" s="39"/>
      <c r="CF360" s="39"/>
      <c r="CG360" s="39"/>
      <c r="CH360" s="39"/>
      <c r="CI360" s="39"/>
      <c r="CJ360" s="39"/>
      <c r="CK360" s="39"/>
      <c r="CL360" s="39"/>
      <c r="CM360" s="39"/>
      <c r="CN360" s="39"/>
      <c r="CO360" s="39"/>
      <c r="CP360" s="39"/>
      <c r="CQ360" s="39"/>
    </row>
    <row r="361" spans="1:95" s="92" customFormat="1" ht="39.950000000000003" customHeight="1" x14ac:dyDescent="0.25">
      <c r="A361" s="229"/>
      <c r="B361" s="229"/>
      <c r="C361" s="229"/>
      <c r="D361" s="229"/>
      <c r="E361" s="229"/>
      <c r="F361" s="229"/>
      <c r="G361" s="229"/>
      <c r="H361" s="229"/>
      <c r="I361" s="68"/>
      <c r="J361" s="71"/>
      <c r="K361" s="229"/>
      <c r="L361" s="229"/>
      <c r="M361" s="229"/>
      <c r="N361" s="229"/>
      <c r="O361" s="229"/>
      <c r="P361" s="71"/>
      <c r="Q361" s="22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  <c r="BA361" s="39"/>
      <c r="BB361" s="39"/>
      <c r="BC361" s="39"/>
      <c r="BD361" s="39"/>
      <c r="BE361" s="39"/>
      <c r="BF361" s="39"/>
      <c r="BG361" s="39"/>
      <c r="BH361" s="39"/>
      <c r="BI361" s="39"/>
      <c r="BJ361" s="39"/>
      <c r="BK361" s="39"/>
      <c r="BL361" s="39"/>
      <c r="BM361" s="39"/>
      <c r="BN361" s="39"/>
      <c r="BO361" s="39"/>
      <c r="BP361" s="39"/>
      <c r="BQ361" s="39"/>
      <c r="BR361" s="39"/>
      <c r="BS361" s="39"/>
      <c r="BT361" s="39"/>
      <c r="BU361" s="39"/>
      <c r="BV361" s="39"/>
      <c r="BW361" s="39"/>
      <c r="BX361" s="39"/>
      <c r="BY361" s="39"/>
      <c r="BZ361" s="39"/>
      <c r="CA361" s="39"/>
      <c r="CB361" s="39"/>
      <c r="CC361" s="39"/>
      <c r="CD361" s="39"/>
      <c r="CE361" s="39"/>
      <c r="CF361" s="39"/>
      <c r="CG361" s="39"/>
      <c r="CH361" s="39"/>
      <c r="CI361" s="39"/>
      <c r="CJ361" s="39"/>
      <c r="CK361" s="39"/>
      <c r="CL361" s="39"/>
      <c r="CM361" s="39"/>
      <c r="CN361" s="39"/>
      <c r="CO361" s="39"/>
      <c r="CP361" s="39"/>
      <c r="CQ361" s="39"/>
    </row>
    <row r="362" spans="1:95" s="92" customFormat="1" ht="39.950000000000003" customHeight="1" x14ac:dyDescent="0.25">
      <c r="A362" s="229"/>
      <c r="B362" s="229"/>
      <c r="C362" s="229"/>
      <c r="D362" s="229"/>
      <c r="E362" s="229"/>
      <c r="F362" s="229"/>
      <c r="G362" s="229"/>
      <c r="H362" s="229"/>
      <c r="I362" s="68"/>
      <c r="J362" s="71"/>
      <c r="K362" s="229"/>
      <c r="L362" s="229"/>
      <c r="M362" s="229"/>
      <c r="N362" s="229"/>
      <c r="O362" s="229"/>
      <c r="P362" s="71"/>
      <c r="Q362" s="22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  <c r="BA362" s="39"/>
      <c r="BB362" s="39"/>
      <c r="BC362" s="39"/>
      <c r="BD362" s="39"/>
      <c r="BE362" s="39"/>
      <c r="BF362" s="39"/>
      <c r="BG362" s="39"/>
      <c r="BH362" s="39"/>
      <c r="BI362" s="39"/>
      <c r="BJ362" s="39"/>
      <c r="BK362" s="39"/>
      <c r="BL362" s="39"/>
      <c r="BM362" s="39"/>
      <c r="BN362" s="39"/>
      <c r="BO362" s="39"/>
      <c r="BP362" s="39"/>
      <c r="BQ362" s="39"/>
      <c r="BR362" s="39"/>
      <c r="BS362" s="39"/>
      <c r="BT362" s="39"/>
      <c r="BU362" s="39"/>
      <c r="BV362" s="39"/>
      <c r="BW362" s="39"/>
      <c r="BX362" s="39"/>
      <c r="BY362" s="39"/>
      <c r="BZ362" s="39"/>
      <c r="CA362" s="39"/>
      <c r="CB362" s="39"/>
      <c r="CC362" s="39"/>
      <c r="CD362" s="39"/>
      <c r="CE362" s="39"/>
      <c r="CF362" s="39"/>
      <c r="CG362" s="39"/>
      <c r="CH362" s="39"/>
      <c r="CI362" s="39"/>
      <c r="CJ362" s="39"/>
      <c r="CK362" s="39"/>
      <c r="CL362" s="39"/>
      <c r="CM362" s="39"/>
      <c r="CN362" s="39"/>
      <c r="CO362" s="39"/>
      <c r="CP362" s="39"/>
      <c r="CQ362" s="39"/>
    </row>
    <row r="363" spans="1:95" s="92" customFormat="1" ht="39.950000000000003" customHeight="1" x14ac:dyDescent="0.25">
      <c r="A363" s="229"/>
      <c r="B363" s="229"/>
      <c r="C363" s="229"/>
      <c r="D363" s="229"/>
      <c r="E363" s="229"/>
      <c r="F363" s="229"/>
      <c r="G363" s="229"/>
      <c r="H363" s="229"/>
      <c r="I363" s="68"/>
      <c r="J363" s="71"/>
      <c r="K363" s="229"/>
      <c r="L363" s="229"/>
      <c r="M363" s="229"/>
      <c r="N363" s="229"/>
      <c r="O363" s="229"/>
      <c r="P363" s="71"/>
      <c r="Q363" s="22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  <c r="BA363" s="39"/>
      <c r="BB363" s="39"/>
      <c r="BC363" s="39"/>
      <c r="BD363" s="39"/>
      <c r="BE363" s="39"/>
      <c r="BF363" s="39"/>
      <c r="BG363" s="39"/>
      <c r="BH363" s="39"/>
      <c r="BI363" s="39"/>
      <c r="BJ363" s="39"/>
      <c r="BK363" s="39"/>
      <c r="BL363" s="39"/>
      <c r="BM363" s="39"/>
      <c r="BN363" s="39"/>
      <c r="BO363" s="39"/>
      <c r="BP363" s="39"/>
      <c r="BQ363" s="39"/>
      <c r="BR363" s="39"/>
      <c r="BS363" s="39"/>
      <c r="BT363" s="39"/>
      <c r="BU363" s="39"/>
      <c r="BV363" s="39"/>
      <c r="BW363" s="39"/>
      <c r="BX363" s="39"/>
      <c r="BY363" s="39"/>
      <c r="BZ363" s="39"/>
      <c r="CA363" s="39"/>
      <c r="CB363" s="39"/>
      <c r="CC363" s="39"/>
      <c r="CD363" s="39"/>
      <c r="CE363" s="39"/>
      <c r="CF363" s="39"/>
      <c r="CG363" s="39"/>
      <c r="CH363" s="39"/>
      <c r="CI363" s="39"/>
      <c r="CJ363" s="39"/>
      <c r="CK363" s="39"/>
      <c r="CL363" s="39"/>
      <c r="CM363" s="39"/>
      <c r="CN363" s="39"/>
      <c r="CO363" s="39"/>
      <c r="CP363" s="39"/>
      <c r="CQ363" s="39"/>
    </row>
    <row r="364" spans="1:95" s="92" customFormat="1" ht="39.950000000000003" customHeight="1" x14ac:dyDescent="0.25">
      <c r="A364" s="229"/>
      <c r="B364" s="229"/>
      <c r="C364" s="229"/>
      <c r="D364" s="229"/>
      <c r="E364" s="229"/>
      <c r="F364" s="229"/>
      <c r="G364" s="229"/>
      <c r="H364" s="229"/>
      <c r="I364" s="68"/>
      <c r="J364" s="71"/>
      <c r="K364" s="229"/>
      <c r="L364" s="229"/>
      <c r="M364" s="229"/>
      <c r="N364" s="229"/>
      <c r="O364" s="229"/>
      <c r="P364" s="71"/>
      <c r="Q364" s="22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  <c r="BA364" s="39"/>
      <c r="BB364" s="39"/>
      <c r="BC364" s="39"/>
      <c r="BD364" s="39"/>
      <c r="BE364" s="39"/>
      <c r="BF364" s="39"/>
      <c r="BG364" s="39"/>
      <c r="BH364" s="39"/>
      <c r="BI364" s="39"/>
      <c r="BJ364" s="39"/>
      <c r="BK364" s="39"/>
      <c r="BL364" s="39"/>
      <c r="BM364" s="39"/>
      <c r="BN364" s="39"/>
      <c r="BO364" s="39"/>
      <c r="BP364" s="39"/>
      <c r="BQ364" s="39"/>
      <c r="BR364" s="39"/>
      <c r="BS364" s="39"/>
      <c r="BT364" s="39"/>
      <c r="BU364" s="39"/>
      <c r="BV364" s="39"/>
      <c r="BW364" s="39"/>
      <c r="BX364" s="39"/>
      <c r="BY364" s="39"/>
      <c r="BZ364" s="39"/>
      <c r="CA364" s="39"/>
      <c r="CB364" s="39"/>
      <c r="CC364" s="39"/>
      <c r="CD364" s="39"/>
      <c r="CE364" s="39"/>
      <c r="CF364" s="39"/>
      <c r="CG364" s="39"/>
      <c r="CH364" s="39"/>
      <c r="CI364" s="39"/>
      <c r="CJ364" s="39"/>
      <c r="CK364" s="39"/>
      <c r="CL364" s="39"/>
      <c r="CM364" s="39"/>
      <c r="CN364" s="39"/>
      <c r="CO364" s="39"/>
      <c r="CP364" s="39"/>
      <c r="CQ364" s="39"/>
    </row>
    <row r="365" spans="1:95" s="92" customFormat="1" ht="39.950000000000003" customHeight="1" x14ac:dyDescent="0.25">
      <c r="A365" s="229"/>
      <c r="B365" s="229"/>
      <c r="C365" s="229"/>
      <c r="D365" s="229"/>
      <c r="E365" s="229"/>
      <c r="F365" s="229"/>
      <c r="G365" s="229"/>
      <c r="H365" s="229"/>
      <c r="I365" s="68"/>
      <c r="J365" s="71"/>
      <c r="K365" s="229"/>
      <c r="L365" s="229"/>
      <c r="M365" s="229"/>
      <c r="N365" s="229"/>
      <c r="O365" s="229"/>
      <c r="P365" s="71"/>
      <c r="Q365" s="22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  <c r="BA365" s="39"/>
      <c r="BB365" s="39"/>
      <c r="BC365" s="39"/>
      <c r="BD365" s="39"/>
      <c r="BE365" s="39"/>
      <c r="BF365" s="39"/>
      <c r="BG365" s="39"/>
      <c r="BH365" s="39"/>
      <c r="BI365" s="39"/>
      <c r="BJ365" s="39"/>
      <c r="BK365" s="39"/>
      <c r="BL365" s="39"/>
      <c r="BM365" s="39"/>
      <c r="BN365" s="39"/>
      <c r="BO365" s="39"/>
      <c r="BP365" s="39"/>
      <c r="BQ365" s="39"/>
      <c r="BR365" s="39"/>
      <c r="BS365" s="39"/>
      <c r="BT365" s="39"/>
      <c r="BU365" s="39"/>
      <c r="BV365" s="39"/>
      <c r="BW365" s="39"/>
      <c r="BX365" s="39"/>
      <c r="BY365" s="39"/>
      <c r="BZ365" s="39"/>
      <c r="CA365" s="39"/>
      <c r="CB365" s="39"/>
      <c r="CC365" s="39"/>
      <c r="CD365" s="39"/>
      <c r="CE365" s="39"/>
      <c r="CF365" s="39"/>
      <c r="CG365" s="39"/>
      <c r="CH365" s="39"/>
      <c r="CI365" s="39"/>
      <c r="CJ365" s="39"/>
      <c r="CK365" s="39"/>
      <c r="CL365" s="39"/>
      <c r="CM365" s="39"/>
      <c r="CN365" s="39"/>
      <c r="CO365" s="39"/>
      <c r="CP365" s="39"/>
      <c r="CQ365" s="39"/>
    </row>
    <row r="366" spans="1:95" s="92" customFormat="1" ht="39.950000000000003" customHeight="1" x14ac:dyDescent="0.25">
      <c r="A366" s="229"/>
      <c r="B366" s="229"/>
      <c r="C366" s="229"/>
      <c r="D366" s="229"/>
      <c r="E366" s="229"/>
      <c r="F366" s="229"/>
      <c r="G366" s="229"/>
      <c r="H366" s="229"/>
      <c r="I366" s="68"/>
      <c r="J366" s="71"/>
      <c r="K366" s="229"/>
      <c r="L366" s="229"/>
      <c r="M366" s="229"/>
      <c r="N366" s="229"/>
      <c r="O366" s="229"/>
      <c r="P366" s="71"/>
      <c r="Q366" s="22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  <c r="BA366" s="39"/>
      <c r="BB366" s="39"/>
      <c r="BC366" s="39"/>
      <c r="BD366" s="39"/>
      <c r="BE366" s="39"/>
      <c r="BF366" s="39"/>
      <c r="BG366" s="39"/>
      <c r="BH366" s="39"/>
      <c r="BI366" s="39"/>
      <c r="BJ366" s="39"/>
      <c r="BK366" s="39"/>
      <c r="BL366" s="39"/>
      <c r="BM366" s="39"/>
      <c r="BN366" s="39"/>
      <c r="BO366" s="39"/>
      <c r="BP366" s="39"/>
      <c r="BQ366" s="39"/>
      <c r="BR366" s="39"/>
      <c r="BS366" s="39"/>
      <c r="BT366" s="39"/>
      <c r="BU366" s="39"/>
      <c r="BV366" s="39"/>
      <c r="BW366" s="39"/>
      <c r="BX366" s="39"/>
      <c r="BY366" s="39"/>
      <c r="BZ366" s="39"/>
      <c r="CA366" s="39"/>
      <c r="CB366" s="39"/>
      <c r="CC366" s="39"/>
      <c r="CD366" s="39"/>
      <c r="CE366" s="39"/>
      <c r="CF366" s="39"/>
      <c r="CG366" s="39"/>
      <c r="CH366" s="39"/>
      <c r="CI366" s="39"/>
      <c r="CJ366" s="39"/>
      <c r="CK366" s="39"/>
      <c r="CL366" s="39"/>
      <c r="CM366" s="39"/>
      <c r="CN366" s="39"/>
      <c r="CO366" s="39"/>
      <c r="CP366" s="39"/>
      <c r="CQ366" s="39"/>
    </row>
    <row r="367" spans="1:95" s="92" customFormat="1" ht="39.950000000000003" customHeight="1" x14ac:dyDescent="0.25">
      <c r="A367" s="229"/>
      <c r="B367" s="229"/>
      <c r="C367" s="229"/>
      <c r="D367" s="229"/>
      <c r="E367" s="229"/>
      <c r="F367" s="229"/>
      <c r="G367" s="229"/>
      <c r="H367" s="229"/>
      <c r="I367" s="68"/>
      <c r="J367" s="71"/>
      <c r="K367" s="229"/>
      <c r="L367" s="229"/>
      <c r="M367" s="229"/>
      <c r="N367" s="229"/>
      <c r="O367" s="229"/>
      <c r="P367" s="71"/>
      <c r="Q367" s="22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  <c r="BA367" s="39"/>
      <c r="BB367" s="39"/>
      <c r="BC367" s="39"/>
      <c r="BD367" s="39"/>
      <c r="BE367" s="39"/>
      <c r="BF367" s="39"/>
      <c r="BG367" s="39"/>
      <c r="BH367" s="39"/>
      <c r="BI367" s="39"/>
      <c r="BJ367" s="39"/>
      <c r="BK367" s="39"/>
      <c r="BL367" s="39"/>
      <c r="BM367" s="39"/>
      <c r="BN367" s="39"/>
      <c r="BO367" s="39"/>
      <c r="BP367" s="39"/>
      <c r="BQ367" s="39"/>
      <c r="BR367" s="39"/>
      <c r="BS367" s="39"/>
      <c r="BT367" s="39"/>
      <c r="BU367" s="39"/>
      <c r="BV367" s="39"/>
      <c r="BW367" s="39"/>
      <c r="BX367" s="39"/>
      <c r="BY367" s="39"/>
      <c r="BZ367" s="39"/>
      <c r="CA367" s="39"/>
      <c r="CB367" s="39"/>
      <c r="CC367" s="39"/>
      <c r="CD367" s="39"/>
      <c r="CE367" s="39"/>
      <c r="CF367" s="39"/>
      <c r="CG367" s="39"/>
      <c r="CH367" s="39"/>
      <c r="CI367" s="39"/>
      <c r="CJ367" s="39"/>
      <c r="CK367" s="39"/>
      <c r="CL367" s="39"/>
      <c r="CM367" s="39"/>
      <c r="CN367" s="39"/>
      <c r="CO367" s="39"/>
      <c r="CP367" s="39"/>
      <c r="CQ367" s="39"/>
    </row>
    <row r="368" spans="1:95" s="92" customFormat="1" ht="39.950000000000003" customHeight="1" x14ac:dyDescent="0.25">
      <c r="A368" s="229"/>
      <c r="B368" s="229"/>
      <c r="C368" s="229"/>
      <c r="D368" s="229"/>
      <c r="E368" s="229"/>
      <c r="F368" s="229"/>
      <c r="G368" s="229"/>
      <c r="H368" s="229"/>
      <c r="I368" s="68"/>
      <c r="J368" s="71"/>
      <c r="K368" s="229"/>
      <c r="L368" s="229"/>
      <c r="M368" s="229"/>
      <c r="N368" s="229"/>
      <c r="O368" s="229"/>
      <c r="P368" s="71"/>
      <c r="Q368" s="22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  <c r="BA368" s="39"/>
      <c r="BB368" s="39"/>
      <c r="BC368" s="39"/>
      <c r="BD368" s="39"/>
      <c r="BE368" s="39"/>
      <c r="BF368" s="39"/>
      <c r="BG368" s="39"/>
      <c r="BH368" s="39"/>
      <c r="BI368" s="39"/>
      <c r="BJ368" s="39"/>
      <c r="BK368" s="39"/>
      <c r="BL368" s="39"/>
      <c r="BM368" s="39"/>
      <c r="BN368" s="39"/>
      <c r="BO368" s="39"/>
      <c r="BP368" s="39"/>
      <c r="BQ368" s="39"/>
      <c r="BR368" s="39"/>
      <c r="BS368" s="39"/>
      <c r="BT368" s="39"/>
      <c r="BU368" s="39"/>
      <c r="BV368" s="39"/>
      <c r="BW368" s="39"/>
      <c r="BX368" s="39"/>
      <c r="BY368" s="39"/>
      <c r="BZ368" s="39"/>
      <c r="CA368" s="39"/>
      <c r="CB368" s="39"/>
      <c r="CC368" s="39"/>
      <c r="CD368" s="39"/>
      <c r="CE368" s="39"/>
      <c r="CF368" s="39"/>
      <c r="CG368" s="39"/>
      <c r="CH368" s="39"/>
      <c r="CI368" s="39"/>
      <c r="CJ368" s="39"/>
      <c r="CK368" s="39"/>
      <c r="CL368" s="39"/>
      <c r="CM368" s="39"/>
      <c r="CN368" s="39"/>
      <c r="CO368" s="39"/>
      <c r="CP368" s="39"/>
      <c r="CQ368" s="39"/>
    </row>
    <row r="369" spans="1:95" s="92" customFormat="1" ht="39.950000000000003" customHeight="1" x14ac:dyDescent="0.25">
      <c r="A369" s="229"/>
      <c r="B369" s="229"/>
      <c r="C369" s="229"/>
      <c r="D369" s="229"/>
      <c r="E369" s="229"/>
      <c r="F369" s="229"/>
      <c r="G369" s="229"/>
      <c r="H369" s="229"/>
      <c r="I369" s="68"/>
      <c r="J369" s="71"/>
      <c r="K369" s="229"/>
      <c r="L369" s="229"/>
      <c r="M369" s="229"/>
      <c r="N369" s="229"/>
      <c r="O369" s="229"/>
      <c r="P369" s="71"/>
      <c r="Q369" s="22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  <c r="BA369" s="39"/>
      <c r="BB369" s="39"/>
      <c r="BC369" s="39"/>
      <c r="BD369" s="39"/>
      <c r="BE369" s="39"/>
      <c r="BF369" s="39"/>
      <c r="BG369" s="39"/>
      <c r="BH369" s="39"/>
      <c r="BI369" s="39"/>
      <c r="BJ369" s="39"/>
      <c r="BK369" s="39"/>
      <c r="BL369" s="39"/>
      <c r="BM369" s="39"/>
      <c r="BN369" s="39"/>
      <c r="BO369" s="39"/>
      <c r="BP369" s="39"/>
      <c r="BQ369" s="39"/>
      <c r="BR369" s="39"/>
      <c r="BS369" s="39"/>
      <c r="BT369" s="39"/>
      <c r="BU369" s="39"/>
      <c r="BV369" s="39"/>
      <c r="BW369" s="39"/>
      <c r="BX369" s="39"/>
      <c r="BY369" s="39"/>
      <c r="BZ369" s="39"/>
      <c r="CA369" s="39"/>
      <c r="CB369" s="39"/>
      <c r="CC369" s="39"/>
      <c r="CD369" s="39"/>
      <c r="CE369" s="39"/>
      <c r="CF369" s="39"/>
      <c r="CG369" s="39"/>
      <c r="CH369" s="39"/>
      <c r="CI369" s="39"/>
      <c r="CJ369" s="39"/>
      <c r="CK369" s="39"/>
      <c r="CL369" s="39"/>
      <c r="CM369" s="39"/>
      <c r="CN369" s="39"/>
      <c r="CO369" s="39"/>
      <c r="CP369" s="39"/>
      <c r="CQ369" s="39"/>
    </row>
    <row r="370" spans="1:95" s="92" customFormat="1" ht="39.950000000000003" customHeight="1" x14ac:dyDescent="0.25">
      <c r="A370" s="229"/>
      <c r="B370" s="229"/>
      <c r="C370" s="229"/>
      <c r="D370" s="229"/>
      <c r="E370" s="229"/>
      <c r="F370" s="229"/>
      <c r="G370" s="229"/>
      <c r="H370" s="229"/>
      <c r="I370" s="68"/>
      <c r="J370" s="71"/>
      <c r="K370" s="229"/>
      <c r="L370" s="229"/>
      <c r="M370" s="229"/>
      <c r="N370" s="229"/>
      <c r="O370" s="229"/>
      <c r="P370" s="71"/>
      <c r="Q370" s="22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  <c r="BA370" s="39"/>
      <c r="BB370" s="39"/>
      <c r="BC370" s="39"/>
      <c r="BD370" s="39"/>
      <c r="BE370" s="39"/>
      <c r="BF370" s="39"/>
      <c r="BG370" s="39"/>
      <c r="BH370" s="39"/>
      <c r="BI370" s="39"/>
      <c r="BJ370" s="39"/>
      <c r="BK370" s="39"/>
      <c r="BL370" s="39"/>
      <c r="BM370" s="39"/>
      <c r="BN370" s="39"/>
      <c r="BO370" s="39"/>
      <c r="BP370" s="39"/>
      <c r="BQ370" s="39"/>
      <c r="BR370" s="39"/>
      <c r="BS370" s="39"/>
      <c r="BT370" s="39"/>
      <c r="BU370" s="39"/>
      <c r="BV370" s="39"/>
      <c r="BW370" s="39"/>
      <c r="BX370" s="39"/>
      <c r="BY370" s="39"/>
      <c r="BZ370" s="39"/>
      <c r="CA370" s="39"/>
      <c r="CB370" s="39"/>
      <c r="CC370" s="39"/>
      <c r="CD370" s="39"/>
      <c r="CE370" s="39"/>
      <c r="CF370" s="39"/>
      <c r="CG370" s="39"/>
      <c r="CH370" s="39"/>
      <c r="CI370" s="39"/>
      <c r="CJ370" s="39"/>
      <c r="CK370" s="39"/>
      <c r="CL370" s="39"/>
      <c r="CM370" s="39"/>
      <c r="CN370" s="39"/>
      <c r="CO370" s="39"/>
      <c r="CP370" s="39"/>
      <c r="CQ370" s="39"/>
    </row>
    <row r="371" spans="1:95" s="92" customFormat="1" ht="39.950000000000003" customHeight="1" x14ac:dyDescent="0.25">
      <c r="A371" s="229"/>
      <c r="B371" s="229"/>
      <c r="C371" s="229"/>
      <c r="D371" s="229"/>
      <c r="E371" s="229"/>
      <c r="F371" s="229"/>
      <c r="G371" s="229"/>
      <c r="H371" s="229"/>
      <c r="I371" s="68"/>
      <c r="J371" s="71"/>
      <c r="K371" s="229"/>
      <c r="L371" s="229"/>
      <c r="M371" s="229"/>
      <c r="N371" s="229"/>
      <c r="O371" s="229"/>
      <c r="P371" s="71"/>
      <c r="Q371" s="22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  <c r="BA371" s="39"/>
      <c r="BB371" s="39"/>
      <c r="BC371" s="39"/>
      <c r="BD371" s="39"/>
      <c r="BE371" s="39"/>
      <c r="BF371" s="39"/>
      <c r="BG371" s="39"/>
      <c r="BH371" s="39"/>
      <c r="BI371" s="39"/>
      <c r="BJ371" s="39"/>
      <c r="BK371" s="39"/>
      <c r="BL371" s="39"/>
      <c r="BM371" s="39"/>
      <c r="BN371" s="39"/>
      <c r="BO371" s="39"/>
      <c r="BP371" s="39"/>
      <c r="BQ371" s="39"/>
      <c r="BR371" s="39"/>
      <c r="BS371" s="39"/>
      <c r="BT371" s="39"/>
      <c r="BU371" s="39"/>
      <c r="BV371" s="39"/>
      <c r="BW371" s="39"/>
      <c r="BX371" s="39"/>
      <c r="BY371" s="39"/>
      <c r="BZ371" s="39"/>
      <c r="CA371" s="39"/>
      <c r="CB371" s="39"/>
      <c r="CC371" s="39"/>
      <c r="CD371" s="39"/>
      <c r="CE371" s="39"/>
      <c r="CF371" s="39"/>
      <c r="CG371" s="39"/>
      <c r="CH371" s="39"/>
      <c r="CI371" s="39"/>
      <c r="CJ371" s="39"/>
      <c r="CK371" s="39"/>
      <c r="CL371" s="39"/>
      <c r="CM371" s="39"/>
      <c r="CN371" s="39"/>
      <c r="CO371" s="39"/>
      <c r="CP371" s="39"/>
      <c r="CQ371" s="39"/>
    </row>
    <row r="372" spans="1:95" s="92" customFormat="1" ht="39.950000000000003" customHeight="1" x14ac:dyDescent="0.25">
      <c r="A372" s="229"/>
      <c r="B372" s="229"/>
      <c r="C372" s="229"/>
      <c r="D372" s="229"/>
      <c r="E372" s="229"/>
      <c r="F372" s="229"/>
      <c r="G372" s="229"/>
      <c r="H372" s="229"/>
      <c r="I372" s="68"/>
      <c r="J372" s="71"/>
      <c r="K372" s="229"/>
      <c r="L372" s="229"/>
      <c r="M372" s="229"/>
      <c r="N372" s="229"/>
      <c r="O372" s="229"/>
      <c r="P372" s="71"/>
      <c r="Q372" s="22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  <c r="BA372" s="39"/>
      <c r="BB372" s="39"/>
      <c r="BC372" s="39"/>
      <c r="BD372" s="39"/>
      <c r="BE372" s="39"/>
      <c r="BF372" s="39"/>
      <c r="BG372" s="39"/>
      <c r="BH372" s="39"/>
      <c r="BI372" s="39"/>
      <c r="BJ372" s="39"/>
      <c r="BK372" s="39"/>
      <c r="BL372" s="39"/>
      <c r="BM372" s="39"/>
      <c r="BN372" s="39"/>
      <c r="BO372" s="39"/>
      <c r="BP372" s="39"/>
      <c r="BQ372" s="39"/>
      <c r="BR372" s="39"/>
      <c r="BS372" s="39"/>
      <c r="BT372" s="39"/>
      <c r="BU372" s="39"/>
      <c r="BV372" s="39"/>
      <c r="BW372" s="39"/>
      <c r="BX372" s="39"/>
      <c r="BY372" s="39"/>
      <c r="BZ372" s="39"/>
      <c r="CA372" s="39"/>
      <c r="CB372" s="39"/>
      <c r="CC372" s="39"/>
      <c r="CD372" s="39"/>
      <c r="CE372" s="39"/>
      <c r="CF372" s="39"/>
      <c r="CG372" s="39"/>
      <c r="CH372" s="39"/>
      <c r="CI372" s="39"/>
      <c r="CJ372" s="39"/>
      <c r="CK372" s="39"/>
      <c r="CL372" s="39"/>
      <c r="CM372" s="39"/>
      <c r="CN372" s="39"/>
      <c r="CO372" s="39"/>
      <c r="CP372" s="39"/>
      <c r="CQ372" s="39"/>
    </row>
    <row r="373" spans="1:95" s="92" customFormat="1" ht="39.950000000000003" customHeight="1" x14ac:dyDescent="0.25">
      <c r="A373" s="229"/>
      <c r="B373" s="229"/>
      <c r="C373" s="229"/>
      <c r="D373" s="229"/>
      <c r="E373" s="229"/>
      <c r="F373" s="229"/>
      <c r="G373" s="229"/>
      <c r="H373" s="229"/>
      <c r="I373" s="68"/>
      <c r="J373" s="71"/>
      <c r="K373" s="229"/>
      <c r="L373" s="229"/>
      <c r="M373" s="229"/>
      <c r="N373" s="229"/>
      <c r="O373" s="229"/>
      <c r="P373" s="71"/>
      <c r="Q373" s="22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  <c r="BA373" s="39"/>
      <c r="BB373" s="39"/>
      <c r="BC373" s="39"/>
      <c r="BD373" s="39"/>
      <c r="BE373" s="39"/>
      <c r="BF373" s="39"/>
      <c r="BG373" s="39"/>
      <c r="BH373" s="39"/>
      <c r="BI373" s="39"/>
      <c r="BJ373" s="39"/>
      <c r="BK373" s="39"/>
      <c r="BL373" s="39"/>
      <c r="BM373" s="39"/>
      <c r="BN373" s="39"/>
      <c r="BO373" s="39"/>
      <c r="BP373" s="39"/>
      <c r="BQ373" s="39"/>
      <c r="BR373" s="39"/>
      <c r="BS373" s="39"/>
      <c r="BT373" s="39"/>
      <c r="BU373" s="39"/>
      <c r="BV373" s="39"/>
      <c r="BW373" s="39"/>
      <c r="BX373" s="39"/>
      <c r="BY373" s="39"/>
      <c r="BZ373" s="39"/>
      <c r="CA373" s="39"/>
      <c r="CB373" s="39"/>
      <c r="CC373" s="39"/>
      <c r="CD373" s="39"/>
      <c r="CE373" s="39"/>
      <c r="CF373" s="39"/>
      <c r="CG373" s="39"/>
      <c r="CH373" s="39"/>
      <c r="CI373" s="39"/>
      <c r="CJ373" s="39"/>
      <c r="CK373" s="39"/>
      <c r="CL373" s="39"/>
      <c r="CM373" s="39"/>
      <c r="CN373" s="39"/>
      <c r="CO373" s="39"/>
      <c r="CP373" s="39"/>
      <c r="CQ373" s="39"/>
    </row>
    <row r="374" spans="1:95" s="92" customFormat="1" ht="39.950000000000003" customHeight="1" x14ac:dyDescent="0.25">
      <c r="A374" s="229"/>
      <c r="B374" s="229"/>
      <c r="C374" s="229"/>
      <c r="D374" s="229"/>
      <c r="E374" s="229"/>
      <c r="F374" s="229"/>
      <c r="G374" s="229"/>
      <c r="H374" s="229"/>
      <c r="I374" s="68"/>
      <c r="J374" s="71"/>
      <c r="K374" s="229"/>
      <c r="L374" s="229"/>
      <c r="M374" s="229"/>
      <c r="N374" s="229"/>
      <c r="O374" s="229"/>
      <c r="P374" s="71"/>
      <c r="Q374" s="22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  <c r="BA374" s="39"/>
      <c r="BB374" s="39"/>
      <c r="BC374" s="39"/>
      <c r="BD374" s="39"/>
      <c r="BE374" s="39"/>
      <c r="BF374" s="39"/>
      <c r="BG374" s="39"/>
      <c r="BH374" s="39"/>
      <c r="BI374" s="39"/>
      <c r="BJ374" s="39"/>
      <c r="BK374" s="39"/>
      <c r="BL374" s="39"/>
      <c r="BM374" s="39"/>
      <c r="BN374" s="39"/>
      <c r="BO374" s="39"/>
      <c r="BP374" s="39"/>
      <c r="BQ374" s="39"/>
      <c r="BR374" s="39"/>
      <c r="BS374" s="39"/>
      <c r="BT374" s="39"/>
      <c r="BU374" s="39"/>
      <c r="BV374" s="39"/>
      <c r="BW374" s="39"/>
      <c r="BX374" s="39"/>
      <c r="BY374" s="39"/>
      <c r="BZ374" s="39"/>
      <c r="CA374" s="39"/>
      <c r="CB374" s="39"/>
      <c r="CC374" s="39"/>
      <c r="CD374" s="39"/>
      <c r="CE374" s="39"/>
      <c r="CF374" s="39"/>
      <c r="CG374" s="39"/>
      <c r="CH374" s="39"/>
      <c r="CI374" s="39"/>
      <c r="CJ374" s="39"/>
      <c r="CK374" s="39"/>
      <c r="CL374" s="39"/>
      <c r="CM374" s="39"/>
      <c r="CN374" s="39"/>
      <c r="CO374" s="39"/>
      <c r="CP374" s="39"/>
      <c r="CQ374" s="39"/>
    </row>
    <row r="375" spans="1:95" s="92" customFormat="1" ht="33" customHeight="1" x14ac:dyDescent="0.25">
      <c r="A375" s="229"/>
      <c r="B375" s="229"/>
      <c r="C375" s="229"/>
      <c r="D375" s="229"/>
      <c r="E375" s="229"/>
      <c r="F375" s="229"/>
      <c r="G375" s="229"/>
      <c r="H375" s="229"/>
      <c r="I375" s="68"/>
      <c r="J375" s="71"/>
      <c r="K375" s="229"/>
      <c r="L375" s="229"/>
      <c r="M375" s="229"/>
      <c r="N375" s="229"/>
      <c r="O375" s="229"/>
      <c r="P375" s="71"/>
      <c r="Q375" s="22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  <c r="BA375" s="39"/>
      <c r="BB375" s="39"/>
      <c r="BC375" s="39"/>
      <c r="BD375" s="39"/>
      <c r="BE375" s="39"/>
      <c r="BF375" s="39"/>
      <c r="BG375" s="39"/>
      <c r="BH375" s="39"/>
      <c r="BI375" s="39"/>
      <c r="BJ375" s="39"/>
      <c r="BK375" s="39"/>
      <c r="BL375" s="39"/>
      <c r="BM375" s="39"/>
      <c r="BN375" s="39"/>
      <c r="BO375" s="39"/>
      <c r="BP375" s="39"/>
      <c r="BQ375" s="39"/>
      <c r="BR375" s="39"/>
      <c r="BS375" s="39"/>
      <c r="BT375" s="39"/>
      <c r="BU375" s="39"/>
      <c r="BV375" s="39"/>
      <c r="BW375" s="39"/>
      <c r="BX375" s="39"/>
      <c r="BY375" s="39"/>
      <c r="BZ375" s="39"/>
      <c r="CA375" s="39"/>
      <c r="CB375" s="39"/>
      <c r="CC375" s="39"/>
      <c r="CD375" s="39"/>
      <c r="CE375" s="39"/>
      <c r="CF375" s="39"/>
      <c r="CG375" s="39"/>
      <c r="CH375" s="39"/>
      <c r="CI375" s="39"/>
      <c r="CJ375" s="39"/>
      <c r="CK375" s="39"/>
      <c r="CL375" s="39"/>
      <c r="CM375" s="39"/>
      <c r="CN375" s="39"/>
      <c r="CO375" s="39"/>
      <c r="CP375" s="39"/>
      <c r="CQ375" s="39"/>
    </row>
    <row r="376" spans="1:95" s="92" customFormat="1" ht="33" customHeight="1" x14ac:dyDescent="0.25">
      <c r="A376" s="229"/>
      <c r="B376" s="229"/>
      <c r="C376" s="229"/>
      <c r="D376" s="229"/>
      <c r="E376" s="229"/>
      <c r="F376" s="229"/>
      <c r="G376" s="229"/>
      <c r="H376" s="229"/>
      <c r="I376" s="68"/>
      <c r="J376" s="71"/>
      <c r="K376" s="229"/>
      <c r="L376" s="229"/>
      <c r="M376" s="229"/>
      <c r="N376" s="229"/>
      <c r="O376" s="229"/>
      <c r="P376" s="71"/>
      <c r="Q376" s="22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  <c r="BA376" s="39"/>
      <c r="BB376" s="39"/>
      <c r="BC376" s="39"/>
      <c r="BD376" s="39"/>
      <c r="BE376" s="39"/>
      <c r="BF376" s="39"/>
      <c r="BG376" s="39"/>
      <c r="BH376" s="39"/>
      <c r="BI376" s="39"/>
      <c r="BJ376" s="39"/>
      <c r="BK376" s="39"/>
      <c r="BL376" s="39"/>
      <c r="BM376" s="39"/>
      <c r="BN376" s="39"/>
      <c r="BO376" s="39"/>
      <c r="BP376" s="39"/>
      <c r="BQ376" s="39"/>
      <c r="BR376" s="39"/>
      <c r="BS376" s="39"/>
      <c r="BT376" s="39"/>
      <c r="BU376" s="39"/>
      <c r="BV376" s="39"/>
      <c r="BW376" s="39"/>
      <c r="BX376" s="39"/>
      <c r="BY376" s="39"/>
      <c r="BZ376" s="39"/>
      <c r="CA376" s="39"/>
      <c r="CB376" s="39"/>
      <c r="CC376" s="39"/>
      <c r="CD376" s="39"/>
      <c r="CE376" s="39"/>
      <c r="CF376" s="39"/>
      <c r="CG376" s="39"/>
      <c r="CH376" s="39"/>
      <c r="CI376" s="39"/>
      <c r="CJ376" s="39"/>
      <c r="CK376" s="39"/>
      <c r="CL376" s="39"/>
      <c r="CM376" s="39"/>
      <c r="CN376" s="39"/>
      <c r="CO376" s="39"/>
      <c r="CP376" s="39"/>
      <c r="CQ376" s="39"/>
    </row>
    <row r="377" spans="1:95" s="92" customFormat="1" ht="33" customHeight="1" x14ac:dyDescent="0.25">
      <c r="A377" s="229"/>
      <c r="B377" s="229"/>
      <c r="C377" s="229"/>
      <c r="D377" s="229"/>
      <c r="E377" s="229"/>
      <c r="F377" s="229"/>
      <c r="G377" s="229"/>
      <c r="H377" s="229"/>
      <c r="I377" s="68"/>
      <c r="J377" s="71"/>
      <c r="K377" s="229"/>
      <c r="L377" s="229"/>
      <c r="M377" s="229"/>
      <c r="N377" s="229"/>
      <c r="O377" s="229"/>
      <c r="P377" s="71"/>
      <c r="Q377" s="22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  <c r="BA377" s="39"/>
      <c r="BB377" s="39"/>
      <c r="BC377" s="39"/>
      <c r="BD377" s="39"/>
      <c r="BE377" s="39"/>
      <c r="BF377" s="39"/>
      <c r="BG377" s="39"/>
      <c r="BH377" s="39"/>
      <c r="BI377" s="39"/>
      <c r="BJ377" s="39"/>
      <c r="BK377" s="39"/>
      <c r="BL377" s="39"/>
      <c r="BM377" s="39"/>
      <c r="BN377" s="39"/>
      <c r="BO377" s="39"/>
      <c r="BP377" s="39"/>
      <c r="BQ377" s="39"/>
      <c r="BR377" s="39"/>
      <c r="BS377" s="39"/>
      <c r="BT377" s="39"/>
      <c r="BU377" s="39"/>
      <c r="BV377" s="39"/>
      <c r="BW377" s="39"/>
      <c r="BX377" s="39"/>
      <c r="BY377" s="39"/>
      <c r="BZ377" s="39"/>
      <c r="CA377" s="39"/>
      <c r="CB377" s="39"/>
      <c r="CC377" s="39"/>
      <c r="CD377" s="39"/>
      <c r="CE377" s="39"/>
      <c r="CF377" s="39"/>
      <c r="CG377" s="39"/>
      <c r="CH377" s="39"/>
      <c r="CI377" s="39"/>
      <c r="CJ377" s="39"/>
      <c r="CK377" s="39"/>
      <c r="CL377" s="39"/>
      <c r="CM377" s="39"/>
      <c r="CN377" s="39"/>
      <c r="CO377" s="39"/>
      <c r="CP377" s="39"/>
      <c r="CQ377" s="39"/>
    </row>
    <row r="378" spans="1:95" s="92" customFormat="1" ht="33" hidden="1" customHeight="1" x14ac:dyDescent="0.25">
      <c r="A378" s="229"/>
      <c r="B378" s="229"/>
      <c r="C378" s="229"/>
      <c r="D378" s="229"/>
      <c r="E378" s="229"/>
      <c r="F378" s="229"/>
      <c r="G378" s="229"/>
      <c r="H378" s="229"/>
      <c r="I378" s="68"/>
      <c r="J378" s="71"/>
      <c r="K378" s="229"/>
      <c r="L378" s="229"/>
      <c r="M378" s="229"/>
      <c r="N378" s="229"/>
      <c r="O378" s="229"/>
      <c r="P378" s="71"/>
      <c r="Q378" s="22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  <c r="BA378" s="39"/>
      <c r="BB378" s="39"/>
      <c r="BC378" s="39"/>
      <c r="BD378" s="39"/>
      <c r="BE378" s="39"/>
      <c r="BF378" s="39"/>
      <c r="BG378" s="39"/>
      <c r="BH378" s="39"/>
      <c r="BI378" s="39"/>
      <c r="BJ378" s="39"/>
      <c r="BK378" s="39"/>
      <c r="BL378" s="39"/>
      <c r="BM378" s="39"/>
      <c r="BN378" s="39"/>
      <c r="BO378" s="39"/>
      <c r="BP378" s="39"/>
      <c r="BQ378" s="39"/>
      <c r="BR378" s="39"/>
      <c r="BS378" s="39"/>
      <c r="BT378" s="39"/>
      <c r="BU378" s="39"/>
      <c r="BV378" s="39"/>
      <c r="BW378" s="39"/>
      <c r="BX378" s="39"/>
      <c r="BY378" s="39"/>
      <c r="BZ378" s="39"/>
      <c r="CA378" s="39"/>
      <c r="CB378" s="39"/>
      <c r="CC378" s="39"/>
      <c r="CD378" s="39"/>
      <c r="CE378" s="39"/>
      <c r="CF378" s="39"/>
      <c r="CG378" s="39"/>
      <c r="CH378" s="39"/>
      <c r="CI378" s="39"/>
      <c r="CJ378" s="39"/>
      <c r="CK378" s="39"/>
      <c r="CL378" s="39"/>
      <c r="CM378" s="39"/>
      <c r="CN378" s="39"/>
      <c r="CO378" s="39"/>
      <c r="CP378" s="39"/>
      <c r="CQ378" s="39"/>
    </row>
    <row r="379" spans="1:95" s="92" customFormat="1" ht="33" hidden="1" customHeight="1" x14ac:dyDescent="0.25">
      <c r="A379" s="229"/>
      <c r="B379" s="229"/>
      <c r="C379" s="229"/>
      <c r="D379" s="229"/>
      <c r="E379" s="229"/>
      <c r="F379" s="229"/>
      <c r="G379" s="229"/>
      <c r="H379" s="229"/>
      <c r="I379" s="68"/>
      <c r="J379" s="71"/>
      <c r="K379" s="229"/>
      <c r="L379" s="229"/>
      <c r="M379" s="229"/>
      <c r="N379" s="229"/>
      <c r="O379" s="229"/>
      <c r="P379" s="71"/>
      <c r="Q379" s="22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  <c r="BA379" s="39"/>
      <c r="BB379" s="39"/>
      <c r="BC379" s="39"/>
      <c r="BD379" s="39"/>
      <c r="BE379" s="39"/>
      <c r="BF379" s="39"/>
      <c r="BG379" s="39"/>
      <c r="BH379" s="39"/>
      <c r="BI379" s="39"/>
      <c r="BJ379" s="39"/>
      <c r="BK379" s="39"/>
      <c r="BL379" s="39"/>
      <c r="BM379" s="39"/>
      <c r="BN379" s="39"/>
      <c r="BO379" s="39"/>
      <c r="BP379" s="39"/>
      <c r="BQ379" s="39"/>
      <c r="BR379" s="39"/>
      <c r="BS379" s="39"/>
      <c r="BT379" s="39"/>
      <c r="BU379" s="39"/>
      <c r="BV379" s="39"/>
      <c r="BW379" s="39"/>
      <c r="BX379" s="39"/>
      <c r="BY379" s="39"/>
      <c r="BZ379" s="39"/>
      <c r="CA379" s="39"/>
      <c r="CB379" s="39"/>
      <c r="CC379" s="39"/>
      <c r="CD379" s="39"/>
      <c r="CE379" s="39"/>
      <c r="CF379" s="39"/>
      <c r="CG379" s="39"/>
      <c r="CH379" s="39"/>
      <c r="CI379" s="39"/>
      <c r="CJ379" s="39"/>
      <c r="CK379" s="39"/>
      <c r="CL379" s="39"/>
      <c r="CM379" s="39"/>
      <c r="CN379" s="39"/>
      <c r="CO379" s="39"/>
      <c r="CP379" s="39"/>
      <c r="CQ379" s="39"/>
    </row>
    <row r="380" spans="1:95" s="92" customFormat="1" ht="33" hidden="1" customHeight="1" x14ac:dyDescent="0.25">
      <c r="A380" s="229"/>
      <c r="B380" s="229"/>
      <c r="C380" s="229"/>
      <c r="D380" s="229"/>
      <c r="E380" s="229"/>
      <c r="F380" s="229"/>
      <c r="G380" s="229"/>
      <c r="H380" s="229"/>
      <c r="I380" s="68"/>
      <c r="J380" s="71"/>
      <c r="K380" s="229"/>
      <c r="L380" s="229"/>
      <c r="M380" s="229"/>
      <c r="N380" s="229"/>
      <c r="O380" s="229"/>
      <c r="P380" s="71"/>
      <c r="Q380" s="22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  <c r="BA380" s="39"/>
      <c r="BB380" s="39"/>
      <c r="BC380" s="39"/>
      <c r="BD380" s="39"/>
      <c r="BE380" s="39"/>
      <c r="BF380" s="39"/>
      <c r="BG380" s="39"/>
      <c r="BH380" s="39"/>
      <c r="BI380" s="39"/>
      <c r="BJ380" s="39"/>
      <c r="BK380" s="39"/>
      <c r="BL380" s="39"/>
      <c r="BM380" s="39"/>
      <c r="BN380" s="39"/>
      <c r="BO380" s="39"/>
      <c r="BP380" s="39"/>
      <c r="BQ380" s="39"/>
      <c r="BR380" s="39"/>
      <c r="BS380" s="39"/>
      <c r="BT380" s="39"/>
      <c r="BU380" s="39"/>
      <c r="BV380" s="39"/>
      <c r="BW380" s="39"/>
      <c r="BX380" s="39"/>
      <c r="BY380" s="39"/>
      <c r="BZ380" s="39"/>
      <c r="CA380" s="39"/>
      <c r="CB380" s="39"/>
      <c r="CC380" s="39"/>
      <c r="CD380" s="39"/>
      <c r="CE380" s="39"/>
      <c r="CF380" s="39"/>
      <c r="CG380" s="39"/>
      <c r="CH380" s="39"/>
      <c r="CI380" s="39"/>
      <c r="CJ380" s="39"/>
      <c r="CK380" s="39"/>
      <c r="CL380" s="39"/>
      <c r="CM380" s="39"/>
      <c r="CN380" s="39"/>
      <c r="CO380" s="39"/>
      <c r="CP380" s="39"/>
      <c r="CQ380" s="39"/>
    </row>
    <row r="381" spans="1:95" s="92" customFormat="1" ht="33" hidden="1" customHeight="1" x14ac:dyDescent="0.25">
      <c r="A381" s="229"/>
      <c r="B381" s="229"/>
      <c r="C381" s="229"/>
      <c r="D381" s="229"/>
      <c r="E381" s="229"/>
      <c r="F381" s="229"/>
      <c r="G381" s="229"/>
      <c r="H381" s="229"/>
      <c r="I381" s="68"/>
      <c r="J381" s="71"/>
      <c r="K381" s="229"/>
      <c r="L381" s="229"/>
      <c r="M381" s="229"/>
      <c r="N381" s="229"/>
      <c r="O381" s="229"/>
      <c r="P381" s="71"/>
      <c r="Q381" s="22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  <c r="BA381" s="39"/>
      <c r="BB381" s="39"/>
      <c r="BC381" s="39"/>
      <c r="BD381" s="39"/>
      <c r="BE381" s="39"/>
      <c r="BF381" s="39"/>
      <c r="BG381" s="39"/>
      <c r="BH381" s="39"/>
      <c r="BI381" s="39"/>
      <c r="BJ381" s="39"/>
      <c r="BK381" s="39"/>
      <c r="BL381" s="39"/>
      <c r="BM381" s="39"/>
      <c r="BN381" s="39"/>
      <c r="BO381" s="39"/>
      <c r="BP381" s="39"/>
      <c r="BQ381" s="39"/>
      <c r="BR381" s="39"/>
      <c r="BS381" s="39"/>
      <c r="BT381" s="39"/>
      <c r="BU381" s="39"/>
      <c r="BV381" s="39"/>
      <c r="BW381" s="39"/>
      <c r="BX381" s="39"/>
      <c r="BY381" s="39"/>
      <c r="BZ381" s="39"/>
      <c r="CA381" s="39"/>
      <c r="CB381" s="39"/>
      <c r="CC381" s="39"/>
      <c r="CD381" s="39"/>
      <c r="CE381" s="39"/>
      <c r="CF381" s="39"/>
      <c r="CG381" s="39"/>
      <c r="CH381" s="39"/>
      <c r="CI381" s="39"/>
      <c r="CJ381" s="39"/>
      <c r="CK381" s="39"/>
      <c r="CL381" s="39"/>
      <c r="CM381" s="39"/>
      <c r="CN381" s="39"/>
      <c r="CO381" s="39"/>
      <c r="CP381" s="39"/>
      <c r="CQ381" s="39"/>
    </row>
    <row r="382" spans="1:95" s="92" customFormat="1" ht="33" hidden="1" customHeight="1" x14ac:dyDescent="0.25">
      <c r="A382" s="229"/>
      <c r="B382" s="229"/>
      <c r="C382" s="229"/>
      <c r="D382" s="229"/>
      <c r="E382" s="229"/>
      <c r="F382" s="229"/>
      <c r="G382" s="229"/>
      <c r="H382" s="229"/>
      <c r="I382" s="68"/>
      <c r="J382" s="71"/>
      <c r="K382" s="229"/>
      <c r="L382" s="229"/>
      <c r="M382" s="229"/>
      <c r="N382" s="229"/>
      <c r="O382" s="229"/>
      <c r="P382" s="71"/>
      <c r="Q382" s="22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  <c r="BA382" s="39"/>
      <c r="BB382" s="39"/>
      <c r="BC382" s="39"/>
      <c r="BD382" s="39"/>
      <c r="BE382" s="39"/>
      <c r="BF382" s="39"/>
      <c r="BG382" s="39"/>
      <c r="BH382" s="39"/>
      <c r="BI382" s="39"/>
      <c r="BJ382" s="39"/>
      <c r="BK382" s="39"/>
      <c r="BL382" s="39"/>
      <c r="BM382" s="39"/>
      <c r="BN382" s="39"/>
      <c r="BO382" s="39"/>
      <c r="BP382" s="39"/>
      <c r="BQ382" s="39"/>
      <c r="BR382" s="39"/>
      <c r="BS382" s="39"/>
      <c r="BT382" s="39"/>
      <c r="BU382" s="39"/>
      <c r="BV382" s="39"/>
      <c r="BW382" s="39"/>
      <c r="BX382" s="39"/>
      <c r="BY382" s="39"/>
      <c r="BZ382" s="39"/>
      <c r="CA382" s="39"/>
      <c r="CB382" s="39"/>
      <c r="CC382" s="39"/>
      <c r="CD382" s="39"/>
      <c r="CE382" s="39"/>
      <c r="CF382" s="39"/>
      <c r="CG382" s="39"/>
      <c r="CH382" s="39"/>
      <c r="CI382" s="39"/>
      <c r="CJ382" s="39"/>
      <c r="CK382" s="39"/>
      <c r="CL382" s="39"/>
      <c r="CM382" s="39"/>
      <c r="CN382" s="39"/>
      <c r="CO382" s="39"/>
      <c r="CP382" s="39"/>
      <c r="CQ382" s="39"/>
    </row>
    <row r="383" spans="1:95" s="92" customFormat="1" ht="33" hidden="1" customHeight="1" x14ac:dyDescent="0.25">
      <c r="A383" s="229"/>
      <c r="B383" s="229"/>
      <c r="C383" s="229"/>
      <c r="D383" s="229"/>
      <c r="E383" s="229"/>
      <c r="F383" s="229"/>
      <c r="G383" s="229"/>
      <c r="H383" s="229"/>
      <c r="I383" s="68"/>
      <c r="J383" s="71"/>
      <c r="K383" s="229"/>
      <c r="L383" s="229"/>
      <c r="M383" s="229"/>
      <c r="N383" s="229"/>
      <c r="O383" s="229"/>
      <c r="P383" s="71"/>
      <c r="Q383" s="22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  <c r="BA383" s="39"/>
      <c r="BB383" s="39"/>
      <c r="BC383" s="39"/>
      <c r="BD383" s="39"/>
      <c r="BE383" s="39"/>
      <c r="BF383" s="39"/>
      <c r="BG383" s="39"/>
      <c r="BH383" s="39"/>
      <c r="BI383" s="39"/>
      <c r="BJ383" s="39"/>
      <c r="BK383" s="39"/>
      <c r="BL383" s="39"/>
      <c r="BM383" s="39"/>
      <c r="BN383" s="39"/>
      <c r="BO383" s="39"/>
      <c r="BP383" s="39"/>
      <c r="BQ383" s="39"/>
      <c r="BR383" s="39"/>
      <c r="BS383" s="39"/>
      <c r="BT383" s="39"/>
      <c r="BU383" s="39"/>
      <c r="BV383" s="39"/>
      <c r="BW383" s="39"/>
      <c r="BX383" s="39"/>
      <c r="BY383" s="39"/>
      <c r="BZ383" s="39"/>
      <c r="CA383" s="39"/>
      <c r="CB383" s="39"/>
      <c r="CC383" s="39"/>
      <c r="CD383" s="39"/>
      <c r="CE383" s="39"/>
      <c r="CF383" s="39"/>
      <c r="CG383" s="39"/>
      <c r="CH383" s="39"/>
      <c r="CI383" s="39"/>
      <c r="CJ383" s="39"/>
      <c r="CK383" s="39"/>
      <c r="CL383" s="39"/>
      <c r="CM383" s="39"/>
      <c r="CN383" s="39"/>
      <c r="CO383" s="39"/>
      <c r="CP383" s="39"/>
      <c r="CQ383" s="39"/>
    </row>
    <row r="384" spans="1:95" s="92" customFormat="1" ht="33" hidden="1" customHeight="1" x14ac:dyDescent="0.25">
      <c r="A384" s="229"/>
      <c r="B384" s="229"/>
      <c r="C384" s="229"/>
      <c r="D384" s="229"/>
      <c r="E384" s="229"/>
      <c r="F384" s="229"/>
      <c r="G384" s="229"/>
      <c r="H384" s="229"/>
      <c r="I384" s="68"/>
      <c r="J384" s="71"/>
      <c r="K384" s="229"/>
      <c r="L384" s="229"/>
      <c r="M384" s="229"/>
      <c r="N384" s="229"/>
      <c r="O384" s="229"/>
      <c r="P384" s="71"/>
      <c r="Q384" s="22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  <c r="BA384" s="39"/>
      <c r="BB384" s="39"/>
      <c r="BC384" s="39"/>
      <c r="BD384" s="39"/>
      <c r="BE384" s="39"/>
      <c r="BF384" s="39"/>
      <c r="BG384" s="39"/>
      <c r="BH384" s="39"/>
      <c r="BI384" s="39"/>
      <c r="BJ384" s="39"/>
      <c r="BK384" s="39"/>
      <c r="BL384" s="39"/>
      <c r="BM384" s="39"/>
      <c r="BN384" s="39"/>
      <c r="BO384" s="39"/>
      <c r="BP384" s="39"/>
      <c r="BQ384" s="39"/>
      <c r="BR384" s="39"/>
      <c r="BS384" s="39"/>
      <c r="BT384" s="39"/>
      <c r="BU384" s="39"/>
      <c r="BV384" s="39"/>
      <c r="BW384" s="39"/>
      <c r="BX384" s="39"/>
      <c r="BY384" s="39"/>
      <c r="BZ384" s="39"/>
      <c r="CA384" s="39"/>
      <c r="CB384" s="39"/>
      <c r="CC384" s="39"/>
      <c r="CD384" s="39"/>
      <c r="CE384" s="39"/>
      <c r="CF384" s="39"/>
      <c r="CG384" s="39"/>
      <c r="CH384" s="39"/>
      <c r="CI384" s="39"/>
      <c r="CJ384" s="39"/>
      <c r="CK384" s="39"/>
      <c r="CL384" s="39"/>
      <c r="CM384" s="39"/>
      <c r="CN384" s="39"/>
      <c r="CO384" s="39"/>
      <c r="CP384" s="39"/>
      <c r="CQ384" s="39"/>
    </row>
    <row r="385" spans="1:95" s="92" customFormat="1" ht="33" hidden="1" customHeight="1" x14ac:dyDescent="0.25">
      <c r="A385" s="229"/>
      <c r="B385" s="229"/>
      <c r="C385" s="229"/>
      <c r="D385" s="229"/>
      <c r="E385" s="229"/>
      <c r="F385" s="229"/>
      <c r="G385" s="229"/>
      <c r="H385" s="229"/>
      <c r="I385" s="68"/>
      <c r="J385" s="71"/>
      <c r="K385" s="229"/>
      <c r="L385" s="229"/>
      <c r="M385" s="229"/>
      <c r="N385" s="229"/>
      <c r="O385" s="229"/>
      <c r="P385" s="71"/>
      <c r="Q385" s="22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  <c r="BA385" s="39"/>
      <c r="BB385" s="39"/>
      <c r="BC385" s="39"/>
      <c r="BD385" s="39"/>
      <c r="BE385" s="39"/>
      <c r="BF385" s="39"/>
      <c r="BG385" s="39"/>
      <c r="BH385" s="39"/>
      <c r="BI385" s="39"/>
      <c r="BJ385" s="39"/>
      <c r="BK385" s="39"/>
      <c r="BL385" s="39"/>
      <c r="BM385" s="39"/>
      <c r="BN385" s="39"/>
      <c r="BO385" s="39"/>
      <c r="BP385" s="39"/>
      <c r="BQ385" s="39"/>
      <c r="BR385" s="39"/>
      <c r="BS385" s="39"/>
      <c r="BT385" s="39"/>
      <c r="BU385" s="39"/>
      <c r="BV385" s="39"/>
      <c r="BW385" s="39"/>
      <c r="BX385" s="39"/>
      <c r="BY385" s="39"/>
      <c r="BZ385" s="39"/>
      <c r="CA385" s="39"/>
      <c r="CB385" s="39"/>
      <c r="CC385" s="39"/>
      <c r="CD385" s="39"/>
      <c r="CE385" s="39"/>
      <c r="CF385" s="39"/>
      <c r="CG385" s="39"/>
      <c r="CH385" s="39"/>
      <c r="CI385" s="39"/>
      <c r="CJ385" s="39"/>
      <c r="CK385" s="39"/>
      <c r="CL385" s="39"/>
      <c r="CM385" s="39"/>
      <c r="CN385" s="39"/>
      <c r="CO385" s="39"/>
      <c r="CP385" s="39"/>
      <c r="CQ385" s="39"/>
    </row>
    <row r="386" spans="1:95" s="92" customFormat="1" ht="33" customHeight="1" x14ac:dyDescent="0.25">
      <c r="A386" s="229"/>
      <c r="B386" s="229"/>
      <c r="C386" s="229"/>
      <c r="D386" s="229"/>
      <c r="E386" s="229"/>
      <c r="F386" s="229"/>
      <c r="G386" s="229"/>
      <c r="H386" s="229"/>
      <c r="I386" s="68"/>
      <c r="J386" s="71"/>
      <c r="K386" s="229"/>
      <c r="L386" s="229"/>
      <c r="M386" s="229"/>
      <c r="N386" s="229"/>
      <c r="O386" s="229"/>
      <c r="P386" s="71"/>
      <c r="Q386" s="22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  <c r="BA386" s="39"/>
      <c r="BB386" s="39"/>
      <c r="BC386" s="39"/>
      <c r="BD386" s="39"/>
      <c r="BE386" s="39"/>
      <c r="BF386" s="39"/>
      <c r="BG386" s="39"/>
      <c r="BH386" s="39"/>
      <c r="BI386" s="39"/>
      <c r="BJ386" s="39"/>
      <c r="BK386" s="39"/>
      <c r="BL386" s="39"/>
      <c r="BM386" s="39"/>
      <c r="BN386" s="39"/>
      <c r="BO386" s="39"/>
      <c r="BP386" s="39"/>
      <c r="BQ386" s="39"/>
      <c r="BR386" s="39"/>
      <c r="BS386" s="39"/>
      <c r="BT386" s="39"/>
      <c r="BU386" s="39"/>
      <c r="BV386" s="39"/>
      <c r="BW386" s="39"/>
      <c r="BX386" s="39"/>
      <c r="BY386" s="39"/>
      <c r="BZ386" s="39"/>
      <c r="CA386" s="39"/>
      <c r="CB386" s="39"/>
      <c r="CC386" s="39"/>
      <c r="CD386" s="39"/>
      <c r="CE386" s="39"/>
      <c r="CF386" s="39"/>
      <c r="CG386" s="39"/>
      <c r="CH386" s="39"/>
      <c r="CI386" s="39"/>
      <c r="CJ386" s="39"/>
      <c r="CK386" s="39"/>
      <c r="CL386" s="39"/>
      <c r="CM386" s="39"/>
      <c r="CN386" s="39"/>
      <c r="CO386" s="39"/>
      <c r="CP386" s="39"/>
      <c r="CQ386" s="39"/>
    </row>
    <row r="387" spans="1:95" s="92" customFormat="1" ht="33" hidden="1" customHeight="1" x14ac:dyDescent="0.25">
      <c r="A387" s="229"/>
      <c r="B387" s="229"/>
      <c r="C387" s="229"/>
      <c r="D387" s="229"/>
      <c r="E387" s="229"/>
      <c r="F387" s="229"/>
      <c r="G387" s="229"/>
      <c r="H387" s="229"/>
      <c r="I387" s="68"/>
      <c r="J387" s="71"/>
      <c r="K387" s="229"/>
      <c r="L387" s="229"/>
      <c r="M387" s="229"/>
      <c r="N387" s="229"/>
      <c r="O387" s="229"/>
      <c r="P387" s="71"/>
      <c r="Q387" s="22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  <c r="BA387" s="39"/>
      <c r="BB387" s="39"/>
      <c r="BC387" s="39"/>
      <c r="BD387" s="39"/>
      <c r="BE387" s="39"/>
      <c r="BF387" s="39"/>
      <c r="BG387" s="39"/>
      <c r="BH387" s="39"/>
      <c r="BI387" s="39"/>
      <c r="BJ387" s="39"/>
      <c r="BK387" s="39"/>
      <c r="BL387" s="39"/>
      <c r="BM387" s="39"/>
      <c r="BN387" s="39"/>
      <c r="BO387" s="39"/>
      <c r="BP387" s="39"/>
      <c r="BQ387" s="39"/>
      <c r="BR387" s="39"/>
      <c r="BS387" s="39"/>
      <c r="BT387" s="39"/>
      <c r="BU387" s="39"/>
      <c r="BV387" s="39"/>
      <c r="BW387" s="39"/>
      <c r="BX387" s="39"/>
      <c r="BY387" s="39"/>
      <c r="BZ387" s="39"/>
      <c r="CA387" s="39"/>
      <c r="CB387" s="39"/>
      <c r="CC387" s="39"/>
      <c r="CD387" s="39"/>
      <c r="CE387" s="39"/>
      <c r="CF387" s="39"/>
      <c r="CG387" s="39"/>
      <c r="CH387" s="39"/>
      <c r="CI387" s="39"/>
      <c r="CJ387" s="39"/>
      <c r="CK387" s="39"/>
      <c r="CL387" s="39"/>
      <c r="CM387" s="39"/>
      <c r="CN387" s="39"/>
      <c r="CO387" s="39"/>
      <c r="CP387" s="39"/>
      <c r="CQ387" s="39"/>
    </row>
    <row r="388" spans="1:95" s="92" customFormat="1" ht="33" customHeight="1" x14ac:dyDescent="0.25">
      <c r="A388" s="229"/>
      <c r="B388" s="229"/>
      <c r="C388" s="229"/>
      <c r="D388" s="229"/>
      <c r="E388" s="229"/>
      <c r="F388" s="229"/>
      <c r="G388" s="229"/>
      <c r="H388" s="229"/>
      <c r="I388" s="68"/>
      <c r="J388" s="71"/>
      <c r="K388" s="229"/>
      <c r="L388" s="229"/>
      <c r="M388" s="229"/>
      <c r="N388" s="229"/>
      <c r="O388" s="229"/>
      <c r="P388" s="71"/>
      <c r="Q388" s="22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  <c r="BA388" s="39"/>
      <c r="BB388" s="39"/>
      <c r="BC388" s="39"/>
      <c r="BD388" s="39"/>
      <c r="BE388" s="39"/>
      <c r="BF388" s="39"/>
      <c r="BG388" s="39"/>
      <c r="BH388" s="39"/>
      <c r="BI388" s="39"/>
      <c r="BJ388" s="39"/>
      <c r="BK388" s="39"/>
      <c r="BL388" s="39"/>
      <c r="BM388" s="39"/>
      <c r="BN388" s="39"/>
      <c r="BO388" s="39"/>
      <c r="BP388" s="39"/>
      <c r="BQ388" s="39"/>
      <c r="BR388" s="39"/>
      <c r="BS388" s="39"/>
      <c r="BT388" s="39"/>
      <c r="BU388" s="39"/>
      <c r="BV388" s="39"/>
      <c r="BW388" s="39"/>
      <c r="BX388" s="39"/>
      <c r="BY388" s="39"/>
      <c r="BZ388" s="39"/>
      <c r="CA388" s="39"/>
      <c r="CB388" s="39"/>
      <c r="CC388" s="39"/>
      <c r="CD388" s="39"/>
      <c r="CE388" s="39"/>
      <c r="CF388" s="39"/>
      <c r="CG388" s="39"/>
      <c r="CH388" s="39"/>
      <c r="CI388" s="39"/>
      <c r="CJ388" s="39"/>
      <c r="CK388" s="39"/>
      <c r="CL388" s="39"/>
      <c r="CM388" s="39"/>
      <c r="CN388" s="39"/>
      <c r="CO388" s="39"/>
      <c r="CP388" s="39"/>
      <c r="CQ388" s="39"/>
    </row>
    <row r="389" spans="1:95" s="92" customFormat="1" ht="33" hidden="1" customHeight="1" x14ac:dyDescent="0.25">
      <c r="A389" s="229"/>
      <c r="B389" s="229"/>
      <c r="C389" s="229"/>
      <c r="D389" s="229"/>
      <c r="E389" s="229"/>
      <c r="F389" s="229"/>
      <c r="G389" s="229"/>
      <c r="H389" s="229"/>
      <c r="I389" s="68"/>
      <c r="J389" s="71"/>
      <c r="K389" s="229"/>
      <c r="L389" s="229"/>
      <c r="M389" s="229"/>
      <c r="N389" s="229"/>
      <c r="O389" s="229"/>
      <c r="P389" s="71"/>
      <c r="Q389" s="22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  <c r="BA389" s="39"/>
      <c r="BB389" s="39"/>
      <c r="BC389" s="39"/>
      <c r="BD389" s="39"/>
      <c r="BE389" s="39"/>
      <c r="BF389" s="39"/>
      <c r="BG389" s="39"/>
      <c r="BH389" s="39"/>
      <c r="BI389" s="39"/>
      <c r="BJ389" s="39"/>
      <c r="BK389" s="39"/>
      <c r="BL389" s="39"/>
      <c r="BM389" s="39"/>
      <c r="BN389" s="39"/>
      <c r="BO389" s="39"/>
      <c r="BP389" s="39"/>
      <c r="BQ389" s="39"/>
      <c r="BR389" s="39"/>
      <c r="BS389" s="39"/>
      <c r="BT389" s="39"/>
      <c r="BU389" s="39"/>
      <c r="BV389" s="39"/>
      <c r="BW389" s="39"/>
      <c r="BX389" s="39"/>
      <c r="BY389" s="39"/>
      <c r="BZ389" s="39"/>
      <c r="CA389" s="39"/>
      <c r="CB389" s="39"/>
      <c r="CC389" s="39"/>
      <c r="CD389" s="39"/>
      <c r="CE389" s="39"/>
      <c r="CF389" s="39"/>
      <c r="CG389" s="39"/>
      <c r="CH389" s="39"/>
      <c r="CI389" s="39"/>
      <c r="CJ389" s="39"/>
      <c r="CK389" s="39"/>
      <c r="CL389" s="39"/>
      <c r="CM389" s="39"/>
      <c r="CN389" s="39"/>
      <c r="CO389" s="39"/>
      <c r="CP389" s="39"/>
      <c r="CQ389" s="39"/>
    </row>
    <row r="390" spans="1:95" s="92" customFormat="1" ht="33" customHeight="1" x14ac:dyDescent="0.25">
      <c r="A390" s="229"/>
      <c r="B390" s="229"/>
      <c r="C390" s="229"/>
      <c r="D390" s="229"/>
      <c r="E390" s="229"/>
      <c r="F390" s="229"/>
      <c r="G390" s="229"/>
      <c r="H390" s="229"/>
      <c r="I390" s="68"/>
      <c r="J390" s="71"/>
      <c r="K390" s="229"/>
      <c r="L390" s="229"/>
      <c r="M390" s="229"/>
      <c r="N390" s="229"/>
      <c r="O390" s="229"/>
      <c r="P390" s="71"/>
      <c r="Q390" s="22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  <c r="BA390" s="39"/>
      <c r="BB390" s="39"/>
      <c r="BC390" s="39"/>
      <c r="BD390" s="39"/>
      <c r="BE390" s="39"/>
      <c r="BF390" s="39"/>
      <c r="BG390" s="39"/>
      <c r="BH390" s="39"/>
      <c r="BI390" s="39"/>
      <c r="BJ390" s="39"/>
      <c r="BK390" s="39"/>
      <c r="BL390" s="39"/>
      <c r="BM390" s="39"/>
      <c r="BN390" s="39"/>
      <c r="BO390" s="39"/>
      <c r="BP390" s="39"/>
      <c r="BQ390" s="39"/>
      <c r="BR390" s="39"/>
      <c r="BS390" s="39"/>
      <c r="BT390" s="39"/>
      <c r="BU390" s="39"/>
      <c r="BV390" s="39"/>
      <c r="BW390" s="39"/>
      <c r="BX390" s="39"/>
      <c r="BY390" s="39"/>
      <c r="BZ390" s="39"/>
      <c r="CA390" s="39"/>
      <c r="CB390" s="39"/>
      <c r="CC390" s="39"/>
      <c r="CD390" s="39"/>
      <c r="CE390" s="39"/>
      <c r="CF390" s="39"/>
      <c r="CG390" s="39"/>
      <c r="CH390" s="39"/>
      <c r="CI390" s="39"/>
      <c r="CJ390" s="39"/>
      <c r="CK390" s="39"/>
      <c r="CL390" s="39"/>
      <c r="CM390" s="39"/>
      <c r="CN390" s="39"/>
      <c r="CO390" s="39"/>
      <c r="CP390" s="39"/>
      <c r="CQ390" s="39"/>
    </row>
    <row r="391" spans="1:95" s="92" customFormat="1" ht="33" customHeight="1" x14ac:dyDescent="0.25">
      <c r="A391" s="229"/>
      <c r="B391" s="229"/>
      <c r="C391" s="229"/>
      <c r="D391" s="229"/>
      <c r="E391" s="229"/>
      <c r="F391" s="229"/>
      <c r="G391" s="229"/>
      <c r="H391" s="229"/>
      <c r="I391" s="68"/>
      <c r="J391" s="71"/>
      <c r="K391" s="229"/>
      <c r="L391" s="229"/>
      <c r="M391" s="229"/>
      <c r="N391" s="229"/>
      <c r="O391" s="229"/>
      <c r="P391" s="71"/>
      <c r="Q391" s="22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  <c r="BA391" s="39"/>
      <c r="BB391" s="39"/>
      <c r="BC391" s="39"/>
      <c r="BD391" s="39"/>
      <c r="BE391" s="39"/>
      <c r="BF391" s="39"/>
      <c r="BG391" s="39"/>
      <c r="BH391" s="39"/>
      <c r="BI391" s="39"/>
      <c r="BJ391" s="39"/>
      <c r="BK391" s="39"/>
      <c r="BL391" s="39"/>
      <c r="BM391" s="39"/>
      <c r="BN391" s="39"/>
      <c r="BO391" s="39"/>
      <c r="BP391" s="39"/>
      <c r="BQ391" s="39"/>
      <c r="BR391" s="39"/>
      <c r="BS391" s="39"/>
      <c r="BT391" s="39"/>
      <c r="BU391" s="39"/>
      <c r="BV391" s="39"/>
      <c r="BW391" s="39"/>
      <c r="BX391" s="39"/>
      <c r="BY391" s="39"/>
      <c r="BZ391" s="39"/>
      <c r="CA391" s="39"/>
      <c r="CB391" s="39"/>
      <c r="CC391" s="39"/>
      <c r="CD391" s="39"/>
      <c r="CE391" s="39"/>
      <c r="CF391" s="39"/>
      <c r="CG391" s="39"/>
      <c r="CH391" s="39"/>
      <c r="CI391" s="39"/>
      <c r="CJ391" s="39"/>
      <c r="CK391" s="39"/>
      <c r="CL391" s="39"/>
      <c r="CM391" s="39"/>
      <c r="CN391" s="39"/>
      <c r="CO391" s="39"/>
      <c r="CP391" s="39"/>
      <c r="CQ391" s="39"/>
    </row>
    <row r="392" spans="1:95" s="92" customFormat="1" ht="33" customHeight="1" x14ac:dyDescent="0.25">
      <c r="A392" s="229"/>
      <c r="B392" s="229"/>
      <c r="C392" s="229"/>
      <c r="D392" s="229"/>
      <c r="E392" s="229"/>
      <c r="F392" s="229"/>
      <c r="G392" s="229"/>
      <c r="H392" s="229"/>
      <c r="I392" s="68"/>
      <c r="J392" s="71"/>
      <c r="K392" s="229"/>
      <c r="L392" s="229"/>
      <c r="M392" s="229"/>
      <c r="N392" s="229"/>
      <c r="O392" s="229"/>
      <c r="P392" s="71"/>
      <c r="Q392" s="22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  <c r="BA392" s="39"/>
      <c r="BB392" s="39"/>
      <c r="BC392" s="39"/>
      <c r="BD392" s="39"/>
      <c r="BE392" s="39"/>
      <c r="BF392" s="39"/>
      <c r="BG392" s="39"/>
      <c r="BH392" s="39"/>
      <c r="BI392" s="39"/>
      <c r="BJ392" s="39"/>
      <c r="BK392" s="39"/>
      <c r="BL392" s="39"/>
      <c r="BM392" s="39"/>
      <c r="BN392" s="39"/>
      <c r="BO392" s="39"/>
      <c r="BP392" s="39"/>
      <c r="BQ392" s="39"/>
      <c r="BR392" s="39"/>
      <c r="BS392" s="39"/>
      <c r="BT392" s="39"/>
      <c r="BU392" s="39"/>
      <c r="BV392" s="39"/>
      <c r="BW392" s="39"/>
      <c r="BX392" s="39"/>
      <c r="BY392" s="39"/>
      <c r="BZ392" s="39"/>
      <c r="CA392" s="39"/>
      <c r="CB392" s="39"/>
      <c r="CC392" s="39"/>
      <c r="CD392" s="39"/>
      <c r="CE392" s="39"/>
      <c r="CF392" s="39"/>
      <c r="CG392" s="39"/>
      <c r="CH392" s="39"/>
      <c r="CI392" s="39"/>
      <c r="CJ392" s="39"/>
      <c r="CK392" s="39"/>
      <c r="CL392" s="39"/>
      <c r="CM392" s="39"/>
      <c r="CN392" s="39"/>
      <c r="CO392" s="39"/>
      <c r="CP392" s="39"/>
      <c r="CQ392" s="39"/>
    </row>
    <row r="393" spans="1:95" s="92" customFormat="1" ht="33" customHeight="1" x14ac:dyDescent="0.25">
      <c r="A393" s="229"/>
      <c r="B393" s="229"/>
      <c r="C393" s="229"/>
      <c r="D393" s="229"/>
      <c r="E393" s="229"/>
      <c r="F393" s="229"/>
      <c r="G393" s="229"/>
      <c r="H393" s="229"/>
      <c r="I393" s="68"/>
      <c r="J393" s="71"/>
      <c r="K393" s="229"/>
      <c r="L393" s="229"/>
      <c r="M393" s="229"/>
      <c r="N393" s="229"/>
      <c r="O393" s="229"/>
      <c r="P393" s="71"/>
      <c r="Q393" s="22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  <c r="BA393" s="39"/>
      <c r="BB393" s="39"/>
      <c r="BC393" s="39"/>
      <c r="BD393" s="39"/>
      <c r="BE393" s="39"/>
      <c r="BF393" s="39"/>
      <c r="BG393" s="39"/>
      <c r="BH393" s="39"/>
      <c r="BI393" s="39"/>
      <c r="BJ393" s="39"/>
      <c r="BK393" s="39"/>
      <c r="BL393" s="39"/>
      <c r="BM393" s="39"/>
      <c r="BN393" s="39"/>
      <c r="BO393" s="39"/>
      <c r="BP393" s="39"/>
      <c r="BQ393" s="39"/>
      <c r="BR393" s="39"/>
      <c r="BS393" s="39"/>
      <c r="BT393" s="39"/>
      <c r="BU393" s="39"/>
      <c r="BV393" s="39"/>
      <c r="BW393" s="39"/>
      <c r="BX393" s="39"/>
      <c r="BY393" s="39"/>
      <c r="BZ393" s="39"/>
      <c r="CA393" s="39"/>
      <c r="CB393" s="39"/>
      <c r="CC393" s="39"/>
      <c r="CD393" s="39"/>
      <c r="CE393" s="39"/>
      <c r="CF393" s="39"/>
      <c r="CG393" s="39"/>
      <c r="CH393" s="39"/>
      <c r="CI393" s="39"/>
      <c r="CJ393" s="39"/>
      <c r="CK393" s="39"/>
      <c r="CL393" s="39"/>
      <c r="CM393" s="39"/>
      <c r="CN393" s="39"/>
      <c r="CO393" s="39"/>
      <c r="CP393" s="39"/>
      <c r="CQ393" s="39"/>
    </row>
    <row r="394" spans="1:95" s="92" customFormat="1" ht="33" customHeight="1" x14ac:dyDescent="0.25">
      <c r="A394" s="229"/>
      <c r="B394" s="229"/>
      <c r="C394" s="229"/>
      <c r="D394" s="229"/>
      <c r="E394" s="229"/>
      <c r="F394" s="229"/>
      <c r="G394" s="229"/>
      <c r="H394" s="229"/>
      <c r="I394" s="68"/>
      <c r="J394" s="71"/>
      <c r="K394" s="229"/>
      <c r="L394" s="229"/>
      <c r="M394" s="229"/>
      <c r="N394" s="229"/>
      <c r="O394" s="229"/>
      <c r="P394" s="71"/>
      <c r="Q394" s="22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  <c r="BA394" s="39"/>
      <c r="BB394" s="39"/>
      <c r="BC394" s="39"/>
      <c r="BD394" s="39"/>
      <c r="BE394" s="39"/>
      <c r="BF394" s="39"/>
      <c r="BG394" s="39"/>
      <c r="BH394" s="39"/>
      <c r="BI394" s="39"/>
      <c r="BJ394" s="39"/>
      <c r="BK394" s="39"/>
      <c r="BL394" s="39"/>
      <c r="BM394" s="39"/>
      <c r="BN394" s="39"/>
      <c r="BO394" s="39"/>
      <c r="BP394" s="39"/>
      <c r="BQ394" s="39"/>
      <c r="BR394" s="39"/>
      <c r="BS394" s="39"/>
      <c r="BT394" s="39"/>
      <c r="BU394" s="39"/>
      <c r="BV394" s="39"/>
      <c r="BW394" s="39"/>
      <c r="BX394" s="39"/>
      <c r="BY394" s="39"/>
      <c r="BZ394" s="39"/>
      <c r="CA394" s="39"/>
      <c r="CB394" s="39"/>
      <c r="CC394" s="39"/>
      <c r="CD394" s="39"/>
      <c r="CE394" s="39"/>
      <c r="CF394" s="39"/>
      <c r="CG394" s="39"/>
      <c r="CH394" s="39"/>
      <c r="CI394" s="39"/>
      <c r="CJ394" s="39"/>
      <c r="CK394" s="39"/>
      <c r="CL394" s="39"/>
      <c r="CM394" s="39"/>
      <c r="CN394" s="39"/>
      <c r="CO394" s="39"/>
      <c r="CP394" s="39"/>
      <c r="CQ394" s="39"/>
    </row>
    <row r="395" spans="1:95" s="92" customFormat="1" ht="33" customHeight="1" x14ac:dyDescent="0.25">
      <c r="A395" s="229"/>
      <c r="B395" s="229"/>
      <c r="C395" s="229"/>
      <c r="D395" s="229"/>
      <c r="E395" s="229"/>
      <c r="F395" s="229"/>
      <c r="G395" s="229"/>
      <c r="H395" s="229"/>
      <c r="I395" s="68"/>
      <c r="J395" s="71"/>
      <c r="K395" s="229"/>
      <c r="L395" s="229"/>
      <c r="M395" s="229"/>
      <c r="N395" s="229"/>
      <c r="O395" s="229"/>
      <c r="P395" s="71"/>
      <c r="Q395" s="22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  <c r="BA395" s="39"/>
      <c r="BB395" s="39"/>
      <c r="BC395" s="39"/>
      <c r="BD395" s="39"/>
      <c r="BE395" s="39"/>
      <c r="BF395" s="39"/>
      <c r="BG395" s="39"/>
      <c r="BH395" s="39"/>
      <c r="BI395" s="39"/>
      <c r="BJ395" s="39"/>
      <c r="BK395" s="39"/>
      <c r="BL395" s="39"/>
      <c r="BM395" s="39"/>
      <c r="BN395" s="39"/>
      <c r="BO395" s="39"/>
      <c r="BP395" s="39"/>
      <c r="BQ395" s="39"/>
      <c r="BR395" s="39"/>
      <c r="BS395" s="39"/>
      <c r="BT395" s="39"/>
      <c r="BU395" s="39"/>
      <c r="BV395" s="39"/>
      <c r="BW395" s="39"/>
      <c r="BX395" s="39"/>
      <c r="BY395" s="39"/>
      <c r="BZ395" s="39"/>
      <c r="CA395" s="39"/>
      <c r="CB395" s="39"/>
      <c r="CC395" s="39"/>
      <c r="CD395" s="39"/>
      <c r="CE395" s="39"/>
      <c r="CF395" s="39"/>
      <c r="CG395" s="39"/>
      <c r="CH395" s="39"/>
      <c r="CI395" s="39"/>
      <c r="CJ395" s="39"/>
      <c r="CK395" s="39"/>
      <c r="CL395" s="39"/>
      <c r="CM395" s="39"/>
      <c r="CN395" s="39"/>
      <c r="CO395" s="39"/>
      <c r="CP395" s="39"/>
      <c r="CQ395" s="39"/>
    </row>
    <row r="396" spans="1:95" s="92" customFormat="1" ht="33" customHeight="1" x14ac:dyDescent="0.25">
      <c r="A396" s="229"/>
      <c r="B396" s="229"/>
      <c r="C396" s="229"/>
      <c r="D396" s="229"/>
      <c r="E396" s="229"/>
      <c r="F396" s="229"/>
      <c r="G396" s="229"/>
      <c r="H396" s="229"/>
      <c r="I396" s="68"/>
      <c r="J396" s="71"/>
      <c r="K396" s="229"/>
      <c r="L396" s="229"/>
      <c r="M396" s="229"/>
      <c r="N396" s="229"/>
      <c r="O396" s="229"/>
      <c r="P396" s="71"/>
      <c r="Q396" s="22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  <c r="BA396" s="39"/>
      <c r="BB396" s="39"/>
      <c r="BC396" s="39"/>
      <c r="BD396" s="39"/>
      <c r="BE396" s="39"/>
      <c r="BF396" s="39"/>
      <c r="BG396" s="39"/>
      <c r="BH396" s="39"/>
      <c r="BI396" s="39"/>
      <c r="BJ396" s="39"/>
      <c r="BK396" s="39"/>
      <c r="BL396" s="39"/>
      <c r="BM396" s="39"/>
      <c r="BN396" s="39"/>
      <c r="BO396" s="39"/>
      <c r="BP396" s="39"/>
      <c r="BQ396" s="39"/>
      <c r="BR396" s="39"/>
      <c r="BS396" s="39"/>
      <c r="BT396" s="39"/>
      <c r="BU396" s="39"/>
      <c r="BV396" s="39"/>
      <c r="BW396" s="39"/>
      <c r="BX396" s="39"/>
      <c r="BY396" s="39"/>
      <c r="BZ396" s="39"/>
      <c r="CA396" s="39"/>
      <c r="CB396" s="39"/>
      <c r="CC396" s="39"/>
      <c r="CD396" s="39"/>
      <c r="CE396" s="39"/>
      <c r="CF396" s="39"/>
      <c r="CG396" s="39"/>
      <c r="CH396" s="39"/>
      <c r="CI396" s="39"/>
      <c r="CJ396" s="39"/>
      <c r="CK396" s="39"/>
      <c r="CL396" s="39"/>
      <c r="CM396" s="39"/>
      <c r="CN396" s="39"/>
      <c r="CO396" s="39"/>
      <c r="CP396" s="39"/>
      <c r="CQ396" s="39"/>
    </row>
    <row r="397" spans="1:95" s="92" customFormat="1" ht="33" customHeight="1" x14ac:dyDescent="0.25">
      <c r="A397" s="229"/>
      <c r="B397" s="229"/>
      <c r="C397" s="229"/>
      <c r="D397" s="229"/>
      <c r="E397" s="229"/>
      <c r="F397" s="229"/>
      <c r="G397" s="229"/>
      <c r="H397" s="229"/>
      <c r="I397" s="68"/>
      <c r="J397" s="71"/>
      <c r="K397" s="229"/>
      <c r="L397" s="229"/>
      <c r="M397" s="229"/>
      <c r="N397" s="229"/>
      <c r="O397" s="229"/>
      <c r="P397" s="71"/>
      <c r="Q397" s="22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  <c r="BA397" s="39"/>
      <c r="BB397" s="39"/>
      <c r="BC397" s="39"/>
      <c r="BD397" s="39"/>
      <c r="BE397" s="39"/>
      <c r="BF397" s="39"/>
      <c r="BG397" s="39"/>
      <c r="BH397" s="39"/>
      <c r="BI397" s="39"/>
      <c r="BJ397" s="39"/>
      <c r="BK397" s="39"/>
      <c r="BL397" s="39"/>
      <c r="BM397" s="39"/>
      <c r="BN397" s="39"/>
      <c r="BO397" s="39"/>
      <c r="BP397" s="39"/>
      <c r="BQ397" s="39"/>
      <c r="BR397" s="39"/>
      <c r="BS397" s="39"/>
      <c r="BT397" s="39"/>
      <c r="BU397" s="39"/>
      <c r="BV397" s="39"/>
      <c r="BW397" s="39"/>
      <c r="BX397" s="39"/>
      <c r="BY397" s="39"/>
      <c r="BZ397" s="39"/>
      <c r="CA397" s="39"/>
      <c r="CB397" s="39"/>
      <c r="CC397" s="39"/>
      <c r="CD397" s="39"/>
      <c r="CE397" s="39"/>
      <c r="CF397" s="39"/>
      <c r="CG397" s="39"/>
      <c r="CH397" s="39"/>
      <c r="CI397" s="39"/>
      <c r="CJ397" s="39"/>
      <c r="CK397" s="39"/>
      <c r="CL397" s="39"/>
      <c r="CM397" s="39"/>
      <c r="CN397" s="39"/>
      <c r="CO397" s="39"/>
      <c r="CP397" s="39"/>
      <c r="CQ397" s="39"/>
    </row>
    <row r="398" spans="1:95" s="92" customFormat="1" ht="33" customHeight="1" x14ac:dyDescent="0.25">
      <c r="A398" s="229"/>
      <c r="B398" s="229"/>
      <c r="C398" s="229"/>
      <c r="D398" s="229"/>
      <c r="E398" s="229"/>
      <c r="F398" s="229"/>
      <c r="G398" s="229"/>
      <c r="H398" s="229"/>
      <c r="I398" s="68"/>
      <c r="J398" s="71"/>
      <c r="K398" s="229"/>
      <c r="L398" s="229"/>
      <c r="M398" s="229"/>
      <c r="N398" s="229"/>
      <c r="O398" s="229"/>
      <c r="P398" s="71"/>
      <c r="Q398" s="22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  <c r="BA398" s="39"/>
      <c r="BB398" s="39"/>
      <c r="BC398" s="39"/>
      <c r="BD398" s="39"/>
      <c r="BE398" s="39"/>
      <c r="BF398" s="39"/>
      <c r="BG398" s="39"/>
      <c r="BH398" s="39"/>
      <c r="BI398" s="39"/>
      <c r="BJ398" s="39"/>
      <c r="BK398" s="39"/>
      <c r="BL398" s="39"/>
      <c r="BM398" s="39"/>
      <c r="BN398" s="39"/>
      <c r="BO398" s="39"/>
      <c r="BP398" s="39"/>
      <c r="BQ398" s="39"/>
      <c r="BR398" s="39"/>
      <c r="BS398" s="39"/>
      <c r="BT398" s="39"/>
      <c r="BU398" s="39"/>
      <c r="BV398" s="39"/>
      <c r="BW398" s="39"/>
      <c r="BX398" s="39"/>
      <c r="BY398" s="39"/>
      <c r="BZ398" s="39"/>
      <c r="CA398" s="39"/>
      <c r="CB398" s="39"/>
      <c r="CC398" s="39"/>
      <c r="CD398" s="39"/>
      <c r="CE398" s="39"/>
      <c r="CF398" s="39"/>
      <c r="CG398" s="39"/>
      <c r="CH398" s="39"/>
      <c r="CI398" s="39"/>
      <c r="CJ398" s="39"/>
      <c r="CK398" s="39"/>
      <c r="CL398" s="39"/>
      <c r="CM398" s="39"/>
      <c r="CN398" s="39"/>
      <c r="CO398" s="39"/>
      <c r="CP398" s="39"/>
      <c r="CQ398" s="39"/>
    </row>
    <row r="399" spans="1:95" s="92" customFormat="1" ht="33" customHeight="1" x14ac:dyDescent="0.25">
      <c r="A399" s="229"/>
      <c r="B399" s="229"/>
      <c r="C399" s="229"/>
      <c r="D399" s="229"/>
      <c r="E399" s="229"/>
      <c r="F399" s="229"/>
      <c r="G399" s="229"/>
      <c r="H399" s="229"/>
      <c r="I399" s="68"/>
      <c r="J399" s="71"/>
      <c r="K399" s="229"/>
      <c r="L399" s="229"/>
      <c r="M399" s="229"/>
      <c r="N399" s="229"/>
      <c r="O399" s="229"/>
      <c r="P399" s="71"/>
      <c r="Q399" s="22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  <c r="BA399" s="39"/>
      <c r="BB399" s="39"/>
      <c r="BC399" s="39"/>
      <c r="BD399" s="39"/>
      <c r="BE399" s="39"/>
      <c r="BF399" s="39"/>
      <c r="BG399" s="39"/>
      <c r="BH399" s="39"/>
      <c r="BI399" s="39"/>
      <c r="BJ399" s="39"/>
      <c r="BK399" s="39"/>
      <c r="BL399" s="39"/>
      <c r="BM399" s="39"/>
      <c r="BN399" s="39"/>
      <c r="BO399" s="39"/>
      <c r="BP399" s="39"/>
      <c r="BQ399" s="39"/>
      <c r="BR399" s="39"/>
      <c r="BS399" s="39"/>
      <c r="BT399" s="39"/>
      <c r="BU399" s="39"/>
      <c r="BV399" s="39"/>
      <c r="BW399" s="39"/>
      <c r="BX399" s="39"/>
      <c r="BY399" s="39"/>
      <c r="BZ399" s="39"/>
      <c r="CA399" s="39"/>
      <c r="CB399" s="39"/>
      <c r="CC399" s="39"/>
      <c r="CD399" s="39"/>
      <c r="CE399" s="39"/>
      <c r="CF399" s="39"/>
      <c r="CG399" s="39"/>
      <c r="CH399" s="39"/>
      <c r="CI399" s="39"/>
      <c r="CJ399" s="39"/>
      <c r="CK399" s="39"/>
      <c r="CL399" s="39"/>
      <c r="CM399" s="39"/>
      <c r="CN399" s="39"/>
      <c r="CO399" s="39"/>
      <c r="CP399" s="39"/>
      <c r="CQ399" s="39"/>
    </row>
    <row r="400" spans="1:95" s="92" customFormat="1" ht="33" customHeight="1" x14ac:dyDescent="0.25">
      <c r="A400" s="229"/>
      <c r="B400" s="229"/>
      <c r="C400" s="229"/>
      <c r="D400" s="229"/>
      <c r="E400" s="229"/>
      <c r="F400" s="229"/>
      <c r="G400" s="229"/>
      <c r="H400" s="229"/>
      <c r="I400" s="68"/>
      <c r="J400" s="71"/>
      <c r="K400" s="229"/>
      <c r="L400" s="229"/>
      <c r="M400" s="229"/>
      <c r="N400" s="229"/>
      <c r="O400" s="229"/>
      <c r="P400" s="71"/>
      <c r="Q400" s="22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  <c r="BA400" s="39"/>
      <c r="BB400" s="39"/>
      <c r="BC400" s="39"/>
      <c r="BD400" s="39"/>
      <c r="BE400" s="39"/>
      <c r="BF400" s="39"/>
      <c r="BG400" s="39"/>
      <c r="BH400" s="39"/>
      <c r="BI400" s="39"/>
      <c r="BJ400" s="39"/>
      <c r="BK400" s="39"/>
      <c r="BL400" s="39"/>
      <c r="BM400" s="39"/>
      <c r="BN400" s="39"/>
      <c r="BO400" s="39"/>
      <c r="BP400" s="39"/>
      <c r="BQ400" s="39"/>
      <c r="BR400" s="39"/>
      <c r="BS400" s="39"/>
      <c r="BT400" s="39"/>
      <c r="BU400" s="39"/>
      <c r="BV400" s="39"/>
      <c r="BW400" s="39"/>
      <c r="BX400" s="39"/>
      <c r="BY400" s="39"/>
      <c r="BZ400" s="39"/>
      <c r="CA400" s="39"/>
      <c r="CB400" s="39"/>
      <c r="CC400" s="39"/>
      <c r="CD400" s="39"/>
      <c r="CE400" s="39"/>
      <c r="CF400" s="39"/>
      <c r="CG400" s="39"/>
      <c r="CH400" s="39"/>
      <c r="CI400" s="39"/>
      <c r="CJ400" s="39"/>
      <c r="CK400" s="39"/>
      <c r="CL400" s="39"/>
      <c r="CM400" s="39"/>
      <c r="CN400" s="39"/>
      <c r="CO400" s="39"/>
      <c r="CP400" s="39"/>
      <c r="CQ400" s="39"/>
    </row>
    <row r="401" spans="1:95" s="92" customFormat="1" ht="33" customHeight="1" x14ac:dyDescent="0.25">
      <c r="A401" s="229"/>
      <c r="B401" s="229"/>
      <c r="C401" s="229"/>
      <c r="D401" s="229"/>
      <c r="E401" s="229"/>
      <c r="F401" s="229"/>
      <c r="G401" s="229"/>
      <c r="H401" s="229"/>
      <c r="I401" s="68"/>
      <c r="J401" s="71"/>
      <c r="K401" s="229"/>
      <c r="L401" s="229"/>
      <c r="M401" s="229"/>
      <c r="N401" s="229"/>
      <c r="O401" s="229"/>
      <c r="P401" s="71"/>
      <c r="Q401" s="22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  <c r="BA401" s="39"/>
      <c r="BB401" s="39"/>
      <c r="BC401" s="39"/>
      <c r="BD401" s="39"/>
      <c r="BE401" s="39"/>
      <c r="BF401" s="39"/>
      <c r="BG401" s="39"/>
      <c r="BH401" s="39"/>
      <c r="BI401" s="39"/>
      <c r="BJ401" s="39"/>
      <c r="BK401" s="39"/>
      <c r="BL401" s="39"/>
      <c r="BM401" s="39"/>
      <c r="BN401" s="39"/>
      <c r="BO401" s="39"/>
      <c r="BP401" s="39"/>
      <c r="BQ401" s="39"/>
      <c r="BR401" s="39"/>
      <c r="BS401" s="39"/>
      <c r="BT401" s="39"/>
      <c r="BU401" s="39"/>
      <c r="BV401" s="39"/>
      <c r="BW401" s="39"/>
      <c r="BX401" s="39"/>
      <c r="BY401" s="39"/>
      <c r="BZ401" s="39"/>
      <c r="CA401" s="39"/>
      <c r="CB401" s="39"/>
      <c r="CC401" s="39"/>
      <c r="CD401" s="39"/>
      <c r="CE401" s="39"/>
      <c r="CF401" s="39"/>
      <c r="CG401" s="39"/>
      <c r="CH401" s="39"/>
      <c r="CI401" s="39"/>
      <c r="CJ401" s="39"/>
      <c r="CK401" s="39"/>
      <c r="CL401" s="39"/>
      <c r="CM401" s="39"/>
      <c r="CN401" s="39"/>
      <c r="CO401" s="39"/>
      <c r="CP401" s="39"/>
      <c r="CQ401" s="39"/>
    </row>
    <row r="402" spans="1:95" s="92" customFormat="1" ht="33" customHeight="1" x14ac:dyDescent="0.25">
      <c r="A402" s="229"/>
      <c r="B402" s="229"/>
      <c r="C402" s="229"/>
      <c r="D402" s="229"/>
      <c r="E402" s="229"/>
      <c r="F402" s="229"/>
      <c r="G402" s="229"/>
      <c r="H402" s="229"/>
      <c r="I402" s="68"/>
      <c r="J402" s="71"/>
      <c r="K402" s="229"/>
      <c r="L402" s="229"/>
      <c r="M402" s="229"/>
      <c r="N402" s="229"/>
      <c r="O402" s="229"/>
      <c r="P402" s="71"/>
      <c r="Q402" s="22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  <c r="BA402" s="39"/>
      <c r="BB402" s="39"/>
      <c r="BC402" s="39"/>
      <c r="BD402" s="39"/>
      <c r="BE402" s="39"/>
      <c r="BF402" s="39"/>
      <c r="BG402" s="39"/>
      <c r="BH402" s="39"/>
      <c r="BI402" s="39"/>
      <c r="BJ402" s="39"/>
      <c r="BK402" s="39"/>
      <c r="BL402" s="39"/>
      <c r="BM402" s="39"/>
      <c r="BN402" s="39"/>
      <c r="BO402" s="39"/>
      <c r="BP402" s="39"/>
      <c r="BQ402" s="39"/>
      <c r="BR402" s="39"/>
      <c r="BS402" s="39"/>
      <c r="BT402" s="39"/>
      <c r="BU402" s="39"/>
      <c r="BV402" s="39"/>
      <c r="BW402" s="39"/>
      <c r="BX402" s="39"/>
      <c r="BY402" s="39"/>
      <c r="BZ402" s="39"/>
      <c r="CA402" s="39"/>
      <c r="CB402" s="39"/>
      <c r="CC402" s="39"/>
      <c r="CD402" s="39"/>
      <c r="CE402" s="39"/>
      <c r="CF402" s="39"/>
      <c r="CG402" s="39"/>
      <c r="CH402" s="39"/>
      <c r="CI402" s="39"/>
      <c r="CJ402" s="39"/>
      <c r="CK402" s="39"/>
      <c r="CL402" s="39"/>
      <c r="CM402" s="39"/>
      <c r="CN402" s="39"/>
      <c r="CO402" s="39"/>
      <c r="CP402" s="39"/>
      <c r="CQ402" s="39"/>
    </row>
    <row r="403" spans="1:95" s="92" customFormat="1" ht="33" customHeight="1" x14ac:dyDescent="0.25">
      <c r="A403" s="229"/>
      <c r="B403" s="229"/>
      <c r="C403" s="229"/>
      <c r="D403" s="229"/>
      <c r="E403" s="229"/>
      <c r="F403" s="229"/>
      <c r="G403" s="229"/>
      <c r="H403" s="229"/>
      <c r="I403" s="68"/>
      <c r="J403" s="71"/>
      <c r="K403" s="229"/>
      <c r="L403" s="229"/>
      <c r="M403" s="229"/>
      <c r="N403" s="229"/>
      <c r="O403" s="229"/>
      <c r="P403" s="71"/>
      <c r="Q403" s="22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  <c r="BA403" s="39"/>
      <c r="BB403" s="39"/>
      <c r="BC403" s="39"/>
      <c r="BD403" s="39"/>
      <c r="BE403" s="39"/>
      <c r="BF403" s="39"/>
      <c r="BG403" s="39"/>
      <c r="BH403" s="39"/>
      <c r="BI403" s="39"/>
      <c r="BJ403" s="39"/>
      <c r="BK403" s="39"/>
      <c r="BL403" s="39"/>
      <c r="BM403" s="39"/>
      <c r="BN403" s="39"/>
      <c r="BO403" s="39"/>
      <c r="BP403" s="39"/>
      <c r="BQ403" s="39"/>
      <c r="BR403" s="39"/>
      <c r="BS403" s="39"/>
      <c r="BT403" s="39"/>
      <c r="BU403" s="39"/>
      <c r="BV403" s="39"/>
      <c r="BW403" s="39"/>
      <c r="BX403" s="39"/>
      <c r="BY403" s="39"/>
      <c r="BZ403" s="39"/>
      <c r="CA403" s="39"/>
      <c r="CB403" s="39"/>
      <c r="CC403" s="39"/>
      <c r="CD403" s="39"/>
      <c r="CE403" s="39"/>
      <c r="CF403" s="39"/>
      <c r="CG403" s="39"/>
      <c r="CH403" s="39"/>
      <c r="CI403" s="39"/>
      <c r="CJ403" s="39"/>
      <c r="CK403" s="39"/>
      <c r="CL403" s="39"/>
      <c r="CM403" s="39"/>
      <c r="CN403" s="39"/>
      <c r="CO403" s="39"/>
      <c r="CP403" s="39"/>
      <c r="CQ403" s="39"/>
    </row>
    <row r="404" spans="1:95" s="92" customFormat="1" ht="33" customHeight="1" x14ac:dyDescent="0.25">
      <c r="A404" s="229"/>
      <c r="B404" s="229"/>
      <c r="C404" s="229"/>
      <c r="D404" s="229"/>
      <c r="E404" s="229"/>
      <c r="F404" s="229"/>
      <c r="G404" s="229"/>
      <c r="H404" s="229"/>
      <c r="I404" s="68"/>
      <c r="J404" s="71"/>
      <c r="K404" s="229"/>
      <c r="L404" s="229"/>
      <c r="M404" s="229"/>
      <c r="N404" s="229"/>
      <c r="O404" s="229"/>
      <c r="P404" s="71"/>
      <c r="Q404" s="22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  <c r="BA404" s="39"/>
      <c r="BB404" s="39"/>
      <c r="BC404" s="39"/>
      <c r="BD404" s="39"/>
      <c r="BE404" s="39"/>
      <c r="BF404" s="39"/>
      <c r="BG404" s="39"/>
      <c r="BH404" s="39"/>
      <c r="BI404" s="39"/>
      <c r="BJ404" s="39"/>
      <c r="BK404" s="39"/>
      <c r="BL404" s="39"/>
      <c r="BM404" s="39"/>
      <c r="BN404" s="39"/>
      <c r="BO404" s="39"/>
      <c r="BP404" s="39"/>
      <c r="BQ404" s="39"/>
      <c r="BR404" s="39"/>
      <c r="BS404" s="39"/>
      <c r="BT404" s="39"/>
      <c r="BU404" s="39"/>
      <c r="BV404" s="39"/>
      <c r="BW404" s="39"/>
      <c r="BX404" s="39"/>
      <c r="BY404" s="39"/>
      <c r="BZ404" s="39"/>
      <c r="CA404" s="39"/>
      <c r="CB404" s="39"/>
      <c r="CC404" s="39"/>
      <c r="CD404" s="39"/>
      <c r="CE404" s="39"/>
      <c r="CF404" s="39"/>
      <c r="CG404" s="39"/>
      <c r="CH404" s="39"/>
      <c r="CI404" s="39"/>
      <c r="CJ404" s="39"/>
      <c r="CK404" s="39"/>
      <c r="CL404" s="39"/>
      <c r="CM404" s="39"/>
      <c r="CN404" s="39"/>
      <c r="CO404" s="39"/>
      <c r="CP404" s="39"/>
      <c r="CQ404" s="39"/>
    </row>
    <row r="405" spans="1:95" s="92" customFormat="1" ht="33" customHeight="1" x14ac:dyDescent="0.25">
      <c r="A405" s="229"/>
      <c r="B405" s="229"/>
      <c r="C405" s="229"/>
      <c r="D405" s="229"/>
      <c r="E405" s="229"/>
      <c r="F405" s="229"/>
      <c r="G405" s="229"/>
      <c r="H405" s="229"/>
      <c r="I405" s="68"/>
      <c r="J405" s="71"/>
      <c r="K405" s="229"/>
      <c r="L405" s="229"/>
      <c r="M405" s="229"/>
      <c r="N405" s="229"/>
      <c r="O405" s="229"/>
      <c r="P405" s="71"/>
      <c r="Q405" s="22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  <c r="BA405" s="39"/>
      <c r="BB405" s="39"/>
      <c r="BC405" s="39"/>
      <c r="BD405" s="39"/>
      <c r="BE405" s="39"/>
      <c r="BF405" s="39"/>
      <c r="BG405" s="39"/>
      <c r="BH405" s="39"/>
      <c r="BI405" s="39"/>
      <c r="BJ405" s="39"/>
      <c r="BK405" s="39"/>
      <c r="BL405" s="39"/>
      <c r="BM405" s="39"/>
      <c r="BN405" s="39"/>
      <c r="BO405" s="39"/>
      <c r="BP405" s="39"/>
      <c r="BQ405" s="39"/>
      <c r="BR405" s="39"/>
      <c r="BS405" s="39"/>
      <c r="BT405" s="39"/>
      <c r="BU405" s="39"/>
      <c r="BV405" s="39"/>
      <c r="BW405" s="39"/>
      <c r="BX405" s="39"/>
      <c r="BY405" s="39"/>
      <c r="BZ405" s="39"/>
      <c r="CA405" s="39"/>
      <c r="CB405" s="39"/>
      <c r="CC405" s="39"/>
      <c r="CD405" s="39"/>
      <c r="CE405" s="39"/>
      <c r="CF405" s="39"/>
      <c r="CG405" s="39"/>
      <c r="CH405" s="39"/>
      <c r="CI405" s="39"/>
      <c r="CJ405" s="39"/>
      <c r="CK405" s="39"/>
      <c r="CL405" s="39"/>
      <c r="CM405" s="39"/>
      <c r="CN405" s="39"/>
      <c r="CO405" s="39"/>
      <c r="CP405" s="39"/>
      <c r="CQ405" s="39"/>
    </row>
    <row r="406" spans="1:95" s="92" customFormat="1" ht="33" customHeight="1" x14ac:dyDescent="0.25">
      <c r="A406" s="229"/>
      <c r="B406" s="229"/>
      <c r="C406" s="229"/>
      <c r="D406" s="229"/>
      <c r="E406" s="229"/>
      <c r="F406" s="229"/>
      <c r="G406" s="229"/>
      <c r="H406" s="229"/>
      <c r="I406" s="68"/>
      <c r="J406" s="71"/>
      <c r="K406" s="229"/>
      <c r="L406" s="229"/>
      <c r="M406" s="229"/>
      <c r="N406" s="229"/>
      <c r="O406" s="229"/>
      <c r="P406" s="71"/>
      <c r="Q406" s="22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  <c r="BA406" s="39"/>
      <c r="BB406" s="39"/>
      <c r="BC406" s="39"/>
      <c r="BD406" s="39"/>
      <c r="BE406" s="39"/>
      <c r="BF406" s="39"/>
      <c r="BG406" s="39"/>
      <c r="BH406" s="39"/>
      <c r="BI406" s="39"/>
      <c r="BJ406" s="39"/>
      <c r="BK406" s="39"/>
      <c r="BL406" s="39"/>
      <c r="BM406" s="39"/>
      <c r="BN406" s="39"/>
      <c r="BO406" s="39"/>
      <c r="BP406" s="39"/>
      <c r="BQ406" s="39"/>
      <c r="BR406" s="39"/>
      <c r="BS406" s="39"/>
      <c r="BT406" s="39"/>
      <c r="BU406" s="39"/>
      <c r="BV406" s="39"/>
      <c r="BW406" s="39"/>
      <c r="BX406" s="39"/>
      <c r="BY406" s="39"/>
      <c r="BZ406" s="39"/>
      <c r="CA406" s="39"/>
      <c r="CB406" s="39"/>
      <c r="CC406" s="39"/>
      <c r="CD406" s="39"/>
      <c r="CE406" s="39"/>
      <c r="CF406" s="39"/>
      <c r="CG406" s="39"/>
      <c r="CH406" s="39"/>
      <c r="CI406" s="39"/>
      <c r="CJ406" s="39"/>
      <c r="CK406" s="39"/>
      <c r="CL406" s="39"/>
      <c r="CM406" s="39"/>
      <c r="CN406" s="39"/>
      <c r="CO406" s="39"/>
      <c r="CP406" s="39"/>
      <c r="CQ406" s="39"/>
    </row>
    <row r="407" spans="1:95" s="92" customFormat="1" ht="33" customHeight="1" x14ac:dyDescent="0.25">
      <c r="A407" s="229"/>
      <c r="B407" s="229"/>
      <c r="C407" s="229"/>
      <c r="D407" s="229"/>
      <c r="E407" s="229"/>
      <c r="F407" s="229"/>
      <c r="G407" s="229"/>
      <c r="H407" s="229"/>
      <c r="I407" s="68"/>
      <c r="J407" s="71"/>
      <c r="K407" s="229"/>
      <c r="L407" s="229"/>
      <c r="M407" s="229"/>
      <c r="N407" s="229"/>
      <c r="O407" s="229"/>
      <c r="P407" s="71"/>
      <c r="Q407" s="22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  <c r="BA407" s="39"/>
      <c r="BB407" s="39"/>
      <c r="BC407" s="39"/>
      <c r="BD407" s="39"/>
      <c r="BE407" s="39"/>
      <c r="BF407" s="39"/>
      <c r="BG407" s="39"/>
      <c r="BH407" s="39"/>
      <c r="BI407" s="39"/>
      <c r="BJ407" s="39"/>
      <c r="BK407" s="39"/>
      <c r="BL407" s="39"/>
      <c r="BM407" s="39"/>
      <c r="BN407" s="39"/>
      <c r="BO407" s="39"/>
      <c r="BP407" s="39"/>
      <c r="BQ407" s="39"/>
      <c r="BR407" s="39"/>
      <c r="BS407" s="39"/>
      <c r="BT407" s="39"/>
      <c r="BU407" s="39"/>
      <c r="BV407" s="39"/>
      <c r="BW407" s="39"/>
      <c r="BX407" s="39"/>
      <c r="BY407" s="39"/>
      <c r="BZ407" s="39"/>
      <c r="CA407" s="39"/>
      <c r="CB407" s="39"/>
      <c r="CC407" s="39"/>
      <c r="CD407" s="39"/>
      <c r="CE407" s="39"/>
      <c r="CF407" s="39"/>
      <c r="CG407" s="39"/>
      <c r="CH407" s="39"/>
      <c r="CI407" s="39"/>
      <c r="CJ407" s="39"/>
      <c r="CK407" s="39"/>
      <c r="CL407" s="39"/>
      <c r="CM407" s="39"/>
      <c r="CN407" s="39"/>
      <c r="CO407" s="39"/>
      <c r="CP407" s="39"/>
      <c r="CQ407" s="39"/>
    </row>
    <row r="408" spans="1:95" s="92" customFormat="1" ht="33" customHeight="1" x14ac:dyDescent="0.25">
      <c r="A408" s="229"/>
      <c r="B408" s="229"/>
      <c r="C408" s="229"/>
      <c r="D408" s="229"/>
      <c r="E408" s="229"/>
      <c r="F408" s="229"/>
      <c r="G408" s="229"/>
      <c r="H408" s="229"/>
      <c r="I408" s="68"/>
      <c r="J408" s="71"/>
      <c r="K408" s="229"/>
      <c r="L408" s="229"/>
      <c r="M408" s="229"/>
      <c r="N408" s="229"/>
      <c r="O408" s="229"/>
      <c r="P408" s="71"/>
      <c r="Q408" s="22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  <c r="BA408" s="39"/>
      <c r="BB408" s="39"/>
      <c r="BC408" s="39"/>
      <c r="BD408" s="39"/>
      <c r="BE408" s="39"/>
      <c r="BF408" s="39"/>
      <c r="BG408" s="39"/>
      <c r="BH408" s="39"/>
      <c r="BI408" s="39"/>
      <c r="BJ408" s="39"/>
      <c r="BK408" s="39"/>
      <c r="BL408" s="39"/>
      <c r="BM408" s="39"/>
      <c r="BN408" s="39"/>
      <c r="BO408" s="39"/>
      <c r="BP408" s="39"/>
      <c r="BQ408" s="39"/>
      <c r="BR408" s="39"/>
      <c r="BS408" s="39"/>
      <c r="BT408" s="39"/>
      <c r="BU408" s="39"/>
      <c r="BV408" s="39"/>
      <c r="BW408" s="39"/>
      <c r="BX408" s="39"/>
      <c r="BY408" s="39"/>
      <c r="BZ408" s="39"/>
      <c r="CA408" s="39"/>
      <c r="CB408" s="39"/>
      <c r="CC408" s="39"/>
      <c r="CD408" s="39"/>
      <c r="CE408" s="39"/>
      <c r="CF408" s="39"/>
      <c r="CG408" s="39"/>
      <c r="CH408" s="39"/>
      <c r="CI408" s="39"/>
      <c r="CJ408" s="39"/>
      <c r="CK408" s="39"/>
      <c r="CL408" s="39"/>
      <c r="CM408" s="39"/>
      <c r="CN408" s="39"/>
      <c r="CO408" s="39"/>
      <c r="CP408" s="39"/>
      <c r="CQ408" s="39"/>
    </row>
    <row r="409" spans="1:95" s="92" customFormat="1" ht="33" customHeight="1" x14ac:dyDescent="0.25">
      <c r="A409" s="229"/>
      <c r="B409" s="229"/>
      <c r="C409" s="229"/>
      <c r="D409" s="229"/>
      <c r="E409" s="229"/>
      <c r="F409" s="229"/>
      <c r="G409" s="229"/>
      <c r="H409" s="229"/>
      <c r="I409" s="68"/>
      <c r="J409" s="71"/>
      <c r="K409" s="229"/>
      <c r="L409" s="229"/>
      <c r="M409" s="229"/>
      <c r="N409" s="229"/>
      <c r="O409" s="229"/>
      <c r="P409" s="71"/>
      <c r="Q409" s="22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  <c r="BA409" s="39"/>
      <c r="BB409" s="39"/>
      <c r="BC409" s="39"/>
      <c r="BD409" s="39"/>
      <c r="BE409" s="39"/>
      <c r="BF409" s="39"/>
      <c r="BG409" s="39"/>
      <c r="BH409" s="39"/>
      <c r="BI409" s="39"/>
      <c r="BJ409" s="39"/>
      <c r="BK409" s="39"/>
      <c r="BL409" s="39"/>
      <c r="BM409" s="39"/>
      <c r="BN409" s="39"/>
      <c r="BO409" s="39"/>
      <c r="BP409" s="39"/>
      <c r="BQ409" s="39"/>
      <c r="BR409" s="39"/>
      <c r="BS409" s="39"/>
      <c r="BT409" s="39"/>
      <c r="BU409" s="39"/>
      <c r="BV409" s="39"/>
      <c r="BW409" s="39"/>
      <c r="BX409" s="39"/>
      <c r="BY409" s="39"/>
      <c r="BZ409" s="39"/>
      <c r="CA409" s="39"/>
      <c r="CB409" s="39"/>
      <c r="CC409" s="39"/>
      <c r="CD409" s="39"/>
      <c r="CE409" s="39"/>
      <c r="CF409" s="39"/>
      <c r="CG409" s="39"/>
      <c r="CH409" s="39"/>
      <c r="CI409" s="39"/>
      <c r="CJ409" s="39"/>
      <c r="CK409" s="39"/>
      <c r="CL409" s="39"/>
      <c r="CM409" s="39"/>
      <c r="CN409" s="39"/>
      <c r="CO409" s="39"/>
      <c r="CP409" s="39"/>
      <c r="CQ409" s="39"/>
    </row>
    <row r="410" spans="1:95" s="92" customFormat="1" ht="33" customHeight="1" x14ac:dyDescent="0.25">
      <c r="A410" s="229"/>
      <c r="B410" s="229"/>
      <c r="C410" s="229"/>
      <c r="D410" s="229"/>
      <c r="E410" s="229"/>
      <c r="F410" s="229"/>
      <c r="G410" s="229"/>
      <c r="H410" s="229"/>
      <c r="I410" s="68"/>
      <c r="J410" s="71"/>
      <c r="K410" s="229"/>
      <c r="L410" s="229"/>
      <c r="M410" s="229"/>
      <c r="N410" s="229"/>
      <c r="O410" s="229"/>
      <c r="P410" s="71"/>
      <c r="Q410" s="22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  <c r="BA410" s="39"/>
      <c r="BB410" s="39"/>
      <c r="BC410" s="39"/>
      <c r="BD410" s="39"/>
      <c r="BE410" s="39"/>
      <c r="BF410" s="39"/>
      <c r="BG410" s="39"/>
      <c r="BH410" s="39"/>
      <c r="BI410" s="39"/>
      <c r="BJ410" s="39"/>
      <c r="BK410" s="39"/>
      <c r="BL410" s="39"/>
      <c r="BM410" s="39"/>
      <c r="BN410" s="39"/>
      <c r="BO410" s="39"/>
      <c r="BP410" s="39"/>
      <c r="BQ410" s="39"/>
      <c r="BR410" s="39"/>
      <c r="BS410" s="39"/>
      <c r="BT410" s="39"/>
      <c r="BU410" s="39"/>
      <c r="BV410" s="39"/>
      <c r="BW410" s="39"/>
      <c r="BX410" s="39"/>
      <c r="BY410" s="39"/>
      <c r="BZ410" s="39"/>
      <c r="CA410" s="39"/>
      <c r="CB410" s="39"/>
      <c r="CC410" s="39"/>
      <c r="CD410" s="39"/>
      <c r="CE410" s="39"/>
      <c r="CF410" s="39"/>
      <c r="CG410" s="39"/>
      <c r="CH410" s="39"/>
      <c r="CI410" s="39"/>
      <c r="CJ410" s="39"/>
      <c r="CK410" s="39"/>
      <c r="CL410" s="39"/>
      <c r="CM410" s="39"/>
      <c r="CN410" s="39"/>
      <c r="CO410" s="39"/>
      <c r="CP410" s="39"/>
      <c r="CQ410" s="39"/>
    </row>
    <row r="411" spans="1:95" s="92" customFormat="1" ht="39.950000000000003" customHeight="1" x14ac:dyDescent="0.25">
      <c r="A411" s="229"/>
      <c r="B411" s="229"/>
      <c r="C411" s="229"/>
      <c r="D411" s="229"/>
      <c r="E411" s="229"/>
      <c r="F411" s="229"/>
      <c r="G411" s="229"/>
      <c r="H411" s="229"/>
      <c r="I411" s="68"/>
      <c r="J411" s="71"/>
      <c r="K411" s="229"/>
      <c r="L411" s="229"/>
      <c r="M411" s="229"/>
      <c r="N411" s="229"/>
      <c r="O411" s="229"/>
      <c r="P411" s="71"/>
      <c r="Q411" s="22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  <c r="BA411" s="39"/>
      <c r="BB411" s="39"/>
      <c r="BC411" s="39"/>
      <c r="BD411" s="39"/>
      <c r="BE411" s="39"/>
      <c r="BF411" s="39"/>
      <c r="BG411" s="39"/>
      <c r="BH411" s="39"/>
      <c r="BI411" s="39"/>
      <c r="BJ411" s="39"/>
      <c r="BK411" s="39"/>
      <c r="BL411" s="39"/>
      <c r="BM411" s="39"/>
      <c r="BN411" s="39"/>
      <c r="BO411" s="39"/>
      <c r="BP411" s="39"/>
      <c r="BQ411" s="39"/>
      <c r="BR411" s="39"/>
      <c r="BS411" s="39"/>
      <c r="BT411" s="39"/>
      <c r="BU411" s="39"/>
      <c r="BV411" s="39"/>
      <c r="BW411" s="39"/>
      <c r="BX411" s="39"/>
      <c r="BY411" s="39"/>
      <c r="BZ411" s="39"/>
      <c r="CA411" s="39"/>
      <c r="CB411" s="39"/>
      <c r="CC411" s="39"/>
      <c r="CD411" s="39"/>
      <c r="CE411" s="39"/>
      <c r="CF411" s="39"/>
      <c r="CG411" s="39"/>
      <c r="CH411" s="39"/>
      <c r="CI411" s="39"/>
      <c r="CJ411" s="39"/>
      <c r="CK411" s="39"/>
      <c r="CL411" s="39"/>
      <c r="CM411" s="39"/>
      <c r="CN411" s="39"/>
      <c r="CO411" s="39"/>
      <c r="CP411" s="39"/>
      <c r="CQ411" s="39"/>
    </row>
    <row r="412" spans="1:95" s="92" customFormat="1" ht="39.950000000000003" customHeight="1" x14ac:dyDescent="0.25">
      <c r="A412" s="229"/>
      <c r="B412" s="229"/>
      <c r="C412" s="229"/>
      <c r="D412" s="229"/>
      <c r="E412" s="229"/>
      <c r="F412" s="229"/>
      <c r="G412" s="229"/>
      <c r="H412" s="229"/>
      <c r="I412" s="68"/>
      <c r="J412" s="71"/>
      <c r="K412" s="229"/>
      <c r="L412" s="229"/>
      <c r="M412" s="229"/>
      <c r="N412" s="229"/>
      <c r="O412" s="229"/>
      <c r="P412" s="71"/>
      <c r="Q412" s="22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  <c r="BA412" s="39"/>
      <c r="BB412" s="39"/>
      <c r="BC412" s="39"/>
      <c r="BD412" s="39"/>
      <c r="BE412" s="39"/>
      <c r="BF412" s="39"/>
      <c r="BG412" s="39"/>
      <c r="BH412" s="39"/>
      <c r="BI412" s="39"/>
      <c r="BJ412" s="39"/>
      <c r="BK412" s="39"/>
      <c r="BL412" s="39"/>
      <c r="BM412" s="39"/>
      <c r="BN412" s="39"/>
      <c r="BO412" s="39"/>
      <c r="BP412" s="39"/>
      <c r="BQ412" s="39"/>
      <c r="BR412" s="39"/>
      <c r="BS412" s="39"/>
      <c r="BT412" s="39"/>
      <c r="BU412" s="39"/>
      <c r="BV412" s="39"/>
      <c r="BW412" s="39"/>
      <c r="BX412" s="39"/>
      <c r="BY412" s="39"/>
      <c r="BZ412" s="39"/>
      <c r="CA412" s="39"/>
      <c r="CB412" s="39"/>
      <c r="CC412" s="39"/>
      <c r="CD412" s="39"/>
      <c r="CE412" s="39"/>
      <c r="CF412" s="39"/>
      <c r="CG412" s="39"/>
      <c r="CH412" s="39"/>
      <c r="CI412" s="39"/>
      <c r="CJ412" s="39"/>
      <c r="CK412" s="39"/>
      <c r="CL412" s="39"/>
      <c r="CM412" s="39"/>
      <c r="CN412" s="39"/>
      <c r="CO412" s="39"/>
      <c r="CP412" s="39"/>
      <c r="CQ412" s="39"/>
    </row>
    <row r="413" spans="1:95" s="92" customFormat="1" ht="39.950000000000003" customHeight="1" x14ac:dyDescent="0.25">
      <c r="A413" s="229"/>
      <c r="B413" s="229"/>
      <c r="C413" s="229"/>
      <c r="D413" s="229"/>
      <c r="E413" s="229"/>
      <c r="F413" s="229"/>
      <c r="G413" s="229"/>
      <c r="H413" s="229"/>
      <c r="I413" s="68"/>
      <c r="J413" s="71"/>
      <c r="K413" s="229"/>
      <c r="L413" s="229"/>
      <c r="M413" s="229"/>
      <c r="N413" s="229"/>
      <c r="O413" s="229"/>
      <c r="P413" s="71"/>
      <c r="Q413" s="22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  <c r="BA413" s="39"/>
      <c r="BB413" s="39"/>
      <c r="BC413" s="39"/>
      <c r="BD413" s="39"/>
      <c r="BE413" s="39"/>
      <c r="BF413" s="39"/>
      <c r="BG413" s="39"/>
      <c r="BH413" s="39"/>
      <c r="BI413" s="39"/>
      <c r="BJ413" s="39"/>
      <c r="BK413" s="39"/>
      <c r="BL413" s="39"/>
      <c r="BM413" s="39"/>
      <c r="BN413" s="39"/>
      <c r="BO413" s="39"/>
      <c r="BP413" s="39"/>
      <c r="BQ413" s="39"/>
      <c r="BR413" s="39"/>
      <c r="BS413" s="39"/>
      <c r="BT413" s="39"/>
      <c r="BU413" s="39"/>
      <c r="BV413" s="39"/>
      <c r="BW413" s="39"/>
      <c r="BX413" s="39"/>
      <c r="BY413" s="39"/>
      <c r="BZ413" s="39"/>
      <c r="CA413" s="39"/>
      <c r="CB413" s="39"/>
      <c r="CC413" s="39"/>
      <c r="CD413" s="39"/>
      <c r="CE413" s="39"/>
      <c r="CF413" s="39"/>
      <c r="CG413" s="39"/>
      <c r="CH413" s="39"/>
      <c r="CI413" s="39"/>
      <c r="CJ413" s="39"/>
      <c r="CK413" s="39"/>
      <c r="CL413" s="39"/>
      <c r="CM413" s="39"/>
      <c r="CN413" s="39"/>
      <c r="CO413" s="39"/>
      <c r="CP413" s="39"/>
      <c r="CQ413" s="39"/>
    </row>
    <row r="414" spans="1:95" s="92" customFormat="1" ht="39.950000000000003" customHeight="1" x14ac:dyDescent="0.25">
      <c r="A414" s="229"/>
      <c r="B414" s="229"/>
      <c r="C414" s="229"/>
      <c r="D414" s="229"/>
      <c r="E414" s="229"/>
      <c r="F414" s="229"/>
      <c r="G414" s="229"/>
      <c r="H414" s="229"/>
      <c r="I414" s="68"/>
      <c r="J414" s="71"/>
      <c r="K414" s="229"/>
      <c r="L414" s="229"/>
      <c r="M414" s="229"/>
      <c r="N414" s="229"/>
      <c r="O414" s="229"/>
      <c r="P414" s="71"/>
      <c r="Q414" s="22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  <c r="BA414" s="39"/>
      <c r="BB414" s="39"/>
      <c r="BC414" s="39"/>
      <c r="BD414" s="39"/>
      <c r="BE414" s="39"/>
      <c r="BF414" s="39"/>
      <c r="BG414" s="39"/>
      <c r="BH414" s="39"/>
      <c r="BI414" s="39"/>
      <c r="BJ414" s="39"/>
      <c r="BK414" s="39"/>
      <c r="BL414" s="39"/>
      <c r="BM414" s="39"/>
      <c r="BN414" s="39"/>
      <c r="BO414" s="39"/>
      <c r="BP414" s="39"/>
      <c r="BQ414" s="39"/>
      <c r="BR414" s="39"/>
      <c r="BS414" s="39"/>
      <c r="BT414" s="39"/>
      <c r="BU414" s="39"/>
      <c r="BV414" s="39"/>
      <c r="BW414" s="39"/>
      <c r="BX414" s="39"/>
      <c r="BY414" s="39"/>
      <c r="BZ414" s="39"/>
      <c r="CA414" s="39"/>
      <c r="CB414" s="39"/>
      <c r="CC414" s="39"/>
      <c r="CD414" s="39"/>
      <c r="CE414" s="39"/>
      <c r="CF414" s="39"/>
      <c r="CG414" s="39"/>
      <c r="CH414" s="39"/>
      <c r="CI414" s="39"/>
      <c r="CJ414" s="39"/>
      <c r="CK414" s="39"/>
      <c r="CL414" s="39"/>
      <c r="CM414" s="39"/>
      <c r="CN414" s="39"/>
      <c r="CO414" s="39"/>
      <c r="CP414" s="39"/>
      <c r="CQ414" s="39"/>
    </row>
    <row r="415" spans="1:95" s="92" customFormat="1" ht="39.950000000000003" customHeight="1" x14ac:dyDescent="0.25">
      <c r="A415" s="229"/>
      <c r="B415" s="229"/>
      <c r="C415" s="229"/>
      <c r="D415" s="229"/>
      <c r="E415" s="229"/>
      <c r="F415" s="229"/>
      <c r="G415" s="229"/>
      <c r="H415" s="229"/>
      <c r="I415" s="68"/>
      <c r="J415" s="71"/>
      <c r="K415" s="229"/>
      <c r="L415" s="229"/>
      <c r="M415" s="229"/>
      <c r="N415" s="229"/>
      <c r="O415" s="229"/>
      <c r="P415" s="71"/>
      <c r="Q415" s="22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  <c r="BA415" s="39"/>
      <c r="BB415" s="39"/>
      <c r="BC415" s="39"/>
      <c r="BD415" s="39"/>
      <c r="BE415" s="39"/>
      <c r="BF415" s="39"/>
      <c r="BG415" s="39"/>
      <c r="BH415" s="39"/>
      <c r="BI415" s="39"/>
      <c r="BJ415" s="39"/>
      <c r="BK415" s="39"/>
      <c r="BL415" s="39"/>
      <c r="BM415" s="39"/>
      <c r="BN415" s="39"/>
      <c r="BO415" s="39"/>
      <c r="BP415" s="39"/>
      <c r="BQ415" s="39"/>
      <c r="BR415" s="39"/>
      <c r="BS415" s="39"/>
      <c r="BT415" s="39"/>
      <c r="BU415" s="39"/>
      <c r="BV415" s="39"/>
      <c r="BW415" s="39"/>
      <c r="BX415" s="39"/>
      <c r="BY415" s="39"/>
      <c r="BZ415" s="39"/>
      <c r="CA415" s="39"/>
      <c r="CB415" s="39"/>
      <c r="CC415" s="39"/>
      <c r="CD415" s="39"/>
      <c r="CE415" s="39"/>
      <c r="CF415" s="39"/>
      <c r="CG415" s="39"/>
      <c r="CH415" s="39"/>
      <c r="CI415" s="39"/>
      <c r="CJ415" s="39"/>
      <c r="CK415" s="39"/>
      <c r="CL415" s="39"/>
      <c r="CM415" s="39"/>
      <c r="CN415" s="39"/>
      <c r="CO415" s="39"/>
      <c r="CP415" s="39"/>
      <c r="CQ415" s="39"/>
    </row>
    <row r="416" spans="1:95" s="92" customFormat="1" ht="39.950000000000003" customHeight="1" x14ac:dyDescent="0.25">
      <c r="A416" s="229"/>
      <c r="B416" s="229"/>
      <c r="C416" s="229"/>
      <c r="D416" s="229"/>
      <c r="E416" s="229"/>
      <c r="F416" s="229"/>
      <c r="G416" s="229"/>
      <c r="H416" s="229"/>
      <c r="I416" s="68"/>
      <c r="J416" s="71"/>
      <c r="K416" s="229"/>
      <c r="L416" s="229"/>
      <c r="M416" s="229"/>
      <c r="N416" s="229"/>
      <c r="O416" s="229"/>
      <c r="P416" s="71"/>
      <c r="Q416" s="22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  <c r="BA416" s="39"/>
      <c r="BB416" s="39"/>
      <c r="BC416" s="39"/>
      <c r="BD416" s="39"/>
      <c r="BE416" s="39"/>
      <c r="BF416" s="39"/>
      <c r="BG416" s="39"/>
      <c r="BH416" s="39"/>
      <c r="BI416" s="39"/>
      <c r="BJ416" s="39"/>
      <c r="BK416" s="39"/>
      <c r="BL416" s="39"/>
      <c r="BM416" s="39"/>
      <c r="BN416" s="39"/>
      <c r="BO416" s="39"/>
      <c r="BP416" s="39"/>
      <c r="BQ416" s="39"/>
      <c r="BR416" s="39"/>
      <c r="BS416" s="39"/>
      <c r="BT416" s="39"/>
      <c r="BU416" s="39"/>
      <c r="BV416" s="39"/>
      <c r="BW416" s="39"/>
      <c r="BX416" s="39"/>
      <c r="BY416" s="39"/>
      <c r="BZ416" s="39"/>
      <c r="CA416" s="39"/>
      <c r="CB416" s="39"/>
      <c r="CC416" s="39"/>
      <c r="CD416" s="39"/>
      <c r="CE416" s="39"/>
      <c r="CF416" s="39"/>
      <c r="CG416" s="39"/>
      <c r="CH416" s="39"/>
      <c r="CI416" s="39"/>
      <c r="CJ416" s="39"/>
      <c r="CK416" s="39"/>
      <c r="CL416" s="39"/>
      <c r="CM416" s="39"/>
      <c r="CN416" s="39"/>
      <c r="CO416" s="39"/>
      <c r="CP416" s="39"/>
      <c r="CQ416" s="39"/>
    </row>
    <row r="417" spans="1:95" s="92" customFormat="1" ht="39.950000000000003" customHeight="1" x14ac:dyDescent="0.25">
      <c r="A417" s="229"/>
      <c r="B417" s="229"/>
      <c r="C417" s="229"/>
      <c r="D417" s="229"/>
      <c r="E417" s="229"/>
      <c r="F417" s="229"/>
      <c r="G417" s="229"/>
      <c r="H417" s="229"/>
      <c r="I417" s="68"/>
      <c r="J417" s="71"/>
      <c r="K417" s="229"/>
      <c r="L417" s="229"/>
      <c r="M417" s="229"/>
      <c r="N417" s="229"/>
      <c r="O417" s="229"/>
      <c r="P417" s="71"/>
      <c r="Q417" s="22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  <c r="BA417" s="39"/>
      <c r="BB417" s="39"/>
      <c r="BC417" s="39"/>
      <c r="BD417" s="39"/>
      <c r="BE417" s="39"/>
      <c r="BF417" s="39"/>
      <c r="BG417" s="39"/>
      <c r="BH417" s="39"/>
      <c r="BI417" s="39"/>
      <c r="BJ417" s="39"/>
      <c r="BK417" s="39"/>
      <c r="BL417" s="39"/>
      <c r="BM417" s="39"/>
      <c r="BN417" s="39"/>
      <c r="BO417" s="39"/>
      <c r="BP417" s="39"/>
      <c r="BQ417" s="39"/>
      <c r="BR417" s="39"/>
      <c r="BS417" s="39"/>
      <c r="BT417" s="39"/>
      <c r="BU417" s="39"/>
      <c r="BV417" s="39"/>
      <c r="BW417" s="39"/>
      <c r="BX417" s="39"/>
      <c r="BY417" s="39"/>
      <c r="BZ417" s="39"/>
      <c r="CA417" s="39"/>
      <c r="CB417" s="39"/>
      <c r="CC417" s="39"/>
      <c r="CD417" s="39"/>
      <c r="CE417" s="39"/>
      <c r="CF417" s="39"/>
      <c r="CG417" s="39"/>
      <c r="CH417" s="39"/>
      <c r="CI417" s="39"/>
      <c r="CJ417" s="39"/>
      <c r="CK417" s="39"/>
      <c r="CL417" s="39"/>
      <c r="CM417" s="39"/>
      <c r="CN417" s="39"/>
      <c r="CO417" s="39"/>
      <c r="CP417" s="39"/>
      <c r="CQ417" s="39"/>
    </row>
    <row r="418" spans="1:95" s="92" customFormat="1" ht="39.950000000000003" customHeight="1" x14ac:dyDescent="0.25">
      <c r="A418" s="229"/>
      <c r="B418" s="229"/>
      <c r="C418" s="229"/>
      <c r="D418" s="229"/>
      <c r="E418" s="229"/>
      <c r="F418" s="229"/>
      <c r="G418" s="229"/>
      <c r="H418" s="229"/>
      <c r="I418" s="68"/>
      <c r="J418" s="71"/>
      <c r="K418" s="229"/>
      <c r="L418" s="229"/>
      <c r="M418" s="229"/>
      <c r="N418" s="229"/>
      <c r="O418" s="229"/>
      <c r="P418" s="71"/>
      <c r="Q418" s="22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  <c r="BA418" s="39"/>
      <c r="BB418" s="39"/>
      <c r="BC418" s="39"/>
      <c r="BD418" s="39"/>
      <c r="BE418" s="39"/>
      <c r="BF418" s="39"/>
      <c r="BG418" s="39"/>
      <c r="BH418" s="39"/>
      <c r="BI418" s="39"/>
      <c r="BJ418" s="39"/>
      <c r="BK418" s="39"/>
      <c r="BL418" s="39"/>
      <c r="BM418" s="39"/>
      <c r="BN418" s="39"/>
      <c r="BO418" s="39"/>
      <c r="BP418" s="39"/>
      <c r="BQ418" s="39"/>
      <c r="BR418" s="39"/>
      <c r="BS418" s="39"/>
      <c r="BT418" s="39"/>
      <c r="BU418" s="39"/>
      <c r="BV418" s="39"/>
      <c r="BW418" s="39"/>
      <c r="BX418" s="39"/>
      <c r="BY418" s="39"/>
      <c r="BZ418" s="39"/>
      <c r="CA418" s="39"/>
      <c r="CB418" s="39"/>
      <c r="CC418" s="39"/>
      <c r="CD418" s="39"/>
      <c r="CE418" s="39"/>
      <c r="CF418" s="39"/>
      <c r="CG418" s="39"/>
      <c r="CH418" s="39"/>
      <c r="CI418" s="39"/>
      <c r="CJ418" s="39"/>
      <c r="CK418" s="39"/>
      <c r="CL418" s="39"/>
      <c r="CM418" s="39"/>
      <c r="CN418" s="39"/>
      <c r="CO418" s="39"/>
      <c r="CP418" s="39"/>
      <c r="CQ418" s="39"/>
    </row>
    <row r="419" spans="1:95" s="92" customFormat="1" ht="39.950000000000003" customHeight="1" x14ac:dyDescent="0.25">
      <c r="A419" s="229"/>
      <c r="B419" s="229"/>
      <c r="C419" s="229"/>
      <c r="D419" s="229"/>
      <c r="E419" s="229"/>
      <c r="F419" s="229"/>
      <c r="G419" s="229"/>
      <c r="H419" s="229"/>
      <c r="I419" s="68"/>
      <c r="J419" s="71"/>
      <c r="K419" s="229"/>
      <c r="L419" s="229"/>
      <c r="M419" s="229"/>
      <c r="N419" s="229"/>
      <c r="O419" s="229"/>
      <c r="P419" s="71"/>
      <c r="Q419" s="22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  <c r="BA419" s="39"/>
      <c r="BB419" s="39"/>
      <c r="BC419" s="39"/>
      <c r="BD419" s="39"/>
      <c r="BE419" s="39"/>
      <c r="BF419" s="39"/>
      <c r="BG419" s="39"/>
      <c r="BH419" s="39"/>
      <c r="BI419" s="39"/>
      <c r="BJ419" s="39"/>
      <c r="BK419" s="39"/>
      <c r="BL419" s="39"/>
      <c r="BM419" s="39"/>
      <c r="BN419" s="39"/>
      <c r="BO419" s="39"/>
      <c r="BP419" s="39"/>
      <c r="BQ419" s="39"/>
      <c r="BR419" s="39"/>
      <c r="BS419" s="39"/>
      <c r="BT419" s="39"/>
      <c r="BU419" s="39"/>
      <c r="BV419" s="39"/>
      <c r="BW419" s="39"/>
      <c r="BX419" s="39"/>
      <c r="BY419" s="39"/>
      <c r="BZ419" s="39"/>
      <c r="CA419" s="39"/>
      <c r="CB419" s="39"/>
      <c r="CC419" s="39"/>
      <c r="CD419" s="39"/>
      <c r="CE419" s="39"/>
      <c r="CF419" s="39"/>
      <c r="CG419" s="39"/>
      <c r="CH419" s="39"/>
      <c r="CI419" s="39"/>
      <c r="CJ419" s="39"/>
      <c r="CK419" s="39"/>
      <c r="CL419" s="39"/>
      <c r="CM419" s="39"/>
      <c r="CN419" s="39"/>
      <c r="CO419" s="39"/>
      <c r="CP419" s="39"/>
      <c r="CQ419" s="39"/>
    </row>
    <row r="420" spans="1:95" s="92" customFormat="1" ht="39.950000000000003" customHeight="1" x14ac:dyDescent="0.25">
      <c r="A420" s="229"/>
      <c r="B420" s="229"/>
      <c r="C420" s="229"/>
      <c r="D420" s="229"/>
      <c r="E420" s="229"/>
      <c r="F420" s="229"/>
      <c r="G420" s="229"/>
      <c r="H420" s="229"/>
      <c r="I420" s="68"/>
      <c r="J420" s="71"/>
      <c r="K420" s="229"/>
      <c r="L420" s="229"/>
      <c r="M420" s="229"/>
      <c r="N420" s="229"/>
      <c r="O420" s="229"/>
      <c r="P420" s="71"/>
      <c r="Q420" s="22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  <c r="BA420" s="39"/>
      <c r="BB420" s="39"/>
      <c r="BC420" s="39"/>
      <c r="BD420" s="39"/>
      <c r="BE420" s="39"/>
      <c r="BF420" s="39"/>
      <c r="BG420" s="39"/>
      <c r="BH420" s="39"/>
      <c r="BI420" s="39"/>
      <c r="BJ420" s="39"/>
      <c r="BK420" s="39"/>
      <c r="BL420" s="39"/>
      <c r="BM420" s="39"/>
      <c r="BN420" s="39"/>
      <c r="BO420" s="39"/>
      <c r="BP420" s="39"/>
      <c r="BQ420" s="39"/>
      <c r="BR420" s="39"/>
      <c r="BS420" s="39"/>
      <c r="BT420" s="39"/>
      <c r="BU420" s="39"/>
      <c r="BV420" s="39"/>
      <c r="BW420" s="39"/>
      <c r="BX420" s="39"/>
      <c r="BY420" s="39"/>
      <c r="BZ420" s="39"/>
      <c r="CA420" s="39"/>
      <c r="CB420" s="39"/>
      <c r="CC420" s="39"/>
      <c r="CD420" s="39"/>
      <c r="CE420" s="39"/>
      <c r="CF420" s="39"/>
      <c r="CG420" s="39"/>
      <c r="CH420" s="39"/>
      <c r="CI420" s="39"/>
      <c r="CJ420" s="39"/>
      <c r="CK420" s="39"/>
      <c r="CL420" s="39"/>
      <c r="CM420" s="39"/>
      <c r="CN420" s="39"/>
      <c r="CO420" s="39"/>
      <c r="CP420" s="39"/>
      <c r="CQ420" s="39"/>
    </row>
    <row r="421" spans="1:95" s="92" customFormat="1" ht="39.950000000000003" customHeight="1" x14ac:dyDescent="0.25">
      <c r="A421" s="229"/>
      <c r="B421" s="229"/>
      <c r="C421" s="229"/>
      <c r="D421" s="229"/>
      <c r="E421" s="229"/>
      <c r="F421" s="229"/>
      <c r="G421" s="229"/>
      <c r="H421" s="229"/>
      <c r="I421" s="68"/>
      <c r="J421" s="71"/>
      <c r="K421" s="229"/>
      <c r="L421" s="229"/>
      <c r="M421" s="229"/>
      <c r="N421" s="229"/>
      <c r="O421" s="229"/>
      <c r="P421" s="71"/>
      <c r="Q421" s="22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  <c r="BA421" s="39"/>
      <c r="BB421" s="39"/>
      <c r="BC421" s="39"/>
      <c r="BD421" s="39"/>
      <c r="BE421" s="39"/>
      <c r="BF421" s="39"/>
      <c r="BG421" s="39"/>
      <c r="BH421" s="39"/>
      <c r="BI421" s="39"/>
      <c r="BJ421" s="39"/>
      <c r="BK421" s="39"/>
      <c r="BL421" s="39"/>
      <c r="BM421" s="39"/>
      <c r="BN421" s="39"/>
      <c r="BO421" s="39"/>
      <c r="BP421" s="39"/>
      <c r="BQ421" s="39"/>
      <c r="BR421" s="39"/>
      <c r="BS421" s="39"/>
      <c r="BT421" s="39"/>
      <c r="BU421" s="39"/>
      <c r="BV421" s="39"/>
      <c r="BW421" s="39"/>
      <c r="BX421" s="39"/>
      <c r="BY421" s="39"/>
      <c r="BZ421" s="39"/>
      <c r="CA421" s="39"/>
      <c r="CB421" s="39"/>
      <c r="CC421" s="39"/>
      <c r="CD421" s="39"/>
      <c r="CE421" s="39"/>
      <c r="CF421" s="39"/>
      <c r="CG421" s="39"/>
      <c r="CH421" s="39"/>
      <c r="CI421" s="39"/>
      <c r="CJ421" s="39"/>
      <c r="CK421" s="39"/>
      <c r="CL421" s="39"/>
      <c r="CM421" s="39"/>
      <c r="CN421" s="39"/>
      <c r="CO421" s="39"/>
      <c r="CP421" s="39"/>
      <c r="CQ421" s="39"/>
    </row>
    <row r="422" spans="1:95" s="92" customFormat="1" ht="39.950000000000003" customHeight="1" x14ac:dyDescent="0.25">
      <c r="A422" s="229"/>
      <c r="B422" s="229"/>
      <c r="C422" s="229"/>
      <c r="D422" s="229"/>
      <c r="E422" s="229"/>
      <c r="F422" s="229"/>
      <c r="G422" s="229"/>
      <c r="H422" s="229"/>
      <c r="I422" s="68"/>
      <c r="J422" s="71"/>
      <c r="K422" s="229"/>
      <c r="L422" s="229"/>
      <c r="M422" s="229"/>
      <c r="N422" s="229"/>
      <c r="O422" s="229"/>
      <c r="P422" s="71"/>
      <c r="Q422" s="22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  <c r="BA422" s="39"/>
      <c r="BB422" s="39"/>
      <c r="BC422" s="39"/>
      <c r="BD422" s="39"/>
      <c r="BE422" s="39"/>
      <c r="BF422" s="39"/>
      <c r="BG422" s="39"/>
      <c r="BH422" s="39"/>
      <c r="BI422" s="39"/>
      <c r="BJ422" s="39"/>
      <c r="BK422" s="39"/>
      <c r="BL422" s="39"/>
      <c r="BM422" s="39"/>
      <c r="BN422" s="39"/>
      <c r="BO422" s="39"/>
      <c r="BP422" s="39"/>
      <c r="BQ422" s="39"/>
      <c r="BR422" s="39"/>
      <c r="BS422" s="39"/>
      <c r="BT422" s="39"/>
      <c r="BU422" s="39"/>
      <c r="BV422" s="39"/>
      <c r="BW422" s="39"/>
      <c r="BX422" s="39"/>
      <c r="BY422" s="39"/>
      <c r="BZ422" s="39"/>
      <c r="CA422" s="39"/>
      <c r="CB422" s="39"/>
      <c r="CC422" s="39"/>
      <c r="CD422" s="39"/>
      <c r="CE422" s="39"/>
      <c r="CF422" s="39"/>
      <c r="CG422" s="39"/>
      <c r="CH422" s="39"/>
      <c r="CI422" s="39"/>
      <c r="CJ422" s="39"/>
      <c r="CK422" s="39"/>
      <c r="CL422" s="39"/>
      <c r="CM422" s="39"/>
      <c r="CN422" s="39"/>
      <c r="CO422" s="39"/>
      <c r="CP422" s="39"/>
      <c r="CQ422" s="39"/>
    </row>
    <row r="423" spans="1:95" s="92" customFormat="1" ht="39.950000000000003" customHeight="1" x14ac:dyDescent="0.25">
      <c r="A423" s="229"/>
      <c r="B423" s="229"/>
      <c r="C423" s="229"/>
      <c r="D423" s="229"/>
      <c r="E423" s="229"/>
      <c r="F423" s="229"/>
      <c r="G423" s="229"/>
      <c r="H423" s="229"/>
      <c r="I423" s="68"/>
      <c r="J423" s="71"/>
      <c r="K423" s="229"/>
      <c r="L423" s="229"/>
      <c r="M423" s="229"/>
      <c r="N423" s="229"/>
      <c r="O423" s="229"/>
      <c r="P423" s="71"/>
      <c r="Q423" s="22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  <c r="BA423" s="39"/>
      <c r="BB423" s="39"/>
      <c r="BC423" s="39"/>
      <c r="BD423" s="39"/>
      <c r="BE423" s="39"/>
      <c r="BF423" s="39"/>
      <c r="BG423" s="39"/>
      <c r="BH423" s="39"/>
      <c r="BI423" s="39"/>
      <c r="BJ423" s="39"/>
      <c r="BK423" s="39"/>
      <c r="BL423" s="39"/>
      <c r="BM423" s="39"/>
      <c r="BN423" s="39"/>
      <c r="BO423" s="39"/>
      <c r="BP423" s="39"/>
      <c r="BQ423" s="39"/>
      <c r="BR423" s="39"/>
      <c r="BS423" s="39"/>
      <c r="BT423" s="39"/>
      <c r="BU423" s="39"/>
      <c r="BV423" s="39"/>
      <c r="BW423" s="39"/>
      <c r="BX423" s="39"/>
      <c r="BY423" s="39"/>
      <c r="BZ423" s="39"/>
      <c r="CA423" s="39"/>
      <c r="CB423" s="39"/>
      <c r="CC423" s="39"/>
      <c r="CD423" s="39"/>
      <c r="CE423" s="39"/>
      <c r="CF423" s="39"/>
      <c r="CG423" s="39"/>
      <c r="CH423" s="39"/>
      <c r="CI423" s="39"/>
      <c r="CJ423" s="39"/>
      <c r="CK423" s="39"/>
      <c r="CL423" s="39"/>
      <c r="CM423" s="39"/>
      <c r="CN423" s="39"/>
      <c r="CO423" s="39"/>
      <c r="CP423" s="39"/>
      <c r="CQ423" s="39"/>
    </row>
    <row r="424" spans="1:95" s="92" customFormat="1" ht="39.950000000000003" customHeight="1" x14ac:dyDescent="0.25">
      <c r="A424" s="229"/>
      <c r="B424" s="229"/>
      <c r="C424" s="229"/>
      <c r="D424" s="229"/>
      <c r="E424" s="229"/>
      <c r="F424" s="229"/>
      <c r="G424" s="229"/>
      <c r="H424" s="229"/>
      <c r="I424" s="68"/>
      <c r="J424" s="71"/>
      <c r="K424" s="229"/>
      <c r="L424" s="229"/>
      <c r="M424" s="229"/>
      <c r="N424" s="229"/>
      <c r="O424" s="229"/>
      <c r="P424" s="71"/>
      <c r="Q424" s="22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  <c r="BA424" s="39"/>
      <c r="BB424" s="39"/>
      <c r="BC424" s="39"/>
      <c r="BD424" s="39"/>
      <c r="BE424" s="39"/>
      <c r="BF424" s="39"/>
      <c r="BG424" s="39"/>
      <c r="BH424" s="39"/>
      <c r="BI424" s="39"/>
      <c r="BJ424" s="39"/>
      <c r="BK424" s="39"/>
      <c r="BL424" s="39"/>
      <c r="BM424" s="39"/>
      <c r="BN424" s="39"/>
      <c r="BO424" s="39"/>
      <c r="BP424" s="39"/>
      <c r="BQ424" s="39"/>
      <c r="BR424" s="39"/>
      <c r="BS424" s="39"/>
      <c r="BT424" s="39"/>
      <c r="BU424" s="39"/>
      <c r="BV424" s="39"/>
      <c r="BW424" s="39"/>
      <c r="BX424" s="39"/>
      <c r="BY424" s="39"/>
      <c r="BZ424" s="39"/>
      <c r="CA424" s="39"/>
      <c r="CB424" s="39"/>
      <c r="CC424" s="39"/>
      <c r="CD424" s="39"/>
      <c r="CE424" s="39"/>
      <c r="CF424" s="39"/>
      <c r="CG424" s="39"/>
      <c r="CH424" s="39"/>
      <c r="CI424" s="39"/>
      <c r="CJ424" s="39"/>
      <c r="CK424" s="39"/>
      <c r="CL424" s="39"/>
      <c r="CM424" s="39"/>
      <c r="CN424" s="39"/>
      <c r="CO424" s="39"/>
      <c r="CP424" s="39"/>
      <c r="CQ424" s="39"/>
    </row>
    <row r="425" spans="1:95" s="92" customFormat="1" ht="39.950000000000003" customHeight="1" x14ac:dyDescent="0.25">
      <c r="A425" s="229"/>
      <c r="B425" s="229"/>
      <c r="C425" s="229"/>
      <c r="D425" s="229"/>
      <c r="E425" s="229"/>
      <c r="F425" s="229"/>
      <c r="G425" s="229"/>
      <c r="H425" s="229"/>
      <c r="I425" s="68"/>
      <c r="J425" s="71"/>
      <c r="K425" s="229"/>
      <c r="L425" s="229"/>
      <c r="M425" s="229"/>
      <c r="N425" s="229"/>
      <c r="O425" s="229"/>
      <c r="P425" s="71"/>
      <c r="Q425" s="22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  <c r="BA425" s="39"/>
      <c r="BB425" s="39"/>
      <c r="BC425" s="39"/>
      <c r="BD425" s="39"/>
      <c r="BE425" s="39"/>
      <c r="BF425" s="39"/>
      <c r="BG425" s="39"/>
      <c r="BH425" s="39"/>
      <c r="BI425" s="39"/>
      <c r="BJ425" s="39"/>
      <c r="BK425" s="39"/>
      <c r="BL425" s="39"/>
      <c r="BM425" s="39"/>
      <c r="BN425" s="39"/>
      <c r="BO425" s="39"/>
      <c r="BP425" s="39"/>
      <c r="BQ425" s="39"/>
      <c r="BR425" s="39"/>
      <c r="BS425" s="39"/>
      <c r="BT425" s="39"/>
      <c r="BU425" s="39"/>
      <c r="BV425" s="39"/>
      <c r="BW425" s="39"/>
      <c r="BX425" s="39"/>
      <c r="BY425" s="39"/>
      <c r="BZ425" s="39"/>
      <c r="CA425" s="39"/>
      <c r="CB425" s="39"/>
      <c r="CC425" s="39"/>
      <c r="CD425" s="39"/>
      <c r="CE425" s="39"/>
      <c r="CF425" s="39"/>
      <c r="CG425" s="39"/>
      <c r="CH425" s="39"/>
      <c r="CI425" s="39"/>
      <c r="CJ425" s="39"/>
      <c r="CK425" s="39"/>
      <c r="CL425" s="39"/>
      <c r="CM425" s="39"/>
      <c r="CN425" s="39"/>
      <c r="CO425" s="39"/>
      <c r="CP425" s="39"/>
      <c r="CQ425" s="39"/>
    </row>
    <row r="426" spans="1:95" s="92" customFormat="1" ht="39.950000000000003" customHeight="1" x14ac:dyDescent="0.25">
      <c r="A426" s="229"/>
      <c r="B426" s="229"/>
      <c r="C426" s="229"/>
      <c r="D426" s="229"/>
      <c r="E426" s="229"/>
      <c r="F426" s="229"/>
      <c r="G426" s="229"/>
      <c r="H426" s="229"/>
      <c r="I426" s="68"/>
      <c r="J426" s="71"/>
      <c r="K426" s="229"/>
      <c r="L426" s="229"/>
      <c r="M426" s="229"/>
      <c r="N426" s="229"/>
      <c r="O426" s="229"/>
      <c r="P426" s="71"/>
      <c r="Q426" s="22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  <c r="BA426" s="39"/>
      <c r="BB426" s="39"/>
      <c r="BC426" s="39"/>
      <c r="BD426" s="39"/>
      <c r="BE426" s="39"/>
      <c r="BF426" s="39"/>
      <c r="BG426" s="39"/>
      <c r="BH426" s="39"/>
      <c r="BI426" s="39"/>
      <c r="BJ426" s="39"/>
      <c r="BK426" s="39"/>
      <c r="BL426" s="39"/>
      <c r="BM426" s="39"/>
      <c r="BN426" s="39"/>
      <c r="BO426" s="39"/>
      <c r="BP426" s="39"/>
      <c r="BQ426" s="39"/>
      <c r="BR426" s="39"/>
      <c r="BS426" s="39"/>
      <c r="BT426" s="39"/>
      <c r="BU426" s="39"/>
      <c r="BV426" s="39"/>
      <c r="BW426" s="39"/>
      <c r="BX426" s="39"/>
      <c r="BY426" s="39"/>
      <c r="BZ426" s="39"/>
      <c r="CA426" s="39"/>
      <c r="CB426" s="39"/>
      <c r="CC426" s="39"/>
      <c r="CD426" s="39"/>
      <c r="CE426" s="39"/>
      <c r="CF426" s="39"/>
      <c r="CG426" s="39"/>
      <c r="CH426" s="39"/>
      <c r="CI426" s="39"/>
      <c r="CJ426" s="39"/>
      <c r="CK426" s="39"/>
      <c r="CL426" s="39"/>
      <c r="CM426" s="39"/>
      <c r="CN426" s="39"/>
      <c r="CO426" s="39"/>
      <c r="CP426" s="39"/>
      <c r="CQ426" s="39"/>
    </row>
    <row r="427" spans="1:95" s="92" customFormat="1" ht="39.950000000000003" customHeight="1" x14ac:dyDescent="0.25">
      <c r="A427" s="229"/>
      <c r="B427" s="229"/>
      <c r="C427" s="229"/>
      <c r="D427" s="229"/>
      <c r="E427" s="229"/>
      <c r="F427" s="229"/>
      <c r="G427" s="229"/>
      <c r="H427" s="229"/>
      <c r="I427" s="68"/>
      <c r="J427" s="71"/>
      <c r="K427" s="229"/>
      <c r="L427" s="229"/>
      <c r="M427" s="229"/>
      <c r="N427" s="229"/>
      <c r="O427" s="229"/>
      <c r="P427" s="71"/>
      <c r="Q427" s="22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  <c r="BA427" s="39"/>
      <c r="BB427" s="39"/>
      <c r="BC427" s="39"/>
      <c r="BD427" s="39"/>
      <c r="BE427" s="39"/>
      <c r="BF427" s="39"/>
      <c r="BG427" s="39"/>
      <c r="BH427" s="39"/>
      <c r="BI427" s="39"/>
      <c r="BJ427" s="39"/>
      <c r="BK427" s="39"/>
      <c r="BL427" s="39"/>
      <c r="BM427" s="39"/>
      <c r="BN427" s="39"/>
      <c r="BO427" s="39"/>
      <c r="BP427" s="39"/>
      <c r="BQ427" s="39"/>
      <c r="BR427" s="39"/>
      <c r="BS427" s="39"/>
      <c r="BT427" s="39"/>
      <c r="BU427" s="39"/>
      <c r="BV427" s="39"/>
      <c r="BW427" s="39"/>
      <c r="BX427" s="39"/>
      <c r="BY427" s="39"/>
      <c r="BZ427" s="39"/>
      <c r="CA427" s="39"/>
      <c r="CB427" s="39"/>
      <c r="CC427" s="39"/>
      <c r="CD427" s="39"/>
      <c r="CE427" s="39"/>
      <c r="CF427" s="39"/>
      <c r="CG427" s="39"/>
      <c r="CH427" s="39"/>
      <c r="CI427" s="39"/>
      <c r="CJ427" s="39"/>
      <c r="CK427" s="39"/>
      <c r="CL427" s="39"/>
      <c r="CM427" s="39"/>
      <c r="CN427" s="39"/>
      <c r="CO427" s="39"/>
      <c r="CP427" s="39"/>
      <c r="CQ427" s="39"/>
    </row>
    <row r="428" spans="1:95" s="92" customFormat="1" ht="39.950000000000003" customHeight="1" x14ac:dyDescent="0.25">
      <c r="A428" s="229"/>
      <c r="B428" s="229"/>
      <c r="C428" s="229"/>
      <c r="D428" s="229"/>
      <c r="E428" s="229"/>
      <c r="F428" s="229"/>
      <c r="G428" s="229"/>
      <c r="H428" s="229"/>
      <c r="I428" s="68"/>
      <c r="J428" s="71"/>
      <c r="K428" s="229"/>
      <c r="L428" s="229"/>
      <c r="M428" s="229"/>
      <c r="N428" s="229"/>
      <c r="O428" s="229"/>
      <c r="P428" s="71"/>
      <c r="Q428" s="22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  <c r="BA428" s="39"/>
      <c r="BB428" s="39"/>
      <c r="BC428" s="39"/>
      <c r="BD428" s="39"/>
      <c r="BE428" s="39"/>
      <c r="BF428" s="39"/>
      <c r="BG428" s="39"/>
      <c r="BH428" s="39"/>
      <c r="BI428" s="39"/>
      <c r="BJ428" s="39"/>
      <c r="BK428" s="39"/>
      <c r="BL428" s="39"/>
      <c r="BM428" s="39"/>
      <c r="BN428" s="39"/>
      <c r="BO428" s="39"/>
      <c r="BP428" s="39"/>
      <c r="BQ428" s="39"/>
      <c r="BR428" s="39"/>
      <c r="BS428" s="39"/>
      <c r="BT428" s="39"/>
      <c r="BU428" s="39"/>
      <c r="BV428" s="39"/>
      <c r="BW428" s="39"/>
      <c r="BX428" s="39"/>
      <c r="BY428" s="39"/>
      <c r="BZ428" s="39"/>
      <c r="CA428" s="39"/>
      <c r="CB428" s="39"/>
      <c r="CC428" s="39"/>
      <c r="CD428" s="39"/>
      <c r="CE428" s="39"/>
      <c r="CF428" s="39"/>
      <c r="CG428" s="39"/>
      <c r="CH428" s="39"/>
      <c r="CI428" s="39"/>
      <c r="CJ428" s="39"/>
      <c r="CK428" s="39"/>
      <c r="CL428" s="39"/>
      <c r="CM428" s="39"/>
      <c r="CN428" s="39"/>
      <c r="CO428" s="39"/>
      <c r="CP428" s="39"/>
      <c r="CQ428" s="39"/>
    </row>
    <row r="429" spans="1:95" s="92" customFormat="1" ht="39.950000000000003" customHeight="1" x14ac:dyDescent="0.25">
      <c r="A429" s="229"/>
      <c r="B429" s="229"/>
      <c r="C429" s="229"/>
      <c r="D429" s="229"/>
      <c r="E429" s="229"/>
      <c r="F429" s="229"/>
      <c r="G429" s="229"/>
      <c r="H429" s="229"/>
      <c r="I429" s="68"/>
      <c r="J429" s="71"/>
      <c r="K429" s="229"/>
      <c r="L429" s="229"/>
      <c r="M429" s="229"/>
      <c r="N429" s="229"/>
      <c r="O429" s="229"/>
      <c r="P429" s="71"/>
      <c r="Q429" s="22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  <c r="BA429" s="39"/>
      <c r="BB429" s="39"/>
      <c r="BC429" s="39"/>
      <c r="BD429" s="39"/>
      <c r="BE429" s="39"/>
      <c r="BF429" s="39"/>
      <c r="BG429" s="39"/>
      <c r="BH429" s="39"/>
      <c r="BI429" s="39"/>
      <c r="BJ429" s="39"/>
      <c r="BK429" s="39"/>
      <c r="BL429" s="39"/>
      <c r="BM429" s="39"/>
      <c r="BN429" s="39"/>
      <c r="BO429" s="39"/>
      <c r="BP429" s="39"/>
      <c r="BQ429" s="39"/>
      <c r="BR429" s="39"/>
      <c r="BS429" s="39"/>
      <c r="BT429" s="39"/>
      <c r="BU429" s="39"/>
      <c r="BV429" s="39"/>
      <c r="BW429" s="39"/>
      <c r="BX429" s="39"/>
      <c r="BY429" s="39"/>
      <c r="BZ429" s="39"/>
      <c r="CA429" s="39"/>
      <c r="CB429" s="39"/>
      <c r="CC429" s="39"/>
      <c r="CD429" s="39"/>
      <c r="CE429" s="39"/>
      <c r="CF429" s="39"/>
      <c r="CG429" s="39"/>
      <c r="CH429" s="39"/>
      <c r="CI429" s="39"/>
      <c r="CJ429" s="39"/>
      <c r="CK429" s="39"/>
      <c r="CL429" s="39"/>
      <c r="CM429" s="39"/>
      <c r="CN429" s="39"/>
      <c r="CO429" s="39"/>
      <c r="CP429" s="39"/>
      <c r="CQ429" s="39"/>
    </row>
    <row r="430" spans="1:95" s="92" customFormat="1" ht="39.950000000000003" customHeight="1" x14ac:dyDescent="0.25">
      <c r="A430" s="229"/>
      <c r="B430" s="229"/>
      <c r="C430" s="229"/>
      <c r="D430" s="229"/>
      <c r="E430" s="229"/>
      <c r="F430" s="229"/>
      <c r="G430" s="229"/>
      <c r="H430" s="229"/>
      <c r="I430" s="68"/>
      <c r="J430" s="71"/>
      <c r="K430" s="229"/>
      <c r="L430" s="229"/>
      <c r="M430" s="229"/>
      <c r="N430" s="229"/>
      <c r="O430" s="229"/>
      <c r="P430" s="71"/>
      <c r="Q430" s="22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  <c r="BA430" s="39"/>
      <c r="BB430" s="39"/>
      <c r="BC430" s="39"/>
      <c r="BD430" s="39"/>
      <c r="BE430" s="39"/>
      <c r="BF430" s="39"/>
      <c r="BG430" s="39"/>
      <c r="BH430" s="39"/>
      <c r="BI430" s="39"/>
      <c r="BJ430" s="39"/>
      <c r="BK430" s="39"/>
      <c r="BL430" s="39"/>
      <c r="BM430" s="39"/>
      <c r="BN430" s="39"/>
      <c r="BO430" s="39"/>
      <c r="BP430" s="39"/>
      <c r="BQ430" s="39"/>
      <c r="BR430" s="39"/>
      <c r="BS430" s="39"/>
      <c r="BT430" s="39"/>
      <c r="BU430" s="39"/>
      <c r="BV430" s="39"/>
      <c r="BW430" s="39"/>
      <c r="BX430" s="39"/>
      <c r="BY430" s="39"/>
      <c r="BZ430" s="39"/>
      <c r="CA430" s="39"/>
      <c r="CB430" s="39"/>
      <c r="CC430" s="39"/>
      <c r="CD430" s="39"/>
      <c r="CE430" s="39"/>
      <c r="CF430" s="39"/>
      <c r="CG430" s="39"/>
      <c r="CH430" s="39"/>
      <c r="CI430" s="39"/>
      <c r="CJ430" s="39"/>
      <c r="CK430" s="39"/>
      <c r="CL430" s="39"/>
      <c r="CM430" s="39"/>
      <c r="CN430" s="39"/>
      <c r="CO430" s="39"/>
      <c r="CP430" s="39"/>
      <c r="CQ430" s="39"/>
    </row>
    <row r="431" spans="1:95" s="92" customFormat="1" ht="39.950000000000003" customHeight="1" x14ac:dyDescent="0.25">
      <c r="A431" s="229"/>
      <c r="B431" s="229"/>
      <c r="C431" s="229"/>
      <c r="D431" s="229"/>
      <c r="E431" s="229"/>
      <c r="F431" s="229"/>
      <c r="G431" s="229"/>
      <c r="H431" s="229"/>
      <c r="I431" s="68"/>
      <c r="J431" s="71"/>
      <c r="K431" s="229"/>
      <c r="L431" s="229"/>
      <c r="M431" s="229"/>
      <c r="N431" s="229"/>
      <c r="O431" s="229"/>
      <c r="P431" s="71"/>
      <c r="Q431" s="22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  <c r="BA431" s="39"/>
      <c r="BB431" s="39"/>
      <c r="BC431" s="39"/>
      <c r="BD431" s="39"/>
      <c r="BE431" s="39"/>
      <c r="BF431" s="39"/>
      <c r="BG431" s="39"/>
      <c r="BH431" s="39"/>
      <c r="BI431" s="39"/>
      <c r="BJ431" s="39"/>
      <c r="BK431" s="39"/>
      <c r="BL431" s="39"/>
      <c r="BM431" s="39"/>
      <c r="BN431" s="39"/>
      <c r="BO431" s="39"/>
      <c r="BP431" s="39"/>
      <c r="BQ431" s="39"/>
      <c r="BR431" s="39"/>
      <c r="BS431" s="39"/>
      <c r="BT431" s="39"/>
      <c r="BU431" s="39"/>
      <c r="BV431" s="39"/>
      <c r="BW431" s="39"/>
      <c r="BX431" s="39"/>
      <c r="BY431" s="39"/>
      <c r="BZ431" s="39"/>
      <c r="CA431" s="39"/>
      <c r="CB431" s="39"/>
      <c r="CC431" s="39"/>
      <c r="CD431" s="39"/>
      <c r="CE431" s="39"/>
      <c r="CF431" s="39"/>
      <c r="CG431" s="39"/>
      <c r="CH431" s="39"/>
      <c r="CI431" s="39"/>
      <c r="CJ431" s="39"/>
      <c r="CK431" s="39"/>
      <c r="CL431" s="39"/>
      <c r="CM431" s="39"/>
      <c r="CN431" s="39"/>
      <c r="CO431" s="39"/>
      <c r="CP431" s="39"/>
      <c r="CQ431" s="39"/>
    </row>
    <row r="432" spans="1:95" s="92" customFormat="1" ht="39.950000000000003" customHeight="1" x14ac:dyDescent="0.25">
      <c r="A432" s="229"/>
      <c r="B432" s="229"/>
      <c r="C432" s="229"/>
      <c r="D432" s="229"/>
      <c r="E432" s="229"/>
      <c r="F432" s="229"/>
      <c r="G432" s="229"/>
      <c r="H432" s="229"/>
      <c r="I432" s="68"/>
      <c r="J432" s="71"/>
      <c r="K432" s="229"/>
      <c r="L432" s="229"/>
      <c r="M432" s="229"/>
      <c r="N432" s="229"/>
      <c r="O432" s="229"/>
      <c r="P432" s="71"/>
      <c r="Q432" s="22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  <c r="BA432" s="39"/>
      <c r="BB432" s="39"/>
      <c r="BC432" s="39"/>
      <c r="BD432" s="39"/>
      <c r="BE432" s="39"/>
      <c r="BF432" s="39"/>
      <c r="BG432" s="39"/>
      <c r="BH432" s="39"/>
      <c r="BI432" s="39"/>
      <c r="BJ432" s="39"/>
      <c r="BK432" s="39"/>
      <c r="BL432" s="39"/>
      <c r="BM432" s="39"/>
      <c r="BN432" s="39"/>
      <c r="BO432" s="39"/>
      <c r="BP432" s="39"/>
      <c r="BQ432" s="39"/>
      <c r="BR432" s="39"/>
      <c r="BS432" s="39"/>
      <c r="BT432" s="39"/>
      <c r="BU432" s="39"/>
      <c r="BV432" s="39"/>
      <c r="BW432" s="39"/>
      <c r="BX432" s="39"/>
      <c r="BY432" s="39"/>
      <c r="BZ432" s="39"/>
      <c r="CA432" s="39"/>
      <c r="CB432" s="39"/>
      <c r="CC432" s="39"/>
      <c r="CD432" s="39"/>
      <c r="CE432" s="39"/>
      <c r="CF432" s="39"/>
      <c r="CG432" s="39"/>
      <c r="CH432" s="39"/>
      <c r="CI432" s="39"/>
      <c r="CJ432" s="39"/>
      <c r="CK432" s="39"/>
      <c r="CL432" s="39"/>
      <c r="CM432" s="39"/>
      <c r="CN432" s="39"/>
      <c r="CO432" s="39"/>
      <c r="CP432" s="39"/>
      <c r="CQ432" s="39"/>
    </row>
    <row r="433" spans="1:95" s="92" customFormat="1" ht="39.950000000000003" customHeight="1" x14ac:dyDescent="0.25">
      <c r="A433" s="229"/>
      <c r="B433" s="229"/>
      <c r="C433" s="229"/>
      <c r="D433" s="229"/>
      <c r="E433" s="229"/>
      <c r="F433" s="229"/>
      <c r="G433" s="229"/>
      <c r="H433" s="229"/>
      <c r="I433" s="68"/>
      <c r="J433" s="71"/>
      <c r="K433" s="229"/>
      <c r="L433" s="229"/>
      <c r="M433" s="229"/>
      <c r="N433" s="229"/>
      <c r="O433" s="229"/>
      <c r="P433" s="71"/>
      <c r="Q433" s="22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  <c r="BA433" s="39"/>
      <c r="BB433" s="39"/>
      <c r="BC433" s="39"/>
      <c r="BD433" s="39"/>
      <c r="BE433" s="39"/>
      <c r="BF433" s="39"/>
      <c r="BG433" s="39"/>
      <c r="BH433" s="39"/>
      <c r="BI433" s="39"/>
      <c r="BJ433" s="39"/>
      <c r="BK433" s="39"/>
      <c r="BL433" s="39"/>
      <c r="BM433" s="39"/>
      <c r="BN433" s="39"/>
      <c r="BO433" s="39"/>
      <c r="BP433" s="39"/>
      <c r="BQ433" s="39"/>
      <c r="BR433" s="39"/>
      <c r="BS433" s="39"/>
      <c r="BT433" s="39"/>
      <c r="BU433" s="39"/>
      <c r="BV433" s="39"/>
      <c r="BW433" s="39"/>
      <c r="BX433" s="39"/>
      <c r="BY433" s="39"/>
      <c r="BZ433" s="39"/>
      <c r="CA433" s="39"/>
      <c r="CB433" s="39"/>
      <c r="CC433" s="39"/>
      <c r="CD433" s="39"/>
      <c r="CE433" s="39"/>
      <c r="CF433" s="39"/>
      <c r="CG433" s="39"/>
      <c r="CH433" s="39"/>
      <c r="CI433" s="39"/>
      <c r="CJ433" s="39"/>
      <c r="CK433" s="39"/>
      <c r="CL433" s="39"/>
      <c r="CM433" s="39"/>
      <c r="CN433" s="39"/>
      <c r="CO433" s="39"/>
      <c r="CP433" s="39"/>
      <c r="CQ433" s="39"/>
    </row>
    <row r="434" spans="1:95" s="92" customFormat="1" ht="39.950000000000003" customHeight="1" x14ac:dyDescent="0.25">
      <c r="A434" s="229"/>
      <c r="B434" s="229"/>
      <c r="C434" s="229"/>
      <c r="D434" s="229"/>
      <c r="E434" s="229"/>
      <c r="F434" s="229"/>
      <c r="G434" s="229"/>
      <c r="H434" s="229"/>
      <c r="I434" s="68"/>
      <c r="J434" s="71"/>
      <c r="K434" s="229"/>
      <c r="L434" s="229"/>
      <c r="M434" s="229"/>
      <c r="N434" s="229"/>
      <c r="O434" s="229"/>
      <c r="P434" s="71"/>
      <c r="Q434" s="22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  <c r="BA434" s="39"/>
      <c r="BB434" s="39"/>
      <c r="BC434" s="39"/>
      <c r="BD434" s="39"/>
      <c r="BE434" s="39"/>
      <c r="BF434" s="39"/>
      <c r="BG434" s="39"/>
      <c r="BH434" s="39"/>
      <c r="BI434" s="39"/>
      <c r="BJ434" s="39"/>
      <c r="BK434" s="39"/>
      <c r="BL434" s="39"/>
      <c r="BM434" s="39"/>
      <c r="BN434" s="39"/>
      <c r="BO434" s="39"/>
      <c r="BP434" s="39"/>
      <c r="BQ434" s="39"/>
      <c r="BR434" s="39"/>
      <c r="BS434" s="39"/>
      <c r="BT434" s="39"/>
      <c r="BU434" s="39"/>
      <c r="BV434" s="39"/>
      <c r="BW434" s="39"/>
      <c r="BX434" s="39"/>
      <c r="BY434" s="39"/>
      <c r="BZ434" s="39"/>
      <c r="CA434" s="39"/>
      <c r="CB434" s="39"/>
      <c r="CC434" s="39"/>
      <c r="CD434" s="39"/>
      <c r="CE434" s="39"/>
      <c r="CF434" s="39"/>
      <c r="CG434" s="39"/>
      <c r="CH434" s="39"/>
      <c r="CI434" s="39"/>
      <c r="CJ434" s="39"/>
      <c r="CK434" s="39"/>
      <c r="CL434" s="39"/>
      <c r="CM434" s="39"/>
      <c r="CN434" s="39"/>
      <c r="CO434" s="39"/>
      <c r="CP434" s="39"/>
      <c r="CQ434" s="39"/>
    </row>
    <row r="435" spans="1:95" s="92" customFormat="1" ht="39.950000000000003" customHeight="1" x14ac:dyDescent="0.25">
      <c r="A435" s="229"/>
      <c r="B435" s="229"/>
      <c r="C435" s="229"/>
      <c r="D435" s="229"/>
      <c r="E435" s="229"/>
      <c r="F435" s="229"/>
      <c r="G435" s="229"/>
      <c r="H435" s="229"/>
      <c r="I435" s="68"/>
      <c r="J435" s="71"/>
      <c r="K435" s="229"/>
      <c r="L435" s="229"/>
      <c r="M435" s="229"/>
      <c r="N435" s="229"/>
      <c r="O435" s="229"/>
      <c r="P435" s="71"/>
      <c r="Q435" s="22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  <c r="BA435" s="39"/>
      <c r="BB435" s="39"/>
      <c r="BC435" s="39"/>
      <c r="BD435" s="39"/>
      <c r="BE435" s="39"/>
      <c r="BF435" s="39"/>
      <c r="BG435" s="39"/>
      <c r="BH435" s="39"/>
      <c r="BI435" s="39"/>
      <c r="BJ435" s="39"/>
      <c r="BK435" s="39"/>
      <c r="BL435" s="39"/>
      <c r="BM435" s="39"/>
      <c r="BN435" s="39"/>
      <c r="BO435" s="39"/>
      <c r="BP435" s="39"/>
      <c r="BQ435" s="39"/>
      <c r="BR435" s="39"/>
      <c r="BS435" s="39"/>
      <c r="BT435" s="39"/>
      <c r="BU435" s="39"/>
      <c r="BV435" s="39"/>
      <c r="BW435" s="39"/>
      <c r="BX435" s="39"/>
      <c r="BY435" s="39"/>
      <c r="BZ435" s="39"/>
      <c r="CA435" s="39"/>
      <c r="CB435" s="39"/>
      <c r="CC435" s="39"/>
      <c r="CD435" s="39"/>
      <c r="CE435" s="39"/>
      <c r="CF435" s="39"/>
      <c r="CG435" s="39"/>
      <c r="CH435" s="39"/>
      <c r="CI435" s="39"/>
      <c r="CJ435" s="39"/>
      <c r="CK435" s="39"/>
      <c r="CL435" s="39"/>
      <c r="CM435" s="39"/>
      <c r="CN435" s="39"/>
      <c r="CO435" s="39"/>
      <c r="CP435" s="39"/>
      <c r="CQ435" s="39"/>
    </row>
    <row r="436" spans="1:95" s="92" customFormat="1" ht="44.25" customHeight="1" x14ac:dyDescent="0.25">
      <c r="A436" s="229"/>
      <c r="B436" s="229"/>
      <c r="C436" s="229"/>
      <c r="D436" s="229"/>
      <c r="E436" s="229"/>
      <c r="F436" s="229"/>
      <c r="G436" s="229"/>
      <c r="H436" s="229"/>
      <c r="I436" s="68"/>
      <c r="J436" s="71"/>
      <c r="K436" s="229"/>
      <c r="L436" s="229"/>
      <c r="M436" s="229"/>
      <c r="N436" s="229"/>
      <c r="O436" s="229"/>
      <c r="P436" s="71"/>
      <c r="Q436" s="22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  <c r="BA436" s="39"/>
      <c r="BB436" s="39"/>
      <c r="BC436" s="39"/>
      <c r="BD436" s="39"/>
      <c r="BE436" s="39"/>
      <c r="BF436" s="39"/>
      <c r="BG436" s="39"/>
      <c r="BH436" s="39"/>
      <c r="BI436" s="39"/>
      <c r="BJ436" s="39"/>
      <c r="BK436" s="39"/>
      <c r="BL436" s="39"/>
      <c r="BM436" s="39"/>
      <c r="BN436" s="39"/>
      <c r="BO436" s="39"/>
      <c r="BP436" s="39"/>
      <c r="BQ436" s="39"/>
      <c r="BR436" s="39"/>
      <c r="BS436" s="39"/>
      <c r="BT436" s="39"/>
      <c r="BU436" s="39"/>
      <c r="BV436" s="39"/>
      <c r="BW436" s="39"/>
      <c r="BX436" s="39"/>
      <c r="BY436" s="39"/>
      <c r="BZ436" s="39"/>
      <c r="CA436" s="39"/>
      <c r="CB436" s="39"/>
      <c r="CC436" s="39"/>
      <c r="CD436" s="39"/>
      <c r="CE436" s="39"/>
      <c r="CF436" s="39"/>
      <c r="CG436" s="39"/>
      <c r="CH436" s="39"/>
      <c r="CI436" s="39"/>
      <c r="CJ436" s="39"/>
      <c r="CK436" s="39"/>
      <c r="CL436" s="39"/>
      <c r="CM436" s="39"/>
      <c r="CN436" s="39"/>
      <c r="CO436" s="39"/>
      <c r="CP436" s="39"/>
      <c r="CQ436" s="39"/>
    </row>
    <row r="437" spans="1:95" s="92" customFormat="1" ht="39.950000000000003" customHeight="1" x14ac:dyDescent="0.25">
      <c r="A437" s="229"/>
      <c r="B437" s="229"/>
      <c r="C437" s="229"/>
      <c r="D437" s="229"/>
      <c r="E437" s="229"/>
      <c r="F437" s="229"/>
      <c r="G437" s="229"/>
      <c r="H437" s="229"/>
      <c r="I437" s="68"/>
      <c r="J437" s="71"/>
      <c r="K437" s="229"/>
      <c r="L437" s="229"/>
      <c r="M437" s="229"/>
      <c r="N437" s="229"/>
      <c r="O437" s="229"/>
      <c r="P437" s="71"/>
      <c r="Q437" s="22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  <c r="BA437" s="39"/>
      <c r="BB437" s="39"/>
      <c r="BC437" s="39"/>
      <c r="BD437" s="39"/>
      <c r="BE437" s="39"/>
      <c r="BF437" s="39"/>
      <c r="BG437" s="39"/>
      <c r="BH437" s="39"/>
      <c r="BI437" s="39"/>
      <c r="BJ437" s="39"/>
      <c r="BK437" s="39"/>
      <c r="BL437" s="39"/>
      <c r="BM437" s="39"/>
      <c r="BN437" s="39"/>
      <c r="BO437" s="39"/>
      <c r="BP437" s="39"/>
      <c r="BQ437" s="39"/>
      <c r="BR437" s="39"/>
      <c r="BS437" s="39"/>
      <c r="BT437" s="39"/>
      <c r="BU437" s="39"/>
      <c r="BV437" s="39"/>
      <c r="BW437" s="39"/>
      <c r="BX437" s="39"/>
      <c r="BY437" s="39"/>
      <c r="BZ437" s="39"/>
      <c r="CA437" s="39"/>
      <c r="CB437" s="39"/>
      <c r="CC437" s="39"/>
      <c r="CD437" s="39"/>
      <c r="CE437" s="39"/>
      <c r="CF437" s="39"/>
      <c r="CG437" s="39"/>
      <c r="CH437" s="39"/>
      <c r="CI437" s="39"/>
      <c r="CJ437" s="39"/>
      <c r="CK437" s="39"/>
      <c r="CL437" s="39"/>
      <c r="CM437" s="39"/>
      <c r="CN437" s="39"/>
      <c r="CO437" s="39"/>
      <c r="CP437" s="39"/>
      <c r="CQ437" s="39"/>
    </row>
    <row r="438" spans="1:95" s="92" customFormat="1" ht="39.950000000000003" customHeight="1" x14ac:dyDescent="0.25">
      <c r="A438" s="229"/>
      <c r="B438" s="229"/>
      <c r="C438" s="229"/>
      <c r="D438" s="229"/>
      <c r="E438" s="229"/>
      <c r="F438" s="229"/>
      <c r="G438" s="229"/>
      <c r="H438" s="229"/>
      <c r="I438" s="68"/>
      <c r="J438" s="71"/>
      <c r="K438" s="229"/>
      <c r="L438" s="229"/>
      <c r="M438" s="229"/>
      <c r="N438" s="229"/>
      <c r="O438" s="229"/>
      <c r="P438" s="71"/>
      <c r="Q438" s="22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  <c r="BA438" s="39"/>
      <c r="BB438" s="39"/>
      <c r="BC438" s="39"/>
      <c r="BD438" s="39"/>
      <c r="BE438" s="39"/>
      <c r="BF438" s="39"/>
      <c r="BG438" s="39"/>
      <c r="BH438" s="39"/>
      <c r="BI438" s="39"/>
      <c r="BJ438" s="39"/>
      <c r="BK438" s="39"/>
      <c r="BL438" s="39"/>
      <c r="BM438" s="39"/>
      <c r="BN438" s="39"/>
      <c r="BO438" s="39"/>
      <c r="BP438" s="39"/>
      <c r="BQ438" s="39"/>
      <c r="BR438" s="39"/>
      <c r="BS438" s="39"/>
      <c r="BT438" s="39"/>
      <c r="BU438" s="39"/>
      <c r="BV438" s="39"/>
      <c r="BW438" s="39"/>
      <c r="BX438" s="39"/>
      <c r="BY438" s="39"/>
      <c r="BZ438" s="39"/>
      <c r="CA438" s="39"/>
      <c r="CB438" s="39"/>
      <c r="CC438" s="39"/>
      <c r="CD438" s="39"/>
      <c r="CE438" s="39"/>
      <c r="CF438" s="39"/>
      <c r="CG438" s="39"/>
      <c r="CH438" s="39"/>
      <c r="CI438" s="39"/>
      <c r="CJ438" s="39"/>
      <c r="CK438" s="39"/>
      <c r="CL438" s="39"/>
      <c r="CM438" s="39"/>
      <c r="CN438" s="39"/>
      <c r="CO438" s="39"/>
      <c r="CP438" s="39"/>
      <c r="CQ438" s="39"/>
    </row>
    <row r="439" spans="1:95" s="92" customFormat="1" ht="39.950000000000003" customHeight="1" x14ac:dyDescent="0.25">
      <c r="A439" s="229"/>
      <c r="B439" s="229"/>
      <c r="C439" s="229"/>
      <c r="D439" s="229"/>
      <c r="E439" s="229"/>
      <c r="F439" s="229"/>
      <c r="G439" s="229"/>
      <c r="H439" s="229"/>
      <c r="I439" s="68"/>
      <c r="J439" s="71"/>
      <c r="K439" s="229"/>
      <c r="L439" s="229"/>
      <c r="M439" s="229"/>
      <c r="N439" s="229"/>
      <c r="O439" s="229"/>
      <c r="P439" s="71"/>
      <c r="Q439" s="22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  <c r="BA439" s="39"/>
      <c r="BB439" s="39"/>
      <c r="BC439" s="39"/>
      <c r="BD439" s="39"/>
      <c r="BE439" s="39"/>
      <c r="BF439" s="39"/>
      <c r="BG439" s="39"/>
      <c r="BH439" s="39"/>
      <c r="BI439" s="39"/>
      <c r="BJ439" s="39"/>
      <c r="BK439" s="39"/>
      <c r="BL439" s="39"/>
      <c r="BM439" s="39"/>
      <c r="BN439" s="39"/>
      <c r="BO439" s="39"/>
      <c r="BP439" s="39"/>
      <c r="BQ439" s="39"/>
      <c r="BR439" s="39"/>
      <c r="BS439" s="39"/>
      <c r="BT439" s="39"/>
      <c r="BU439" s="39"/>
      <c r="BV439" s="39"/>
      <c r="BW439" s="39"/>
      <c r="BX439" s="39"/>
      <c r="BY439" s="39"/>
      <c r="BZ439" s="39"/>
      <c r="CA439" s="39"/>
      <c r="CB439" s="39"/>
      <c r="CC439" s="39"/>
      <c r="CD439" s="39"/>
      <c r="CE439" s="39"/>
      <c r="CF439" s="39"/>
      <c r="CG439" s="39"/>
      <c r="CH439" s="39"/>
      <c r="CI439" s="39"/>
      <c r="CJ439" s="39"/>
      <c r="CK439" s="39"/>
      <c r="CL439" s="39"/>
      <c r="CM439" s="39"/>
      <c r="CN439" s="39"/>
      <c r="CO439" s="39"/>
      <c r="CP439" s="39"/>
      <c r="CQ439" s="39"/>
    </row>
    <row r="440" spans="1:95" s="92" customFormat="1" ht="39.950000000000003" customHeight="1" x14ac:dyDescent="0.25">
      <c r="A440" s="229"/>
      <c r="B440" s="229"/>
      <c r="C440" s="229"/>
      <c r="D440" s="229"/>
      <c r="E440" s="229"/>
      <c r="F440" s="229"/>
      <c r="G440" s="229"/>
      <c r="H440" s="229"/>
      <c r="I440" s="68"/>
      <c r="J440" s="71"/>
      <c r="K440" s="229"/>
      <c r="L440" s="229"/>
      <c r="M440" s="229"/>
      <c r="N440" s="229"/>
      <c r="O440" s="229"/>
      <c r="P440" s="71"/>
      <c r="Q440" s="22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  <c r="BA440" s="39"/>
      <c r="BB440" s="39"/>
      <c r="BC440" s="39"/>
      <c r="BD440" s="39"/>
      <c r="BE440" s="39"/>
      <c r="BF440" s="39"/>
      <c r="BG440" s="39"/>
      <c r="BH440" s="39"/>
      <c r="BI440" s="39"/>
      <c r="BJ440" s="39"/>
      <c r="BK440" s="39"/>
      <c r="BL440" s="39"/>
      <c r="BM440" s="39"/>
      <c r="BN440" s="39"/>
      <c r="BO440" s="39"/>
      <c r="BP440" s="39"/>
      <c r="BQ440" s="39"/>
      <c r="BR440" s="39"/>
      <c r="BS440" s="39"/>
      <c r="BT440" s="39"/>
      <c r="BU440" s="39"/>
      <c r="BV440" s="39"/>
      <c r="BW440" s="39"/>
      <c r="BX440" s="39"/>
      <c r="BY440" s="39"/>
      <c r="BZ440" s="39"/>
      <c r="CA440" s="39"/>
      <c r="CB440" s="39"/>
      <c r="CC440" s="39"/>
      <c r="CD440" s="39"/>
      <c r="CE440" s="39"/>
      <c r="CF440" s="39"/>
      <c r="CG440" s="39"/>
      <c r="CH440" s="39"/>
      <c r="CI440" s="39"/>
      <c r="CJ440" s="39"/>
      <c r="CK440" s="39"/>
      <c r="CL440" s="39"/>
      <c r="CM440" s="39"/>
      <c r="CN440" s="39"/>
      <c r="CO440" s="39"/>
      <c r="CP440" s="39"/>
      <c r="CQ440" s="39"/>
    </row>
    <row r="441" spans="1:95" s="92" customFormat="1" ht="39.950000000000003" customHeight="1" x14ac:dyDescent="0.25">
      <c r="A441" s="229"/>
      <c r="B441" s="229"/>
      <c r="C441" s="229"/>
      <c r="D441" s="229"/>
      <c r="E441" s="229"/>
      <c r="F441" s="229"/>
      <c r="G441" s="229"/>
      <c r="H441" s="229"/>
      <c r="I441" s="68"/>
      <c r="J441" s="71"/>
      <c r="K441" s="229"/>
      <c r="L441" s="229"/>
      <c r="M441" s="229"/>
      <c r="N441" s="229"/>
      <c r="O441" s="229"/>
      <c r="P441" s="71"/>
      <c r="Q441" s="22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  <c r="BA441" s="39"/>
      <c r="BB441" s="39"/>
      <c r="BC441" s="39"/>
      <c r="BD441" s="39"/>
      <c r="BE441" s="39"/>
      <c r="BF441" s="39"/>
      <c r="BG441" s="39"/>
      <c r="BH441" s="39"/>
      <c r="BI441" s="39"/>
      <c r="BJ441" s="39"/>
      <c r="BK441" s="39"/>
      <c r="BL441" s="39"/>
      <c r="BM441" s="39"/>
      <c r="BN441" s="39"/>
      <c r="BO441" s="39"/>
      <c r="BP441" s="39"/>
      <c r="BQ441" s="39"/>
      <c r="BR441" s="39"/>
      <c r="BS441" s="39"/>
      <c r="BT441" s="39"/>
      <c r="BU441" s="39"/>
      <c r="BV441" s="39"/>
      <c r="BW441" s="39"/>
      <c r="BX441" s="39"/>
      <c r="BY441" s="39"/>
      <c r="BZ441" s="39"/>
      <c r="CA441" s="39"/>
      <c r="CB441" s="39"/>
      <c r="CC441" s="39"/>
      <c r="CD441" s="39"/>
      <c r="CE441" s="39"/>
      <c r="CF441" s="39"/>
      <c r="CG441" s="39"/>
      <c r="CH441" s="39"/>
      <c r="CI441" s="39"/>
      <c r="CJ441" s="39"/>
      <c r="CK441" s="39"/>
      <c r="CL441" s="39"/>
      <c r="CM441" s="39"/>
      <c r="CN441" s="39"/>
      <c r="CO441" s="39"/>
      <c r="CP441" s="39"/>
      <c r="CQ441" s="39"/>
    </row>
    <row r="442" spans="1:95" s="92" customFormat="1" ht="39.950000000000003" customHeight="1" x14ac:dyDescent="0.25">
      <c r="A442" s="229"/>
      <c r="B442" s="229"/>
      <c r="C442" s="229"/>
      <c r="D442" s="229"/>
      <c r="E442" s="229"/>
      <c r="F442" s="229"/>
      <c r="G442" s="229"/>
      <c r="H442" s="229"/>
      <c r="I442" s="68"/>
      <c r="J442" s="71"/>
      <c r="K442" s="229"/>
      <c r="L442" s="229"/>
      <c r="M442" s="229"/>
      <c r="N442" s="229"/>
      <c r="O442" s="229"/>
      <c r="P442" s="71"/>
      <c r="Q442" s="22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  <c r="BA442" s="39"/>
      <c r="BB442" s="39"/>
      <c r="BC442" s="39"/>
      <c r="BD442" s="39"/>
      <c r="BE442" s="39"/>
      <c r="BF442" s="39"/>
      <c r="BG442" s="39"/>
      <c r="BH442" s="39"/>
      <c r="BI442" s="39"/>
      <c r="BJ442" s="39"/>
      <c r="BK442" s="39"/>
      <c r="BL442" s="39"/>
      <c r="BM442" s="39"/>
      <c r="BN442" s="39"/>
      <c r="BO442" s="39"/>
      <c r="BP442" s="39"/>
      <c r="BQ442" s="39"/>
      <c r="BR442" s="39"/>
      <c r="BS442" s="39"/>
      <c r="BT442" s="39"/>
      <c r="BU442" s="39"/>
      <c r="BV442" s="39"/>
      <c r="BW442" s="39"/>
      <c r="BX442" s="39"/>
      <c r="BY442" s="39"/>
      <c r="BZ442" s="39"/>
      <c r="CA442" s="39"/>
      <c r="CB442" s="39"/>
      <c r="CC442" s="39"/>
      <c r="CD442" s="39"/>
      <c r="CE442" s="39"/>
      <c r="CF442" s="39"/>
      <c r="CG442" s="39"/>
      <c r="CH442" s="39"/>
      <c r="CI442" s="39"/>
      <c r="CJ442" s="39"/>
      <c r="CK442" s="39"/>
      <c r="CL442" s="39"/>
      <c r="CM442" s="39"/>
      <c r="CN442" s="39"/>
      <c r="CO442" s="39"/>
      <c r="CP442" s="39"/>
      <c r="CQ442" s="39"/>
    </row>
    <row r="443" spans="1:95" s="92" customFormat="1" ht="39.950000000000003" customHeight="1" x14ac:dyDescent="0.25">
      <c r="A443" s="229"/>
      <c r="B443" s="229"/>
      <c r="C443" s="229"/>
      <c r="D443" s="229"/>
      <c r="E443" s="229"/>
      <c r="F443" s="229"/>
      <c r="G443" s="229"/>
      <c r="H443" s="229"/>
      <c r="I443" s="68"/>
      <c r="J443" s="71"/>
      <c r="K443" s="229"/>
      <c r="L443" s="229"/>
      <c r="M443" s="229"/>
      <c r="N443" s="229"/>
      <c r="O443" s="229"/>
      <c r="P443" s="71"/>
      <c r="Q443" s="22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  <c r="BA443" s="39"/>
      <c r="BB443" s="39"/>
      <c r="BC443" s="39"/>
      <c r="BD443" s="39"/>
      <c r="BE443" s="39"/>
      <c r="BF443" s="39"/>
      <c r="BG443" s="39"/>
      <c r="BH443" s="39"/>
      <c r="BI443" s="39"/>
      <c r="BJ443" s="39"/>
      <c r="BK443" s="39"/>
      <c r="BL443" s="39"/>
      <c r="BM443" s="39"/>
      <c r="BN443" s="39"/>
      <c r="BO443" s="39"/>
      <c r="BP443" s="39"/>
      <c r="BQ443" s="39"/>
      <c r="BR443" s="39"/>
      <c r="BS443" s="39"/>
      <c r="BT443" s="39"/>
      <c r="BU443" s="39"/>
      <c r="BV443" s="39"/>
      <c r="BW443" s="39"/>
      <c r="BX443" s="39"/>
      <c r="BY443" s="39"/>
      <c r="BZ443" s="39"/>
      <c r="CA443" s="39"/>
      <c r="CB443" s="39"/>
      <c r="CC443" s="39"/>
      <c r="CD443" s="39"/>
      <c r="CE443" s="39"/>
      <c r="CF443" s="39"/>
      <c r="CG443" s="39"/>
      <c r="CH443" s="39"/>
      <c r="CI443" s="39"/>
      <c r="CJ443" s="39"/>
      <c r="CK443" s="39"/>
      <c r="CL443" s="39"/>
      <c r="CM443" s="39"/>
      <c r="CN443" s="39"/>
      <c r="CO443" s="39"/>
      <c r="CP443" s="39"/>
      <c r="CQ443" s="39"/>
    </row>
    <row r="444" spans="1:95" s="92" customFormat="1" ht="39.950000000000003" customHeight="1" x14ac:dyDescent="0.25">
      <c r="A444" s="229"/>
      <c r="B444" s="229"/>
      <c r="C444" s="229"/>
      <c r="D444" s="229"/>
      <c r="E444" s="229"/>
      <c r="F444" s="229"/>
      <c r="G444" s="229"/>
      <c r="H444" s="229"/>
      <c r="I444" s="68"/>
      <c r="J444" s="71"/>
      <c r="K444" s="229"/>
      <c r="L444" s="229"/>
      <c r="M444" s="229"/>
      <c r="N444" s="229"/>
      <c r="O444" s="229"/>
      <c r="P444" s="71"/>
      <c r="Q444" s="22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  <c r="BA444" s="39"/>
      <c r="BB444" s="39"/>
      <c r="BC444" s="39"/>
      <c r="BD444" s="39"/>
      <c r="BE444" s="39"/>
      <c r="BF444" s="39"/>
      <c r="BG444" s="39"/>
      <c r="BH444" s="39"/>
      <c r="BI444" s="39"/>
      <c r="BJ444" s="39"/>
      <c r="BK444" s="39"/>
      <c r="BL444" s="39"/>
      <c r="BM444" s="39"/>
      <c r="BN444" s="39"/>
      <c r="BO444" s="39"/>
      <c r="BP444" s="39"/>
      <c r="BQ444" s="39"/>
      <c r="BR444" s="39"/>
      <c r="BS444" s="39"/>
      <c r="BT444" s="39"/>
      <c r="BU444" s="39"/>
      <c r="BV444" s="39"/>
      <c r="BW444" s="39"/>
      <c r="BX444" s="39"/>
      <c r="BY444" s="39"/>
      <c r="BZ444" s="39"/>
      <c r="CA444" s="39"/>
      <c r="CB444" s="39"/>
      <c r="CC444" s="39"/>
      <c r="CD444" s="39"/>
      <c r="CE444" s="39"/>
      <c r="CF444" s="39"/>
      <c r="CG444" s="39"/>
      <c r="CH444" s="39"/>
      <c r="CI444" s="39"/>
      <c r="CJ444" s="39"/>
      <c r="CK444" s="39"/>
      <c r="CL444" s="39"/>
      <c r="CM444" s="39"/>
      <c r="CN444" s="39"/>
      <c r="CO444" s="39"/>
      <c r="CP444" s="39"/>
      <c r="CQ444" s="39"/>
    </row>
    <row r="445" spans="1:95" s="92" customFormat="1" ht="39.950000000000003" customHeight="1" x14ac:dyDescent="0.25">
      <c r="A445" s="229"/>
      <c r="B445" s="229"/>
      <c r="C445" s="229"/>
      <c r="D445" s="229"/>
      <c r="E445" s="229"/>
      <c r="F445" s="229"/>
      <c r="G445" s="229"/>
      <c r="H445" s="229"/>
      <c r="I445" s="68"/>
      <c r="J445" s="71"/>
      <c r="K445" s="229"/>
      <c r="L445" s="229"/>
      <c r="M445" s="229"/>
      <c r="N445" s="229"/>
      <c r="O445" s="229"/>
      <c r="P445" s="71"/>
      <c r="Q445" s="22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  <c r="BA445" s="39"/>
      <c r="BB445" s="39"/>
      <c r="BC445" s="39"/>
      <c r="BD445" s="39"/>
      <c r="BE445" s="39"/>
      <c r="BF445" s="39"/>
      <c r="BG445" s="39"/>
      <c r="BH445" s="39"/>
      <c r="BI445" s="39"/>
      <c r="BJ445" s="39"/>
      <c r="BK445" s="39"/>
      <c r="BL445" s="39"/>
      <c r="BM445" s="39"/>
      <c r="BN445" s="39"/>
      <c r="BO445" s="39"/>
      <c r="BP445" s="39"/>
      <c r="BQ445" s="39"/>
      <c r="BR445" s="39"/>
      <c r="BS445" s="39"/>
      <c r="BT445" s="39"/>
      <c r="BU445" s="39"/>
      <c r="BV445" s="39"/>
      <c r="BW445" s="39"/>
      <c r="BX445" s="39"/>
      <c r="BY445" s="39"/>
      <c r="BZ445" s="39"/>
      <c r="CA445" s="39"/>
      <c r="CB445" s="39"/>
      <c r="CC445" s="39"/>
      <c r="CD445" s="39"/>
      <c r="CE445" s="39"/>
      <c r="CF445" s="39"/>
      <c r="CG445" s="39"/>
      <c r="CH445" s="39"/>
      <c r="CI445" s="39"/>
      <c r="CJ445" s="39"/>
      <c r="CK445" s="39"/>
      <c r="CL445" s="39"/>
      <c r="CM445" s="39"/>
      <c r="CN445" s="39"/>
      <c r="CO445" s="39"/>
      <c r="CP445" s="39"/>
      <c r="CQ445" s="39"/>
    </row>
    <row r="446" spans="1:95" s="92" customFormat="1" ht="39.950000000000003" customHeight="1" x14ac:dyDescent="0.25">
      <c r="A446" s="229"/>
      <c r="B446" s="229"/>
      <c r="C446" s="229"/>
      <c r="D446" s="229"/>
      <c r="E446" s="229"/>
      <c r="F446" s="229"/>
      <c r="G446" s="229"/>
      <c r="H446" s="229"/>
      <c r="I446" s="68"/>
      <c r="J446" s="71"/>
      <c r="K446" s="229"/>
      <c r="L446" s="229"/>
      <c r="M446" s="229"/>
      <c r="N446" s="229"/>
      <c r="O446" s="229"/>
      <c r="P446" s="71"/>
      <c r="Q446" s="22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  <c r="BA446" s="39"/>
      <c r="BB446" s="39"/>
      <c r="BC446" s="39"/>
      <c r="BD446" s="39"/>
      <c r="BE446" s="39"/>
      <c r="BF446" s="39"/>
      <c r="BG446" s="39"/>
      <c r="BH446" s="39"/>
      <c r="BI446" s="39"/>
      <c r="BJ446" s="39"/>
      <c r="BK446" s="39"/>
      <c r="BL446" s="39"/>
      <c r="BM446" s="39"/>
      <c r="BN446" s="39"/>
      <c r="BO446" s="39"/>
      <c r="BP446" s="39"/>
      <c r="BQ446" s="39"/>
      <c r="BR446" s="39"/>
      <c r="BS446" s="39"/>
      <c r="BT446" s="39"/>
      <c r="BU446" s="39"/>
      <c r="BV446" s="39"/>
      <c r="BW446" s="39"/>
      <c r="BX446" s="39"/>
      <c r="BY446" s="39"/>
      <c r="BZ446" s="39"/>
      <c r="CA446" s="39"/>
      <c r="CB446" s="39"/>
      <c r="CC446" s="39"/>
      <c r="CD446" s="39"/>
      <c r="CE446" s="39"/>
      <c r="CF446" s="39"/>
      <c r="CG446" s="39"/>
      <c r="CH446" s="39"/>
      <c r="CI446" s="39"/>
      <c r="CJ446" s="39"/>
      <c r="CK446" s="39"/>
      <c r="CL446" s="39"/>
      <c r="CM446" s="39"/>
      <c r="CN446" s="39"/>
      <c r="CO446" s="39"/>
      <c r="CP446" s="39"/>
      <c r="CQ446" s="39"/>
    </row>
    <row r="447" spans="1:95" s="92" customFormat="1" ht="39.950000000000003" customHeight="1" x14ac:dyDescent="0.25">
      <c r="A447" s="229"/>
      <c r="B447" s="229"/>
      <c r="C447" s="229"/>
      <c r="D447" s="229"/>
      <c r="E447" s="229"/>
      <c r="F447" s="229"/>
      <c r="G447" s="229"/>
      <c r="H447" s="229"/>
      <c r="I447" s="68"/>
      <c r="J447" s="71"/>
      <c r="K447" s="229"/>
      <c r="L447" s="229"/>
      <c r="M447" s="229"/>
      <c r="N447" s="229"/>
      <c r="O447" s="229"/>
      <c r="P447" s="71"/>
      <c r="Q447" s="22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  <c r="BA447" s="39"/>
      <c r="BB447" s="39"/>
      <c r="BC447" s="39"/>
      <c r="BD447" s="39"/>
      <c r="BE447" s="39"/>
      <c r="BF447" s="39"/>
      <c r="BG447" s="39"/>
      <c r="BH447" s="39"/>
      <c r="BI447" s="39"/>
      <c r="BJ447" s="39"/>
      <c r="BK447" s="39"/>
      <c r="BL447" s="39"/>
      <c r="BM447" s="39"/>
      <c r="BN447" s="39"/>
      <c r="BO447" s="39"/>
      <c r="BP447" s="39"/>
      <c r="BQ447" s="39"/>
      <c r="BR447" s="39"/>
      <c r="BS447" s="39"/>
      <c r="BT447" s="39"/>
      <c r="BU447" s="39"/>
      <c r="BV447" s="39"/>
      <c r="BW447" s="39"/>
      <c r="BX447" s="39"/>
      <c r="BY447" s="39"/>
      <c r="BZ447" s="39"/>
      <c r="CA447" s="39"/>
      <c r="CB447" s="39"/>
      <c r="CC447" s="39"/>
      <c r="CD447" s="39"/>
      <c r="CE447" s="39"/>
      <c r="CF447" s="39"/>
      <c r="CG447" s="39"/>
      <c r="CH447" s="39"/>
      <c r="CI447" s="39"/>
      <c r="CJ447" s="39"/>
      <c r="CK447" s="39"/>
      <c r="CL447" s="39"/>
      <c r="CM447" s="39"/>
      <c r="CN447" s="39"/>
      <c r="CO447" s="39"/>
      <c r="CP447" s="39"/>
      <c r="CQ447" s="39"/>
    </row>
    <row r="448" spans="1:95" s="92" customFormat="1" ht="39.950000000000003" customHeight="1" x14ac:dyDescent="0.25">
      <c r="A448" s="229"/>
      <c r="B448" s="229"/>
      <c r="C448" s="229"/>
      <c r="D448" s="229"/>
      <c r="E448" s="229"/>
      <c r="F448" s="229"/>
      <c r="G448" s="229"/>
      <c r="H448" s="229"/>
      <c r="I448" s="68"/>
      <c r="J448" s="71"/>
      <c r="K448" s="229"/>
      <c r="L448" s="229"/>
      <c r="M448" s="229"/>
      <c r="N448" s="229"/>
      <c r="O448" s="229"/>
      <c r="P448" s="71"/>
      <c r="Q448" s="22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  <c r="BA448" s="39"/>
      <c r="BB448" s="39"/>
      <c r="BC448" s="39"/>
      <c r="BD448" s="39"/>
      <c r="BE448" s="39"/>
      <c r="BF448" s="39"/>
      <c r="BG448" s="39"/>
      <c r="BH448" s="39"/>
      <c r="BI448" s="39"/>
      <c r="BJ448" s="39"/>
      <c r="BK448" s="39"/>
      <c r="BL448" s="39"/>
      <c r="BM448" s="39"/>
      <c r="BN448" s="39"/>
      <c r="BO448" s="39"/>
      <c r="BP448" s="39"/>
      <c r="BQ448" s="39"/>
      <c r="BR448" s="39"/>
      <c r="BS448" s="39"/>
      <c r="BT448" s="39"/>
      <c r="BU448" s="39"/>
      <c r="BV448" s="39"/>
      <c r="BW448" s="39"/>
      <c r="BX448" s="39"/>
      <c r="BY448" s="39"/>
      <c r="BZ448" s="39"/>
      <c r="CA448" s="39"/>
      <c r="CB448" s="39"/>
      <c r="CC448" s="39"/>
      <c r="CD448" s="39"/>
      <c r="CE448" s="39"/>
      <c r="CF448" s="39"/>
      <c r="CG448" s="39"/>
      <c r="CH448" s="39"/>
      <c r="CI448" s="39"/>
      <c r="CJ448" s="39"/>
      <c r="CK448" s="39"/>
      <c r="CL448" s="39"/>
      <c r="CM448" s="39"/>
      <c r="CN448" s="39"/>
      <c r="CO448" s="39"/>
      <c r="CP448" s="39"/>
      <c r="CQ448" s="39"/>
    </row>
    <row r="449" spans="1:95" s="92" customFormat="1" ht="39.950000000000003" customHeight="1" x14ac:dyDescent="0.25">
      <c r="A449" s="229"/>
      <c r="B449" s="229"/>
      <c r="C449" s="229"/>
      <c r="D449" s="229"/>
      <c r="E449" s="229"/>
      <c r="F449" s="229"/>
      <c r="G449" s="229"/>
      <c r="H449" s="229"/>
      <c r="I449" s="68"/>
      <c r="J449" s="71"/>
      <c r="K449" s="229"/>
      <c r="L449" s="229"/>
      <c r="M449" s="229"/>
      <c r="N449" s="229"/>
      <c r="O449" s="229"/>
      <c r="P449" s="71"/>
      <c r="Q449" s="22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  <c r="BA449" s="39"/>
      <c r="BB449" s="39"/>
      <c r="BC449" s="39"/>
      <c r="BD449" s="39"/>
      <c r="BE449" s="39"/>
      <c r="BF449" s="39"/>
      <c r="BG449" s="39"/>
      <c r="BH449" s="39"/>
      <c r="BI449" s="39"/>
      <c r="BJ449" s="39"/>
      <c r="BK449" s="39"/>
      <c r="BL449" s="39"/>
      <c r="BM449" s="39"/>
      <c r="BN449" s="39"/>
      <c r="BO449" s="39"/>
      <c r="BP449" s="39"/>
      <c r="BQ449" s="39"/>
      <c r="BR449" s="39"/>
      <c r="BS449" s="39"/>
      <c r="BT449" s="39"/>
      <c r="BU449" s="39"/>
      <c r="BV449" s="39"/>
      <c r="BW449" s="39"/>
      <c r="BX449" s="39"/>
      <c r="BY449" s="39"/>
      <c r="BZ449" s="39"/>
      <c r="CA449" s="39"/>
      <c r="CB449" s="39"/>
      <c r="CC449" s="39"/>
      <c r="CD449" s="39"/>
      <c r="CE449" s="39"/>
      <c r="CF449" s="39"/>
      <c r="CG449" s="39"/>
      <c r="CH449" s="39"/>
      <c r="CI449" s="39"/>
      <c r="CJ449" s="39"/>
      <c r="CK449" s="39"/>
      <c r="CL449" s="39"/>
      <c r="CM449" s="39"/>
      <c r="CN449" s="39"/>
      <c r="CO449" s="39"/>
      <c r="CP449" s="39"/>
      <c r="CQ449" s="39"/>
    </row>
    <row r="450" spans="1:95" s="92" customFormat="1" ht="39.950000000000003" customHeight="1" x14ac:dyDescent="0.25">
      <c r="A450" s="229"/>
      <c r="B450" s="229"/>
      <c r="C450" s="229"/>
      <c r="D450" s="229"/>
      <c r="E450" s="229"/>
      <c r="F450" s="229"/>
      <c r="G450" s="229"/>
      <c r="H450" s="229"/>
      <c r="I450" s="68"/>
      <c r="J450" s="71"/>
      <c r="K450" s="229"/>
      <c r="L450" s="229"/>
      <c r="M450" s="229"/>
      <c r="N450" s="229"/>
      <c r="O450" s="229"/>
      <c r="P450" s="71"/>
      <c r="Q450" s="22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  <c r="BA450" s="39"/>
      <c r="BB450" s="39"/>
      <c r="BC450" s="39"/>
      <c r="BD450" s="39"/>
      <c r="BE450" s="39"/>
      <c r="BF450" s="39"/>
      <c r="BG450" s="39"/>
      <c r="BH450" s="39"/>
      <c r="BI450" s="39"/>
      <c r="BJ450" s="39"/>
      <c r="BK450" s="39"/>
      <c r="BL450" s="39"/>
      <c r="BM450" s="39"/>
      <c r="BN450" s="39"/>
      <c r="BO450" s="39"/>
      <c r="BP450" s="39"/>
      <c r="BQ450" s="39"/>
      <c r="BR450" s="39"/>
      <c r="BS450" s="39"/>
      <c r="BT450" s="39"/>
      <c r="BU450" s="39"/>
      <c r="BV450" s="39"/>
      <c r="BW450" s="39"/>
      <c r="BX450" s="39"/>
      <c r="BY450" s="39"/>
      <c r="BZ450" s="39"/>
      <c r="CA450" s="39"/>
      <c r="CB450" s="39"/>
      <c r="CC450" s="39"/>
      <c r="CD450" s="39"/>
      <c r="CE450" s="39"/>
      <c r="CF450" s="39"/>
      <c r="CG450" s="39"/>
      <c r="CH450" s="39"/>
      <c r="CI450" s="39"/>
      <c r="CJ450" s="39"/>
      <c r="CK450" s="39"/>
      <c r="CL450" s="39"/>
      <c r="CM450" s="39"/>
      <c r="CN450" s="39"/>
      <c r="CO450" s="39"/>
      <c r="CP450" s="39"/>
      <c r="CQ450" s="39"/>
    </row>
    <row r="451" spans="1:95" s="92" customFormat="1" ht="39.950000000000003" customHeight="1" x14ac:dyDescent="0.25">
      <c r="A451" s="229"/>
      <c r="B451" s="229"/>
      <c r="C451" s="229"/>
      <c r="D451" s="229"/>
      <c r="E451" s="229"/>
      <c r="F451" s="229"/>
      <c r="G451" s="229"/>
      <c r="H451" s="229"/>
      <c r="I451" s="68"/>
      <c r="J451" s="71"/>
      <c r="K451" s="229"/>
      <c r="L451" s="229"/>
      <c r="M451" s="229"/>
      <c r="N451" s="229"/>
      <c r="O451" s="229"/>
      <c r="P451" s="71"/>
      <c r="Q451" s="22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  <c r="BA451" s="39"/>
      <c r="BB451" s="39"/>
      <c r="BC451" s="39"/>
      <c r="BD451" s="39"/>
      <c r="BE451" s="39"/>
      <c r="BF451" s="39"/>
      <c r="BG451" s="39"/>
      <c r="BH451" s="39"/>
      <c r="BI451" s="39"/>
      <c r="BJ451" s="39"/>
      <c r="BK451" s="39"/>
      <c r="BL451" s="39"/>
      <c r="BM451" s="39"/>
      <c r="BN451" s="39"/>
      <c r="BO451" s="39"/>
      <c r="BP451" s="39"/>
      <c r="BQ451" s="39"/>
      <c r="BR451" s="39"/>
      <c r="BS451" s="39"/>
      <c r="BT451" s="39"/>
      <c r="BU451" s="39"/>
      <c r="BV451" s="39"/>
      <c r="BW451" s="39"/>
      <c r="BX451" s="39"/>
      <c r="BY451" s="39"/>
      <c r="BZ451" s="39"/>
      <c r="CA451" s="39"/>
      <c r="CB451" s="39"/>
      <c r="CC451" s="39"/>
      <c r="CD451" s="39"/>
      <c r="CE451" s="39"/>
      <c r="CF451" s="39"/>
      <c r="CG451" s="39"/>
      <c r="CH451" s="39"/>
      <c r="CI451" s="39"/>
      <c r="CJ451" s="39"/>
      <c r="CK451" s="39"/>
      <c r="CL451" s="39"/>
      <c r="CM451" s="39"/>
      <c r="CN451" s="39"/>
      <c r="CO451" s="39"/>
      <c r="CP451" s="39"/>
      <c r="CQ451" s="39"/>
    </row>
    <row r="452" spans="1:95" s="92" customFormat="1" ht="39.950000000000003" customHeight="1" x14ac:dyDescent="0.25">
      <c r="A452" s="229"/>
      <c r="B452" s="229"/>
      <c r="C452" s="229"/>
      <c r="D452" s="229"/>
      <c r="E452" s="229"/>
      <c r="F452" s="229"/>
      <c r="G452" s="229"/>
      <c r="H452" s="229"/>
      <c r="I452" s="68"/>
      <c r="J452" s="71"/>
      <c r="K452" s="229"/>
      <c r="L452" s="229"/>
      <c r="M452" s="229"/>
      <c r="N452" s="229"/>
      <c r="O452" s="229"/>
      <c r="P452" s="71"/>
      <c r="Q452" s="22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  <c r="BA452" s="39"/>
      <c r="BB452" s="39"/>
      <c r="BC452" s="39"/>
      <c r="BD452" s="39"/>
      <c r="BE452" s="39"/>
      <c r="BF452" s="39"/>
      <c r="BG452" s="39"/>
      <c r="BH452" s="39"/>
      <c r="BI452" s="39"/>
      <c r="BJ452" s="39"/>
      <c r="BK452" s="39"/>
      <c r="BL452" s="39"/>
      <c r="BM452" s="39"/>
      <c r="BN452" s="39"/>
      <c r="BO452" s="39"/>
      <c r="BP452" s="39"/>
      <c r="BQ452" s="39"/>
      <c r="BR452" s="39"/>
      <c r="BS452" s="39"/>
      <c r="BT452" s="39"/>
      <c r="BU452" s="39"/>
      <c r="BV452" s="39"/>
      <c r="BW452" s="39"/>
      <c r="BX452" s="39"/>
      <c r="BY452" s="39"/>
      <c r="BZ452" s="39"/>
      <c r="CA452" s="39"/>
      <c r="CB452" s="39"/>
      <c r="CC452" s="39"/>
      <c r="CD452" s="39"/>
      <c r="CE452" s="39"/>
      <c r="CF452" s="39"/>
      <c r="CG452" s="39"/>
      <c r="CH452" s="39"/>
      <c r="CI452" s="39"/>
      <c r="CJ452" s="39"/>
      <c r="CK452" s="39"/>
      <c r="CL452" s="39"/>
      <c r="CM452" s="39"/>
      <c r="CN452" s="39"/>
      <c r="CO452" s="39"/>
      <c r="CP452" s="39"/>
      <c r="CQ452" s="39"/>
    </row>
    <row r="453" spans="1:95" s="92" customFormat="1" ht="39.950000000000003" customHeight="1" x14ac:dyDescent="0.25">
      <c r="A453" s="229"/>
      <c r="B453" s="229"/>
      <c r="C453" s="229"/>
      <c r="D453" s="229"/>
      <c r="E453" s="229"/>
      <c r="F453" s="229"/>
      <c r="G453" s="229"/>
      <c r="H453" s="229"/>
      <c r="I453" s="68"/>
      <c r="J453" s="71"/>
      <c r="K453" s="229"/>
      <c r="L453" s="229"/>
      <c r="M453" s="229"/>
      <c r="N453" s="229"/>
      <c r="O453" s="229"/>
      <c r="P453" s="71"/>
      <c r="Q453" s="22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  <c r="BA453" s="39"/>
      <c r="BB453" s="39"/>
      <c r="BC453" s="39"/>
      <c r="BD453" s="39"/>
      <c r="BE453" s="39"/>
      <c r="BF453" s="39"/>
      <c r="BG453" s="39"/>
      <c r="BH453" s="39"/>
      <c r="BI453" s="39"/>
      <c r="BJ453" s="39"/>
      <c r="BK453" s="39"/>
      <c r="BL453" s="39"/>
      <c r="BM453" s="39"/>
      <c r="BN453" s="39"/>
      <c r="BO453" s="39"/>
      <c r="BP453" s="39"/>
      <c r="BQ453" s="39"/>
      <c r="BR453" s="39"/>
      <c r="BS453" s="39"/>
      <c r="BT453" s="39"/>
      <c r="BU453" s="39"/>
      <c r="BV453" s="39"/>
      <c r="BW453" s="39"/>
      <c r="BX453" s="39"/>
      <c r="BY453" s="39"/>
      <c r="BZ453" s="39"/>
      <c r="CA453" s="39"/>
      <c r="CB453" s="39"/>
      <c r="CC453" s="39"/>
      <c r="CD453" s="39"/>
      <c r="CE453" s="39"/>
      <c r="CF453" s="39"/>
      <c r="CG453" s="39"/>
      <c r="CH453" s="39"/>
      <c r="CI453" s="39"/>
      <c r="CJ453" s="39"/>
      <c r="CK453" s="39"/>
      <c r="CL453" s="39"/>
      <c r="CM453" s="39"/>
      <c r="CN453" s="39"/>
      <c r="CO453" s="39"/>
      <c r="CP453" s="39"/>
      <c r="CQ453" s="39"/>
    </row>
    <row r="454" spans="1:95" s="92" customFormat="1" ht="39.950000000000003" customHeight="1" x14ac:dyDescent="0.25">
      <c r="A454" s="229"/>
      <c r="B454" s="229"/>
      <c r="C454" s="229"/>
      <c r="D454" s="229"/>
      <c r="E454" s="229"/>
      <c r="F454" s="229"/>
      <c r="G454" s="229"/>
      <c r="H454" s="229"/>
      <c r="I454" s="68"/>
      <c r="J454" s="71"/>
      <c r="K454" s="229"/>
      <c r="L454" s="229"/>
      <c r="M454" s="229"/>
      <c r="N454" s="229"/>
      <c r="O454" s="229"/>
      <c r="P454" s="71"/>
      <c r="Q454" s="22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  <c r="BA454" s="39"/>
      <c r="BB454" s="39"/>
      <c r="BC454" s="39"/>
      <c r="BD454" s="39"/>
      <c r="BE454" s="39"/>
      <c r="BF454" s="39"/>
      <c r="BG454" s="39"/>
      <c r="BH454" s="39"/>
      <c r="BI454" s="39"/>
      <c r="BJ454" s="39"/>
      <c r="BK454" s="39"/>
      <c r="BL454" s="39"/>
      <c r="BM454" s="39"/>
      <c r="BN454" s="39"/>
      <c r="BO454" s="39"/>
      <c r="BP454" s="39"/>
      <c r="BQ454" s="39"/>
      <c r="BR454" s="39"/>
      <c r="BS454" s="39"/>
      <c r="BT454" s="39"/>
      <c r="BU454" s="39"/>
      <c r="BV454" s="39"/>
      <c r="BW454" s="39"/>
      <c r="BX454" s="39"/>
      <c r="BY454" s="39"/>
      <c r="BZ454" s="39"/>
      <c r="CA454" s="39"/>
      <c r="CB454" s="39"/>
      <c r="CC454" s="39"/>
      <c r="CD454" s="39"/>
      <c r="CE454" s="39"/>
      <c r="CF454" s="39"/>
      <c r="CG454" s="39"/>
      <c r="CH454" s="39"/>
      <c r="CI454" s="39"/>
      <c r="CJ454" s="39"/>
      <c r="CK454" s="39"/>
      <c r="CL454" s="39"/>
      <c r="CM454" s="39"/>
      <c r="CN454" s="39"/>
      <c r="CO454" s="39"/>
      <c r="CP454" s="39"/>
      <c r="CQ454" s="39"/>
    </row>
    <row r="455" spans="1:95" s="92" customFormat="1" ht="39.950000000000003" customHeight="1" x14ac:dyDescent="0.25">
      <c r="A455" s="229"/>
      <c r="B455" s="229"/>
      <c r="C455" s="229"/>
      <c r="D455" s="229"/>
      <c r="E455" s="229"/>
      <c r="F455" s="229"/>
      <c r="G455" s="229"/>
      <c r="H455" s="229"/>
      <c r="I455" s="68"/>
      <c r="J455" s="71"/>
      <c r="K455" s="229"/>
      <c r="L455" s="229"/>
      <c r="M455" s="229"/>
      <c r="N455" s="229"/>
      <c r="O455" s="229"/>
      <c r="P455" s="71"/>
      <c r="Q455" s="22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  <c r="BA455" s="39"/>
      <c r="BB455" s="39"/>
      <c r="BC455" s="39"/>
      <c r="BD455" s="39"/>
      <c r="BE455" s="39"/>
      <c r="BF455" s="39"/>
      <c r="BG455" s="39"/>
      <c r="BH455" s="39"/>
      <c r="BI455" s="39"/>
      <c r="BJ455" s="39"/>
      <c r="BK455" s="39"/>
      <c r="BL455" s="39"/>
      <c r="BM455" s="39"/>
      <c r="BN455" s="39"/>
      <c r="BO455" s="39"/>
      <c r="BP455" s="39"/>
      <c r="BQ455" s="39"/>
      <c r="BR455" s="39"/>
      <c r="BS455" s="39"/>
      <c r="BT455" s="39"/>
      <c r="BU455" s="39"/>
      <c r="BV455" s="39"/>
      <c r="BW455" s="39"/>
      <c r="BX455" s="39"/>
      <c r="BY455" s="39"/>
      <c r="BZ455" s="39"/>
      <c r="CA455" s="39"/>
      <c r="CB455" s="39"/>
      <c r="CC455" s="39"/>
      <c r="CD455" s="39"/>
      <c r="CE455" s="39"/>
      <c r="CF455" s="39"/>
      <c r="CG455" s="39"/>
      <c r="CH455" s="39"/>
      <c r="CI455" s="39"/>
      <c r="CJ455" s="39"/>
      <c r="CK455" s="39"/>
      <c r="CL455" s="39"/>
      <c r="CM455" s="39"/>
      <c r="CN455" s="39"/>
      <c r="CO455" s="39"/>
      <c r="CP455" s="39"/>
      <c r="CQ455" s="39"/>
    </row>
    <row r="456" spans="1:95" s="92" customFormat="1" ht="39.950000000000003" customHeight="1" x14ac:dyDescent="0.25">
      <c r="A456" s="229"/>
      <c r="B456" s="229"/>
      <c r="C456" s="229"/>
      <c r="D456" s="229"/>
      <c r="E456" s="229"/>
      <c r="F456" s="229"/>
      <c r="G456" s="229"/>
      <c r="H456" s="229"/>
      <c r="I456" s="68"/>
      <c r="J456" s="71"/>
      <c r="K456" s="229"/>
      <c r="L456" s="229"/>
      <c r="M456" s="229"/>
      <c r="N456" s="229"/>
      <c r="O456" s="229"/>
      <c r="P456" s="71"/>
      <c r="Q456" s="22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  <c r="BA456" s="39"/>
      <c r="BB456" s="39"/>
      <c r="BC456" s="39"/>
      <c r="BD456" s="39"/>
      <c r="BE456" s="39"/>
      <c r="BF456" s="39"/>
      <c r="BG456" s="39"/>
      <c r="BH456" s="39"/>
      <c r="BI456" s="39"/>
      <c r="BJ456" s="39"/>
      <c r="BK456" s="39"/>
      <c r="BL456" s="39"/>
      <c r="BM456" s="39"/>
      <c r="BN456" s="39"/>
      <c r="BO456" s="39"/>
      <c r="BP456" s="39"/>
      <c r="BQ456" s="39"/>
      <c r="BR456" s="39"/>
      <c r="BS456" s="39"/>
      <c r="BT456" s="39"/>
      <c r="BU456" s="39"/>
      <c r="BV456" s="39"/>
      <c r="BW456" s="39"/>
      <c r="BX456" s="39"/>
      <c r="BY456" s="39"/>
      <c r="BZ456" s="39"/>
      <c r="CA456" s="39"/>
      <c r="CB456" s="39"/>
      <c r="CC456" s="39"/>
      <c r="CD456" s="39"/>
      <c r="CE456" s="39"/>
      <c r="CF456" s="39"/>
      <c r="CG456" s="39"/>
      <c r="CH456" s="39"/>
      <c r="CI456" s="39"/>
      <c r="CJ456" s="39"/>
      <c r="CK456" s="39"/>
      <c r="CL456" s="39"/>
      <c r="CM456" s="39"/>
      <c r="CN456" s="39"/>
      <c r="CO456" s="39"/>
      <c r="CP456" s="39"/>
      <c r="CQ456" s="39"/>
    </row>
    <row r="457" spans="1:95" s="92" customFormat="1" ht="39.950000000000003" customHeight="1" x14ac:dyDescent="0.25">
      <c r="A457" s="229"/>
      <c r="B457" s="229"/>
      <c r="C457" s="229"/>
      <c r="D457" s="229"/>
      <c r="E457" s="229"/>
      <c r="F457" s="229"/>
      <c r="G457" s="229"/>
      <c r="H457" s="229"/>
      <c r="I457" s="68"/>
      <c r="J457" s="71"/>
      <c r="K457" s="229"/>
      <c r="L457" s="229"/>
      <c r="M457" s="229"/>
      <c r="N457" s="229"/>
      <c r="O457" s="229"/>
      <c r="P457" s="71"/>
      <c r="Q457" s="22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  <c r="BA457" s="39"/>
      <c r="BB457" s="39"/>
      <c r="BC457" s="39"/>
      <c r="BD457" s="39"/>
      <c r="BE457" s="39"/>
      <c r="BF457" s="39"/>
      <c r="BG457" s="39"/>
      <c r="BH457" s="39"/>
      <c r="BI457" s="39"/>
      <c r="BJ457" s="39"/>
      <c r="BK457" s="39"/>
      <c r="BL457" s="39"/>
      <c r="BM457" s="39"/>
      <c r="BN457" s="39"/>
      <c r="BO457" s="39"/>
      <c r="BP457" s="39"/>
      <c r="BQ457" s="39"/>
      <c r="BR457" s="39"/>
      <c r="BS457" s="39"/>
      <c r="BT457" s="39"/>
      <c r="BU457" s="39"/>
      <c r="BV457" s="39"/>
      <c r="BW457" s="39"/>
      <c r="BX457" s="39"/>
      <c r="BY457" s="39"/>
      <c r="BZ457" s="39"/>
      <c r="CA457" s="39"/>
      <c r="CB457" s="39"/>
      <c r="CC457" s="39"/>
      <c r="CD457" s="39"/>
      <c r="CE457" s="39"/>
      <c r="CF457" s="39"/>
      <c r="CG457" s="39"/>
      <c r="CH457" s="39"/>
      <c r="CI457" s="39"/>
      <c r="CJ457" s="39"/>
      <c r="CK457" s="39"/>
      <c r="CL457" s="39"/>
      <c r="CM457" s="39"/>
      <c r="CN457" s="39"/>
      <c r="CO457" s="39"/>
      <c r="CP457" s="39"/>
      <c r="CQ457" s="39"/>
    </row>
    <row r="458" spans="1:95" s="92" customFormat="1" ht="39.950000000000003" customHeight="1" x14ac:dyDescent="0.25">
      <c r="A458" s="229"/>
      <c r="B458" s="229"/>
      <c r="C458" s="229"/>
      <c r="D458" s="229"/>
      <c r="E458" s="229"/>
      <c r="F458" s="229"/>
      <c r="G458" s="229"/>
      <c r="H458" s="229"/>
      <c r="I458" s="68"/>
      <c r="J458" s="71"/>
      <c r="K458" s="229"/>
      <c r="L458" s="229"/>
      <c r="M458" s="229"/>
      <c r="N458" s="229"/>
      <c r="O458" s="229"/>
      <c r="P458" s="71"/>
      <c r="Q458" s="22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  <c r="BA458" s="39"/>
      <c r="BB458" s="39"/>
      <c r="BC458" s="39"/>
      <c r="BD458" s="39"/>
      <c r="BE458" s="39"/>
      <c r="BF458" s="39"/>
      <c r="BG458" s="39"/>
      <c r="BH458" s="39"/>
      <c r="BI458" s="39"/>
      <c r="BJ458" s="39"/>
      <c r="BK458" s="39"/>
      <c r="BL458" s="39"/>
      <c r="BM458" s="39"/>
      <c r="BN458" s="39"/>
      <c r="BO458" s="39"/>
      <c r="BP458" s="39"/>
      <c r="BQ458" s="39"/>
      <c r="BR458" s="39"/>
      <c r="BS458" s="39"/>
      <c r="BT458" s="39"/>
      <c r="BU458" s="39"/>
      <c r="BV458" s="39"/>
      <c r="BW458" s="39"/>
      <c r="BX458" s="39"/>
      <c r="BY458" s="39"/>
      <c r="BZ458" s="39"/>
      <c r="CA458" s="39"/>
      <c r="CB458" s="39"/>
      <c r="CC458" s="39"/>
      <c r="CD458" s="39"/>
      <c r="CE458" s="39"/>
      <c r="CF458" s="39"/>
      <c r="CG458" s="39"/>
      <c r="CH458" s="39"/>
      <c r="CI458" s="39"/>
      <c r="CJ458" s="39"/>
      <c r="CK458" s="39"/>
      <c r="CL458" s="39"/>
      <c r="CM458" s="39"/>
      <c r="CN458" s="39"/>
      <c r="CO458" s="39"/>
      <c r="CP458" s="39"/>
      <c r="CQ458" s="39"/>
    </row>
    <row r="459" spans="1:95" s="92" customFormat="1" ht="39.950000000000003" customHeight="1" x14ac:dyDescent="0.25">
      <c r="A459" s="229"/>
      <c r="B459" s="229"/>
      <c r="C459" s="229"/>
      <c r="D459" s="229"/>
      <c r="E459" s="229"/>
      <c r="F459" s="229"/>
      <c r="G459" s="229"/>
      <c r="H459" s="229"/>
      <c r="I459" s="68"/>
      <c r="J459" s="71"/>
      <c r="K459" s="229"/>
      <c r="L459" s="229"/>
      <c r="M459" s="229"/>
      <c r="N459" s="229"/>
      <c r="O459" s="229"/>
      <c r="P459" s="71"/>
      <c r="Q459" s="22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  <c r="BA459" s="39"/>
      <c r="BB459" s="39"/>
      <c r="BC459" s="39"/>
      <c r="BD459" s="39"/>
      <c r="BE459" s="39"/>
      <c r="BF459" s="39"/>
      <c r="BG459" s="39"/>
      <c r="BH459" s="39"/>
      <c r="BI459" s="39"/>
      <c r="BJ459" s="39"/>
      <c r="BK459" s="39"/>
      <c r="BL459" s="39"/>
      <c r="BM459" s="39"/>
      <c r="BN459" s="39"/>
      <c r="BO459" s="39"/>
      <c r="BP459" s="39"/>
      <c r="BQ459" s="39"/>
      <c r="BR459" s="39"/>
      <c r="BS459" s="39"/>
      <c r="BT459" s="39"/>
      <c r="BU459" s="39"/>
      <c r="BV459" s="39"/>
      <c r="BW459" s="39"/>
      <c r="BX459" s="39"/>
      <c r="BY459" s="39"/>
      <c r="BZ459" s="39"/>
      <c r="CA459" s="39"/>
      <c r="CB459" s="39"/>
      <c r="CC459" s="39"/>
      <c r="CD459" s="39"/>
      <c r="CE459" s="39"/>
      <c r="CF459" s="39"/>
      <c r="CG459" s="39"/>
      <c r="CH459" s="39"/>
      <c r="CI459" s="39"/>
      <c r="CJ459" s="39"/>
      <c r="CK459" s="39"/>
      <c r="CL459" s="39"/>
      <c r="CM459" s="39"/>
      <c r="CN459" s="39"/>
      <c r="CO459" s="39"/>
      <c r="CP459" s="39"/>
      <c r="CQ459" s="39"/>
    </row>
    <row r="460" spans="1:95" s="92" customFormat="1" ht="39.950000000000003" customHeight="1" x14ac:dyDescent="0.25">
      <c r="A460" s="229"/>
      <c r="B460" s="229"/>
      <c r="C460" s="229"/>
      <c r="D460" s="229"/>
      <c r="E460" s="229"/>
      <c r="F460" s="229"/>
      <c r="G460" s="229"/>
      <c r="H460" s="229"/>
      <c r="I460" s="68"/>
      <c r="J460" s="71"/>
      <c r="K460" s="229"/>
      <c r="L460" s="229"/>
      <c r="M460" s="229"/>
      <c r="N460" s="229"/>
      <c r="O460" s="229"/>
      <c r="P460" s="71"/>
      <c r="Q460" s="22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  <c r="BA460" s="39"/>
      <c r="BB460" s="39"/>
      <c r="BC460" s="39"/>
      <c r="BD460" s="39"/>
      <c r="BE460" s="39"/>
      <c r="BF460" s="39"/>
      <c r="BG460" s="39"/>
      <c r="BH460" s="39"/>
      <c r="BI460" s="39"/>
      <c r="BJ460" s="39"/>
      <c r="BK460" s="39"/>
      <c r="BL460" s="39"/>
      <c r="BM460" s="39"/>
      <c r="BN460" s="39"/>
      <c r="BO460" s="39"/>
      <c r="BP460" s="39"/>
      <c r="BQ460" s="39"/>
      <c r="BR460" s="39"/>
      <c r="BS460" s="39"/>
      <c r="BT460" s="39"/>
      <c r="BU460" s="39"/>
      <c r="BV460" s="39"/>
      <c r="BW460" s="39"/>
      <c r="BX460" s="39"/>
      <c r="BY460" s="39"/>
      <c r="BZ460" s="39"/>
      <c r="CA460" s="39"/>
      <c r="CB460" s="39"/>
      <c r="CC460" s="39"/>
      <c r="CD460" s="39"/>
      <c r="CE460" s="39"/>
      <c r="CF460" s="39"/>
      <c r="CG460" s="39"/>
      <c r="CH460" s="39"/>
      <c r="CI460" s="39"/>
      <c r="CJ460" s="39"/>
      <c r="CK460" s="39"/>
      <c r="CL460" s="39"/>
      <c r="CM460" s="39"/>
      <c r="CN460" s="39"/>
      <c r="CO460" s="39"/>
      <c r="CP460" s="39"/>
      <c r="CQ460" s="39"/>
    </row>
    <row r="461" spans="1:95" s="92" customFormat="1" ht="39.950000000000003" customHeight="1" x14ac:dyDescent="0.25">
      <c r="A461" s="229"/>
      <c r="B461" s="229"/>
      <c r="C461" s="229"/>
      <c r="D461" s="229"/>
      <c r="E461" s="229"/>
      <c r="F461" s="229"/>
      <c r="G461" s="229"/>
      <c r="H461" s="229"/>
      <c r="I461" s="68"/>
      <c r="J461" s="71"/>
      <c r="K461" s="229"/>
      <c r="L461" s="229"/>
      <c r="M461" s="229"/>
      <c r="N461" s="229"/>
      <c r="O461" s="229"/>
      <c r="P461" s="71"/>
      <c r="Q461" s="22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  <c r="BA461" s="39"/>
      <c r="BB461" s="39"/>
      <c r="BC461" s="39"/>
      <c r="BD461" s="39"/>
      <c r="BE461" s="39"/>
      <c r="BF461" s="39"/>
      <c r="BG461" s="39"/>
      <c r="BH461" s="39"/>
      <c r="BI461" s="39"/>
      <c r="BJ461" s="39"/>
      <c r="BK461" s="39"/>
      <c r="BL461" s="39"/>
      <c r="BM461" s="39"/>
      <c r="BN461" s="39"/>
      <c r="BO461" s="39"/>
      <c r="BP461" s="39"/>
      <c r="BQ461" s="39"/>
      <c r="BR461" s="39"/>
      <c r="BS461" s="39"/>
      <c r="BT461" s="39"/>
      <c r="BU461" s="39"/>
      <c r="BV461" s="39"/>
      <c r="BW461" s="39"/>
      <c r="BX461" s="39"/>
      <c r="BY461" s="39"/>
      <c r="BZ461" s="39"/>
      <c r="CA461" s="39"/>
      <c r="CB461" s="39"/>
      <c r="CC461" s="39"/>
      <c r="CD461" s="39"/>
      <c r="CE461" s="39"/>
      <c r="CF461" s="39"/>
      <c r="CG461" s="39"/>
      <c r="CH461" s="39"/>
      <c r="CI461" s="39"/>
      <c r="CJ461" s="39"/>
      <c r="CK461" s="39"/>
      <c r="CL461" s="39"/>
      <c r="CM461" s="39"/>
      <c r="CN461" s="39"/>
      <c r="CO461" s="39"/>
      <c r="CP461" s="39"/>
      <c r="CQ461" s="39"/>
    </row>
    <row r="462" spans="1:95" s="92" customFormat="1" ht="39.950000000000003" customHeight="1" x14ac:dyDescent="0.25">
      <c r="A462" s="229"/>
      <c r="B462" s="229"/>
      <c r="C462" s="229"/>
      <c r="D462" s="229"/>
      <c r="E462" s="229"/>
      <c r="F462" s="229"/>
      <c r="G462" s="229"/>
      <c r="H462" s="229"/>
      <c r="I462" s="68"/>
      <c r="J462" s="71"/>
      <c r="K462" s="229"/>
      <c r="L462" s="229"/>
      <c r="M462" s="229"/>
      <c r="N462" s="229"/>
      <c r="O462" s="229"/>
      <c r="P462" s="71"/>
      <c r="Q462" s="22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  <c r="BA462" s="39"/>
      <c r="BB462" s="39"/>
      <c r="BC462" s="39"/>
      <c r="BD462" s="39"/>
      <c r="BE462" s="39"/>
      <c r="BF462" s="39"/>
      <c r="BG462" s="39"/>
      <c r="BH462" s="39"/>
      <c r="BI462" s="39"/>
      <c r="BJ462" s="39"/>
      <c r="BK462" s="39"/>
      <c r="BL462" s="39"/>
      <c r="BM462" s="39"/>
      <c r="BN462" s="39"/>
      <c r="BO462" s="39"/>
      <c r="BP462" s="39"/>
      <c r="BQ462" s="39"/>
      <c r="BR462" s="39"/>
      <c r="BS462" s="39"/>
      <c r="BT462" s="39"/>
      <c r="BU462" s="39"/>
      <c r="BV462" s="39"/>
      <c r="BW462" s="39"/>
      <c r="BX462" s="39"/>
      <c r="BY462" s="39"/>
      <c r="BZ462" s="39"/>
      <c r="CA462" s="39"/>
      <c r="CB462" s="39"/>
      <c r="CC462" s="39"/>
      <c r="CD462" s="39"/>
      <c r="CE462" s="39"/>
      <c r="CF462" s="39"/>
      <c r="CG462" s="39"/>
      <c r="CH462" s="39"/>
      <c r="CI462" s="39"/>
      <c r="CJ462" s="39"/>
      <c r="CK462" s="39"/>
      <c r="CL462" s="39"/>
      <c r="CM462" s="39"/>
      <c r="CN462" s="39"/>
      <c r="CO462" s="39"/>
      <c r="CP462" s="39"/>
      <c r="CQ462" s="39"/>
    </row>
    <row r="463" spans="1:95" s="92" customFormat="1" ht="39.950000000000003" customHeight="1" x14ac:dyDescent="0.25">
      <c r="A463" s="229"/>
      <c r="B463" s="229"/>
      <c r="C463" s="229"/>
      <c r="D463" s="229"/>
      <c r="E463" s="229"/>
      <c r="F463" s="229"/>
      <c r="G463" s="229"/>
      <c r="H463" s="229"/>
      <c r="I463" s="68"/>
      <c r="J463" s="71"/>
      <c r="K463" s="229"/>
      <c r="L463" s="229"/>
      <c r="M463" s="229"/>
      <c r="N463" s="229"/>
      <c r="O463" s="229"/>
      <c r="P463" s="71"/>
      <c r="Q463" s="22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  <c r="BA463" s="39"/>
      <c r="BB463" s="39"/>
      <c r="BC463" s="39"/>
      <c r="BD463" s="39"/>
      <c r="BE463" s="39"/>
      <c r="BF463" s="39"/>
      <c r="BG463" s="39"/>
      <c r="BH463" s="39"/>
      <c r="BI463" s="39"/>
      <c r="BJ463" s="39"/>
      <c r="BK463" s="39"/>
      <c r="BL463" s="39"/>
      <c r="BM463" s="39"/>
      <c r="BN463" s="39"/>
      <c r="BO463" s="39"/>
      <c r="BP463" s="39"/>
      <c r="BQ463" s="39"/>
      <c r="BR463" s="39"/>
      <c r="BS463" s="39"/>
      <c r="BT463" s="39"/>
      <c r="BU463" s="39"/>
      <c r="BV463" s="39"/>
      <c r="BW463" s="39"/>
      <c r="BX463" s="39"/>
      <c r="BY463" s="39"/>
      <c r="BZ463" s="39"/>
      <c r="CA463" s="39"/>
      <c r="CB463" s="39"/>
      <c r="CC463" s="39"/>
      <c r="CD463" s="39"/>
      <c r="CE463" s="39"/>
      <c r="CF463" s="39"/>
      <c r="CG463" s="39"/>
      <c r="CH463" s="39"/>
      <c r="CI463" s="39"/>
      <c r="CJ463" s="39"/>
      <c r="CK463" s="39"/>
      <c r="CL463" s="39"/>
      <c r="CM463" s="39"/>
      <c r="CN463" s="39"/>
      <c r="CO463" s="39"/>
      <c r="CP463" s="39"/>
      <c r="CQ463" s="39"/>
    </row>
    <row r="464" spans="1:95" s="92" customFormat="1" ht="39.950000000000003" customHeight="1" x14ac:dyDescent="0.25">
      <c r="A464" s="229"/>
      <c r="B464" s="229"/>
      <c r="C464" s="229"/>
      <c r="D464" s="229"/>
      <c r="E464" s="229"/>
      <c r="F464" s="229"/>
      <c r="G464" s="229"/>
      <c r="H464" s="229"/>
      <c r="I464" s="68"/>
      <c r="J464" s="71"/>
      <c r="K464" s="229"/>
      <c r="L464" s="229"/>
      <c r="M464" s="229"/>
      <c r="N464" s="229"/>
      <c r="O464" s="229"/>
      <c r="P464" s="71"/>
      <c r="Q464" s="22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  <c r="BA464" s="39"/>
      <c r="BB464" s="39"/>
      <c r="BC464" s="39"/>
      <c r="BD464" s="39"/>
      <c r="BE464" s="39"/>
      <c r="BF464" s="39"/>
      <c r="BG464" s="39"/>
      <c r="BH464" s="39"/>
      <c r="BI464" s="39"/>
      <c r="BJ464" s="39"/>
      <c r="BK464" s="39"/>
      <c r="BL464" s="39"/>
      <c r="BM464" s="39"/>
      <c r="BN464" s="39"/>
      <c r="BO464" s="39"/>
      <c r="BP464" s="39"/>
      <c r="BQ464" s="39"/>
      <c r="BR464" s="39"/>
      <c r="BS464" s="39"/>
      <c r="BT464" s="39"/>
      <c r="BU464" s="39"/>
      <c r="BV464" s="39"/>
      <c r="BW464" s="39"/>
      <c r="BX464" s="39"/>
      <c r="BY464" s="39"/>
      <c r="BZ464" s="39"/>
      <c r="CA464" s="39"/>
      <c r="CB464" s="39"/>
      <c r="CC464" s="39"/>
      <c r="CD464" s="39"/>
      <c r="CE464" s="39"/>
      <c r="CF464" s="39"/>
      <c r="CG464" s="39"/>
      <c r="CH464" s="39"/>
      <c r="CI464" s="39"/>
      <c r="CJ464" s="39"/>
      <c r="CK464" s="39"/>
      <c r="CL464" s="39"/>
      <c r="CM464" s="39"/>
      <c r="CN464" s="39"/>
      <c r="CO464" s="39"/>
      <c r="CP464" s="39"/>
      <c r="CQ464" s="39"/>
    </row>
    <row r="465" spans="1:95" s="92" customFormat="1" ht="39.950000000000003" customHeight="1" x14ac:dyDescent="0.25">
      <c r="A465" s="229"/>
      <c r="B465" s="229"/>
      <c r="C465" s="229"/>
      <c r="D465" s="229"/>
      <c r="E465" s="229"/>
      <c r="F465" s="229"/>
      <c r="G465" s="229"/>
      <c r="H465" s="229"/>
      <c r="I465" s="68"/>
      <c r="J465" s="71"/>
      <c r="K465" s="229"/>
      <c r="L465" s="229"/>
      <c r="M465" s="229"/>
      <c r="N465" s="229"/>
      <c r="O465" s="229"/>
      <c r="P465" s="71"/>
      <c r="Q465" s="22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  <c r="BA465" s="39"/>
      <c r="BB465" s="39"/>
      <c r="BC465" s="39"/>
      <c r="BD465" s="39"/>
      <c r="BE465" s="39"/>
      <c r="BF465" s="39"/>
      <c r="BG465" s="39"/>
      <c r="BH465" s="39"/>
      <c r="BI465" s="39"/>
      <c r="BJ465" s="39"/>
      <c r="BK465" s="39"/>
      <c r="BL465" s="39"/>
      <c r="BM465" s="39"/>
      <c r="BN465" s="39"/>
      <c r="BO465" s="39"/>
      <c r="BP465" s="39"/>
      <c r="BQ465" s="39"/>
      <c r="BR465" s="39"/>
      <c r="BS465" s="39"/>
      <c r="BT465" s="39"/>
      <c r="BU465" s="39"/>
      <c r="BV465" s="39"/>
      <c r="BW465" s="39"/>
      <c r="BX465" s="39"/>
      <c r="BY465" s="39"/>
      <c r="BZ465" s="39"/>
      <c r="CA465" s="39"/>
      <c r="CB465" s="39"/>
      <c r="CC465" s="39"/>
      <c r="CD465" s="39"/>
      <c r="CE465" s="39"/>
      <c r="CF465" s="39"/>
      <c r="CG465" s="39"/>
      <c r="CH465" s="39"/>
      <c r="CI465" s="39"/>
      <c r="CJ465" s="39"/>
      <c r="CK465" s="39"/>
      <c r="CL465" s="39"/>
      <c r="CM465" s="39"/>
      <c r="CN465" s="39"/>
      <c r="CO465" s="39"/>
      <c r="CP465" s="39"/>
      <c r="CQ465" s="39"/>
    </row>
    <row r="466" spans="1:95" s="92" customFormat="1" ht="39.950000000000003" customHeight="1" x14ac:dyDescent="0.25">
      <c r="A466" s="229"/>
      <c r="B466" s="229"/>
      <c r="C466" s="229"/>
      <c r="D466" s="229"/>
      <c r="E466" s="229"/>
      <c r="F466" s="229"/>
      <c r="G466" s="229"/>
      <c r="H466" s="229"/>
      <c r="I466" s="68"/>
      <c r="J466" s="71"/>
      <c r="K466" s="229"/>
      <c r="L466" s="229"/>
      <c r="M466" s="229"/>
      <c r="N466" s="229"/>
      <c r="O466" s="229"/>
      <c r="P466" s="71"/>
      <c r="Q466" s="22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  <c r="BA466" s="39"/>
      <c r="BB466" s="39"/>
      <c r="BC466" s="39"/>
      <c r="BD466" s="39"/>
      <c r="BE466" s="39"/>
      <c r="BF466" s="39"/>
      <c r="BG466" s="39"/>
      <c r="BH466" s="39"/>
      <c r="BI466" s="39"/>
      <c r="BJ466" s="39"/>
      <c r="BK466" s="39"/>
      <c r="BL466" s="39"/>
      <c r="BM466" s="39"/>
      <c r="BN466" s="39"/>
      <c r="BO466" s="39"/>
      <c r="BP466" s="39"/>
      <c r="BQ466" s="39"/>
      <c r="BR466" s="39"/>
      <c r="BS466" s="39"/>
      <c r="BT466" s="39"/>
      <c r="BU466" s="39"/>
      <c r="BV466" s="39"/>
      <c r="BW466" s="39"/>
      <c r="BX466" s="39"/>
      <c r="BY466" s="39"/>
      <c r="BZ466" s="39"/>
      <c r="CA466" s="39"/>
      <c r="CB466" s="39"/>
      <c r="CC466" s="39"/>
      <c r="CD466" s="39"/>
      <c r="CE466" s="39"/>
      <c r="CF466" s="39"/>
      <c r="CG466" s="39"/>
      <c r="CH466" s="39"/>
      <c r="CI466" s="39"/>
      <c r="CJ466" s="39"/>
      <c r="CK466" s="39"/>
      <c r="CL466" s="39"/>
      <c r="CM466" s="39"/>
      <c r="CN466" s="39"/>
      <c r="CO466" s="39"/>
      <c r="CP466" s="39"/>
      <c r="CQ466" s="39"/>
    </row>
    <row r="467" spans="1:95" s="92" customFormat="1" ht="39.950000000000003" customHeight="1" x14ac:dyDescent="0.25">
      <c r="A467" s="229"/>
      <c r="B467" s="229"/>
      <c r="C467" s="229"/>
      <c r="D467" s="229"/>
      <c r="E467" s="229"/>
      <c r="F467" s="229"/>
      <c r="G467" s="229"/>
      <c r="H467" s="229"/>
      <c r="I467" s="68"/>
      <c r="J467" s="71"/>
      <c r="K467" s="229"/>
      <c r="L467" s="229"/>
      <c r="M467" s="229"/>
      <c r="N467" s="229"/>
      <c r="O467" s="229"/>
      <c r="P467" s="71"/>
      <c r="Q467" s="22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  <c r="BA467" s="39"/>
      <c r="BB467" s="39"/>
      <c r="BC467" s="39"/>
      <c r="BD467" s="39"/>
      <c r="BE467" s="39"/>
      <c r="BF467" s="39"/>
      <c r="BG467" s="39"/>
      <c r="BH467" s="39"/>
      <c r="BI467" s="39"/>
      <c r="BJ467" s="39"/>
      <c r="BK467" s="39"/>
      <c r="BL467" s="39"/>
      <c r="BM467" s="39"/>
      <c r="BN467" s="39"/>
      <c r="BO467" s="39"/>
      <c r="BP467" s="39"/>
      <c r="BQ467" s="39"/>
      <c r="BR467" s="39"/>
      <c r="BS467" s="39"/>
      <c r="BT467" s="39"/>
      <c r="BU467" s="39"/>
      <c r="BV467" s="39"/>
      <c r="BW467" s="39"/>
      <c r="BX467" s="39"/>
      <c r="BY467" s="39"/>
      <c r="BZ467" s="39"/>
      <c r="CA467" s="39"/>
      <c r="CB467" s="39"/>
      <c r="CC467" s="39"/>
      <c r="CD467" s="39"/>
      <c r="CE467" s="39"/>
      <c r="CF467" s="39"/>
      <c r="CG467" s="39"/>
      <c r="CH467" s="39"/>
      <c r="CI467" s="39"/>
      <c r="CJ467" s="39"/>
      <c r="CK467" s="39"/>
      <c r="CL467" s="39"/>
      <c r="CM467" s="39"/>
      <c r="CN467" s="39"/>
      <c r="CO467" s="39"/>
      <c r="CP467" s="39"/>
      <c r="CQ467" s="39"/>
    </row>
    <row r="468" spans="1:95" s="92" customFormat="1" ht="39.950000000000003" customHeight="1" x14ac:dyDescent="0.25">
      <c r="A468" s="229"/>
      <c r="B468" s="229"/>
      <c r="C468" s="229"/>
      <c r="D468" s="229"/>
      <c r="E468" s="229"/>
      <c r="F468" s="229"/>
      <c r="G468" s="229"/>
      <c r="H468" s="229"/>
      <c r="I468" s="68"/>
      <c r="J468" s="71"/>
      <c r="K468" s="229"/>
      <c r="L468" s="229"/>
      <c r="M468" s="229"/>
      <c r="N468" s="229"/>
      <c r="O468" s="229"/>
      <c r="P468" s="71"/>
      <c r="Q468" s="22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  <c r="BA468" s="39"/>
      <c r="BB468" s="39"/>
      <c r="BC468" s="39"/>
      <c r="BD468" s="39"/>
      <c r="BE468" s="39"/>
      <c r="BF468" s="39"/>
      <c r="BG468" s="39"/>
      <c r="BH468" s="39"/>
      <c r="BI468" s="39"/>
      <c r="BJ468" s="39"/>
      <c r="BK468" s="39"/>
      <c r="BL468" s="39"/>
      <c r="BM468" s="39"/>
      <c r="BN468" s="39"/>
      <c r="BO468" s="39"/>
      <c r="BP468" s="39"/>
      <c r="BQ468" s="39"/>
      <c r="BR468" s="39"/>
      <c r="BS468" s="39"/>
      <c r="BT468" s="39"/>
      <c r="BU468" s="39"/>
      <c r="BV468" s="39"/>
      <c r="BW468" s="39"/>
      <c r="BX468" s="39"/>
      <c r="BY468" s="39"/>
      <c r="BZ468" s="39"/>
      <c r="CA468" s="39"/>
      <c r="CB468" s="39"/>
      <c r="CC468" s="39"/>
      <c r="CD468" s="39"/>
      <c r="CE468" s="39"/>
      <c r="CF468" s="39"/>
      <c r="CG468" s="39"/>
      <c r="CH468" s="39"/>
      <c r="CI468" s="39"/>
      <c r="CJ468" s="39"/>
      <c r="CK468" s="39"/>
      <c r="CL468" s="39"/>
      <c r="CM468" s="39"/>
      <c r="CN468" s="39"/>
      <c r="CO468" s="39"/>
      <c r="CP468" s="39"/>
      <c r="CQ468" s="39"/>
    </row>
    <row r="469" spans="1:95" s="92" customFormat="1" ht="39.950000000000003" customHeight="1" x14ac:dyDescent="0.25">
      <c r="A469" s="229"/>
      <c r="B469" s="229"/>
      <c r="C469" s="229"/>
      <c r="D469" s="229"/>
      <c r="E469" s="229"/>
      <c r="F469" s="229"/>
      <c r="G469" s="229"/>
      <c r="H469" s="229"/>
      <c r="I469" s="68"/>
      <c r="J469" s="71"/>
      <c r="K469" s="229"/>
      <c r="L469" s="229"/>
      <c r="M469" s="229"/>
      <c r="N469" s="229"/>
      <c r="O469" s="229"/>
      <c r="P469" s="71"/>
      <c r="Q469" s="22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  <c r="BA469" s="39"/>
      <c r="BB469" s="39"/>
      <c r="BC469" s="39"/>
      <c r="BD469" s="39"/>
      <c r="BE469" s="39"/>
      <c r="BF469" s="39"/>
      <c r="BG469" s="39"/>
      <c r="BH469" s="39"/>
      <c r="BI469" s="39"/>
      <c r="BJ469" s="39"/>
      <c r="BK469" s="39"/>
      <c r="BL469" s="39"/>
      <c r="BM469" s="39"/>
      <c r="BN469" s="39"/>
      <c r="BO469" s="39"/>
      <c r="BP469" s="39"/>
      <c r="BQ469" s="39"/>
      <c r="BR469" s="39"/>
      <c r="BS469" s="39"/>
      <c r="BT469" s="39"/>
      <c r="BU469" s="39"/>
      <c r="BV469" s="39"/>
      <c r="BW469" s="39"/>
      <c r="BX469" s="39"/>
      <c r="BY469" s="39"/>
      <c r="BZ469" s="39"/>
      <c r="CA469" s="39"/>
      <c r="CB469" s="39"/>
      <c r="CC469" s="39"/>
      <c r="CD469" s="39"/>
      <c r="CE469" s="39"/>
      <c r="CF469" s="39"/>
      <c r="CG469" s="39"/>
      <c r="CH469" s="39"/>
      <c r="CI469" s="39"/>
      <c r="CJ469" s="39"/>
      <c r="CK469" s="39"/>
      <c r="CL469" s="39"/>
      <c r="CM469" s="39"/>
      <c r="CN469" s="39"/>
      <c r="CO469" s="39"/>
      <c r="CP469" s="39"/>
      <c r="CQ469" s="39"/>
    </row>
    <row r="470" spans="1:95" s="92" customFormat="1" ht="39.950000000000003" customHeight="1" x14ac:dyDescent="0.25">
      <c r="A470" s="229"/>
      <c r="B470" s="229"/>
      <c r="C470" s="229"/>
      <c r="D470" s="229"/>
      <c r="E470" s="229"/>
      <c r="F470" s="229"/>
      <c r="G470" s="229"/>
      <c r="H470" s="229"/>
      <c r="I470" s="68"/>
      <c r="J470" s="71"/>
      <c r="K470" s="229"/>
      <c r="L470" s="229"/>
      <c r="M470" s="229"/>
      <c r="N470" s="229"/>
      <c r="O470" s="229"/>
      <c r="P470" s="71"/>
      <c r="Q470" s="22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  <c r="BA470" s="39"/>
      <c r="BB470" s="39"/>
      <c r="BC470" s="39"/>
      <c r="BD470" s="39"/>
      <c r="BE470" s="39"/>
      <c r="BF470" s="39"/>
      <c r="BG470" s="39"/>
      <c r="BH470" s="39"/>
      <c r="BI470" s="39"/>
      <c r="BJ470" s="39"/>
      <c r="BK470" s="39"/>
      <c r="BL470" s="39"/>
      <c r="BM470" s="39"/>
      <c r="BN470" s="39"/>
      <c r="BO470" s="39"/>
      <c r="BP470" s="39"/>
      <c r="BQ470" s="39"/>
      <c r="BR470" s="39"/>
      <c r="BS470" s="39"/>
      <c r="BT470" s="39"/>
      <c r="BU470" s="39"/>
      <c r="BV470" s="39"/>
      <c r="BW470" s="39"/>
      <c r="BX470" s="39"/>
      <c r="BY470" s="39"/>
      <c r="BZ470" s="39"/>
      <c r="CA470" s="39"/>
      <c r="CB470" s="39"/>
      <c r="CC470" s="39"/>
      <c r="CD470" s="39"/>
      <c r="CE470" s="39"/>
      <c r="CF470" s="39"/>
      <c r="CG470" s="39"/>
      <c r="CH470" s="39"/>
      <c r="CI470" s="39"/>
      <c r="CJ470" s="39"/>
      <c r="CK470" s="39"/>
      <c r="CL470" s="39"/>
      <c r="CM470" s="39"/>
      <c r="CN470" s="39"/>
      <c r="CO470" s="39"/>
      <c r="CP470" s="39"/>
      <c r="CQ470" s="39"/>
    </row>
    <row r="471" spans="1:95" s="92" customFormat="1" ht="39.950000000000003" customHeight="1" x14ac:dyDescent="0.25">
      <c r="A471" s="229"/>
      <c r="B471" s="229"/>
      <c r="C471" s="229"/>
      <c r="D471" s="229"/>
      <c r="E471" s="229"/>
      <c r="F471" s="229"/>
      <c r="G471" s="229"/>
      <c r="H471" s="229"/>
      <c r="I471" s="68"/>
      <c r="J471" s="71"/>
      <c r="K471" s="229"/>
      <c r="L471" s="229"/>
      <c r="M471" s="229"/>
      <c r="N471" s="229"/>
      <c r="O471" s="229"/>
      <c r="P471" s="71"/>
      <c r="Q471" s="22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  <c r="BA471" s="39"/>
      <c r="BB471" s="39"/>
      <c r="BC471" s="39"/>
      <c r="BD471" s="39"/>
      <c r="BE471" s="39"/>
      <c r="BF471" s="39"/>
      <c r="BG471" s="39"/>
      <c r="BH471" s="39"/>
      <c r="BI471" s="39"/>
      <c r="BJ471" s="39"/>
      <c r="BK471" s="39"/>
      <c r="BL471" s="39"/>
      <c r="BM471" s="39"/>
      <c r="BN471" s="39"/>
      <c r="BO471" s="39"/>
      <c r="BP471" s="39"/>
      <c r="BQ471" s="39"/>
      <c r="BR471" s="39"/>
      <c r="BS471" s="39"/>
      <c r="BT471" s="39"/>
      <c r="BU471" s="39"/>
      <c r="BV471" s="39"/>
      <c r="BW471" s="39"/>
      <c r="BX471" s="39"/>
      <c r="BY471" s="39"/>
      <c r="BZ471" s="39"/>
      <c r="CA471" s="39"/>
      <c r="CB471" s="39"/>
      <c r="CC471" s="39"/>
      <c r="CD471" s="39"/>
      <c r="CE471" s="39"/>
      <c r="CF471" s="39"/>
      <c r="CG471" s="39"/>
      <c r="CH471" s="39"/>
      <c r="CI471" s="39"/>
      <c r="CJ471" s="39"/>
      <c r="CK471" s="39"/>
      <c r="CL471" s="39"/>
      <c r="CM471" s="39"/>
      <c r="CN471" s="39"/>
      <c r="CO471" s="39"/>
      <c r="CP471" s="39"/>
      <c r="CQ471" s="39"/>
    </row>
    <row r="472" spans="1:95" s="92" customFormat="1" ht="39.950000000000003" customHeight="1" x14ac:dyDescent="0.25">
      <c r="A472" s="229"/>
      <c r="B472" s="229"/>
      <c r="C472" s="229"/>
      <c r="D472" s="229"/>
      <c r="E472" s="229"/>
      <c r="F472" s="229"/>
      <c r="G472" s="229"/>
      <c r="H472" s="229"/>
      <c r="I472" s="68"/>
      <c r="J472" s="71"/>
      <c r="K472" s="229"/>
      <c r="L472" s="229"/>
      <c r="M472" s="229"/>
      <c r="N472" s="229"/>
      <c r="O472" s="229"/>
      <c r="P472" s="71"/>
      <c r="Q472" s="22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  <c r="BA472" s="39"/>
      <c r="BB472" s="39"/>
      <c r="BC472" s="39"/>
      <c r="BD472" s="39"/>
      <c r="BE472" s="39"/>
      <c r="BF472" s="39"/>
      <c r="BG472" s="39"/>
      <c r="BH472" s="39"/>
      <c r="BI472" s="39"/>
      <c r="BJ472" s="39"/>
      <c r="BK472" s="39"/>
      <c r="BL472" s="39"/>
      <c r="BM472" s="39"/>
      <c r="BN472" s="39"/>
      <c r="BO472" s="39"/>
      <c r="BP472" s="39"/>
      <c r="BQ472" s="39"/>
      <c r="BR472" s="39"/>
      <c r="BS472" s="39"/>
      <c r="BT472" s="39"/>
      <c r="BU472" s="39"/>
      <c r="BV472" s="39"/>
      <c r="BW472" s="39"/>
      <c r="BX472" s="39"/>
      <c r="BY472" s="39"/>
      <c r="BZ472" s="39"/>
      <c r="CA472" s="39"/>
      <c r="CB472" s="39"/>
      <c r="CC472" s="39"/>
      <c r="CD472" s="39"/>
      <c r="CE472" s="39"/>
      <c r="CF472" s="39"/>
      <c r="CG472" s="39"/>
      <c r="CH472" s="39"/>
      <c r="CI472" s="39"/>
      <c r="CJ472" s="39"/>
      <c r="CK472" s="39"/>
      <c r="CL472" s="39"/>
      <c r="CM472" s="39"/>
      <c r="CN472" s="39"/>
      <c r="CO472" s="39"/>
      <c r="CP472" s="39"/>
      <c r="CQ472" s="39"/>
    </row>
    <row r="473" spans="1:95" s="92" customFormat="1" ht="39.950000000000003" customHeight="1" x14ac:dyDescent="0.25">
      <c r="A473" s="229"/>
      <c r="B473" s="229"/>
      <c r="C473" s="229"/>
      <c r="D473" s="229"/>
      <c r="E473" s="229"/>
      <c r="F473" s="229"/>
      <c r="G473" s="229"/>
      <c r="H473" s="229"/>
      <c r="I473" s="68"/>
      <c r="J473" s="71"/>
      <c r="K473" s="229"/>
      <c r="L473" s="229"/>
      <c r="M473" s="229"/>
      <c r="N473" s="229"/>
      <c r="O473" s="229"/>
      <c r="P473" s="71"/>
      <c r="Q473" s="22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  <c r="BA473" s="39"/>
      <c r="BB473" s="39"/>
      <c r="BC473" s="39"/>
      <c r="BD473" s="39"/>
      <c r="BE473" s="39"/>
      <c r="BF473" s="39"/>
      <c r="BG473" s="39"/>
      <c r="BH473" s="39"/>
      <c r="BI473" s="39"/>
      <c r="BJ473" s="39"/>
      <c r="BK473" s="39"/>
      <c r="BL473" s="39"/>
      <c r="BM473" s="39"/>
      <c r="BN473" s="39"/>
      <c r="BO473" s="39"/>
      <c r="BP473" s="39"/>
      <c r="BQ473" s="39"/>
      <c r="BR473" s="39"/>
      <c r="BS473" s="39"/>
      <c r="BT473" s="39"/>
      <c r="BU473" s="39"/>
      <c r="BV473" s="39"/>
      <c r="BW473" s="39"/>
      <c r="BX473" s="39"/>
      <c r="BY473" s="39"/>
      <c r="BZ473" s="39"/>
      <c r="CA473" s="39"/>
      <c r="CB473" s="39"/>
      <c r="CC473" s="39"/>
      <c r="CD473" s="39"/>
      <c r="CE473" s="39"/>
      <c r="CF473" s="39"/>
      <c r="CG473" s="39"/>
      <c r="CH473" s="39"/>
      <c r="CI473" s="39"/>
      <c r="CJ473" s="39"/>
      <c r="CK473" s="39"/>
      <c r="CL473" s="39"/>
      <c r="CM473" s="39"/>
      <c r="CN473" s="39"/>
      <c r="CO473" s="39"/>
      <c r="CP473" s="39"/>
      <c r="CQ473" s="39"/>
    </row>
    <row r="474" spans="1:95" s="92" customFormat="1" ht="39.950000000000003" customHeight="1" x14ac:dyDescent="0.25">
      <c r="A474" s="229"/>
      <c r="B474" s="229"/>
      <c r="C474" s="229"/>
      <c r="D474" s="229"/>
      <c r="E474" s="229"/>
      <c r="F474" s="229"/>
      <c r="G474" s="229"/>
      <c r="H474" s="229"/>
      <c r="I474" s="68"/>
      <c r="J474" s="71"/>
      <c r="K474" s="229"/>
      <c r="L474" s="229"/>
      <c r="M474" s="229"/>
      <c r="N474" s="229"/>
      <c r="O474" s="229"/>
      <c r="P474" s="71"/>
      <c r="Q474" s="22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  <c r="BA474" s="39"/>
      <c r="BB474" s="39"/>
      <c r="BC474" s="39"/>
      <c r="BD474" s="39"/>
      <c r="BE474" s="39"/>
      <c r="BF474" s="39"/>
      <c r="BG474" s="39"/>
      <c r="BH474" s="39"/>
      <c r="BI474" s="39"/>
      <c r="BJ474" s="39"/>
      <c r="BK474" s="39"/>
      <c r="BL474" s="39"/>
      <c r="BM474" s="39"/>
      <c r="BN474" s="39"/>
      <c r="BO474" s="39"/>
      <c r="BP474" s="39"/>
      <c r="BQ474" s="39"/>
      <c r="BR474" s="39"/>
      <c r="BS474" s="39"/>
      <c r="BT474" s="39"/>
      <c r="BU474" s="39"/>
      <c r="BV474" s="39"/>
      <c r="BW474" s="39"/>
      <c r="BX474" s="39"/>
      <c r="BY474" s="39"/>
      <c r="BZ474" s="39"/>
      <c r="CA474" s="39"/>
      <c r="CB474" s="39"/>
      <c r="CC474" s="39"/>
      <c r="CD474" s="39"/>
      <c r="CE474" s="39"/>
      <c r="CF474" s="39"/>
      <c r="CG474" s="39"/>
      <c r="CH474" s="39"/>
      <c r="CI474" s="39"/>
      <c r="CJ474" s="39"/>
      <c r="CK474" s="39"/>
      <c r="CL474" s="39"/>
      <c r="CM474" s="39"/>
      <c r="CN474" s="39"/>
      <c r="CO474" s="39"/>
      <c r="CP474" s="39"/>
      <c r="CQ474" s="39"/>
    </row>
    <row r="475" spans="1:95" s="92" customFormat="1" ht="39.950000000000003" customHeight="1" x14ac:dyDescent="0.25">
      <c r="A475" s="229"/>
      <c r="B475" s="229"/>
      <c r="C475" s="229"/>
      <c r="D475" s="229"/>
      <c r="E475" s="229"/>
      <c r="F475" s="229"/>
      <c r="G475" s="229"/>
      <c r="H475" s="229"/>
      <c r="I475" s="68"/>
      <c r="J475" s="71"/>
      <c r="K475" s="229"/>
      <c r="L475" s="229"/>
      <c r="M475" s="229"/>
      <c r="N475" s="229"/>
      <c r="O475" s="229"/>
      <c r="P475" s="71"/>
      <c r="Q475" s="22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  <c r="BA475" s="39"/>
      <c r="BB475" s="39"/>
      <c r="BC475" s="39"/>
      <c r="BD475" s="39"/>
      <c r="BE475" s="39"/>
      <c r="BF475" s="39"/>
      <c r="BG475" s="39"/>
      <c r="BH475" s="39"/>
      <c r="BI475" s="39"/>
      <c r="BJ475" s="39"/>
      <c r="BK475" s="39"/>
      <c r="BL475" s="39"/>
      <c r="BM475" s="39"/>
      <c r="BN475" s="39"/>
      <c r="BO475" s="39"/>
      <c r="BP475" s="39"/>
      <c r="BQ475" s="39"/>
      <c r="BR475" s="39"/>
      <c r="BS475" s="39"/>
      <c r="BT475" s="39"/>
      <c r="BU475" s="39"/>
      <c r="BV475" s="39"/>
      <c r="BW475" s="39"/>
      <c r="BX475" s="39"/>
      <c r="BY475" s="39"/>
      <c r="BZ475" s="39"/>
      <c r="CA475" s="39"/>
      <c r="CB475" s="39"/>
      <c r="CC475" s="39"/>
      <c r="CD475" s="39"/>
      <c r="CE475" s="39"/>
      <c r="CF475" s="39"/>
      <c r="CG475" s="39"/>
      <c r="CH475" s="39"/>
      <c r="CI475" s="39"/>
      <c r="CJ475" s="39"/>
      <c r="CK475" s="39"/>
      <c r="CL475" s="39"/>
      <c r="CM475" s="39"/>
      <c r="CN475" s="39"/>
      <c r="CO475" s="39"/>
      <c r="CP475" s="39"/>
      <c r="CQ475" s="39"/>
    </row>
    <row r="476" spans="1:95" s="92" customFormat="1" ht="39.950000000000003" customHeight="1" x14ac:dyDescent="0.25">
      <c r="A476" s="229"/>
      <c r="B476" s="229"/>
      <c r="C476" s="229"/>
      <c r="D476" s="229"/>
      <c r="E476" s="229"/>
      <c r="F476" s="229"/>
      <c r="G476" s="229"/>
      <c r="H476" s="229"/>
      <c r="I476" s="68"/>
      <c r="J476" s="71"/>
      <c r="K476" s="229"/>
      <c r="L476" s="229"/>
      <c r="M476" s="229"/>
      <c r="N476" s="229"/>
      <c r="O476" s="229"/>
      <c r="P476" s="71"/>
      <c r="Q476" s="22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  <c r="BA476" s="39"/>
      <c r="BB476" s="39"/>
      <c r="BC476" s="39"/>
      <c r="BD476" s="39"/>
      <c r="BE476" s="39"/>
      <c r="BF476" s="39"/>
      <c r="BG476" s="39"/>
      <c r="BH476" s="39"/>
      <c r="BI476" s="39"/>
      <c r="BJ476" s="39"/>
      <c r="BK476" s="39"/>
      <c r="BL476" s="39"/>
      <c r="BM476" s="39"/>
      <c r="BN476" s="39"/>
      <c r="BO476" s="39"/>
      <c r="BP476" s="39"/>
      <c r="BQ476" s="39"/>
      <c r="BR476" s="39"/>
      <c r="BS476" s="39"/>
      <c r="BT476" s="39"/>
      <c r="BU476" s="39"/>
      <c r="BV476" s="39"/>
      <c r="BW476" s="39"/>
      <c r="BX476" s="39"/>
      <c r="BY476" s="39"/>
      <c r="BZ476" s="39"/>
      <c r="CA476" s="39"/>
      <c r="CB476" s="39"/>
      <c r="CC476" s="39"/>
      <c r="CD476" s="39"/>
      <c r="CE476" s="39"/>
      <c r="CF476" s="39"/>
      <c r="CG476" s="39"/>
      <c r="CH476" s="39"/>
      <c r="CI476" s="39"/>
      <c r="CJ476" s="39"/>
      <c r="CK476" s="39"/>
      <c r="CL476" s="39"/>
      <c r="CM476" s="39"/>
      <c r="CN476" s="39"/>
      <c r="CO476" s="39"/>
      <c r="CP476" s="39"/>
      <c r="CQ476" s="39"/>
    </row>
    <row r="477" spans="1:95" s="92" customFormat="1" ht="39.950000000000003" customHeight="1" x14ac:dyDescent="0.25">
      <c r="A477" s="229"/>
      <c r="B477" s="229"/>
      <c r="C477" s="229"/>
      <c r="D477" s="229"/>
      <c r="E477" s="229"/>
      <c r="F477" s="229"/>
      <c r="G477" s="229"/>
      <c r="H477" s="229"/>
      <c r="I477" s="68"/>
      <c r="J477" s="71"/>
      <c r="K477" s="229"/>
      <c r="L477" s="229"/>
      <c r="M477" s="229"/>
      <c r="N477" s="229"/>
      <c r="O477" s="229"/>
      <c r="P477" s="71"/>
      <c r="Q477" s="22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  <c r="BA477" s="39"/>
      <c r="BB477" s="39"/>
      <c r="BC477" s="39"/>
      <c r="BD477" s="39"/>
      <c r="BE477" s="39"/>
      <c r="BF477" s="39"/>
      <c r="BG477" s="39"/>
      <c r="BH477" s="39"/>
      <c r="BI477" s="39"/>
      <c r="BJ477" s="39"/>
      <c r="BK477" s="39"/>
      <c r="BL477" s="39"/>
      <c r="BM477" s="39"/>
      <c r="BN477" s="39"/>
      <c r="BO477" s="39"/>
      <c r="BP477" s="39"/>
      <c r="BQ477" s="39"/>
      <c r="BR477" s="39"/>
      <c r="BS477" s="39"/>
      <c r="BT477" s="39"/>
      <c r="BU477" s="39"/>
      <c r="BV477" s="39"/>
      <c r="BW477" s="39"/>
      <c r="BX477" s="39"/>
      <c r="BY477" s="39"/>
      <c r="BZ477" s="39"/>
      <c r="CA477" s="39"/>
      <c r="CB477" s="39"/>
      <c r="CC477" s="39"/>
      <c r="CD477" s="39"/>
      <c r="CE477" s="39"/>
      <c r="CF477" s="39"/>
      <c r="CG477" s="39"/>
      <c r="CH477" s="39"/>
      <c r="CI477" s="39"/>
      <c r="CJ477" s="39"/>
      <c r="CK477" s="39"/>
      <c r="CL477" s="39"/>
      <c r="CM477" s="39"/>
      <c r="CN477" s="39"/>
      <c r="CO477" s="39"/>
      <c r="CP477" s="39"/>
      <c r="CQ477" s="39"/>
    </row>
    <row r="478" spans="1:95" s="92" customFormat="1" ht="39.950000000000003" customHeight="1" x14ac:dyDescent="0.25">
      <c r="A478" s="229"/>
      <c r="B478" s="229"/>
      <c r="C478" s="229"/>
      <c r="D478" s="229"/>
      <c r="E478" s="229"/>
      <c r="F478" s="229"/>
      <c r="G478" s="229"/>
      <c r="H478" s="229"/>
      <c r="I478" s="68"/>
      <c r="J478" s="71"/>
      <c r="K478" s="229"/>
      <c r="L478" s="229"/>
      <c r="M478" s="229"/>
      <c r="N478" s="229"/>
      <c r="O478" s="229"/>
      <c r="P478" s="71"/>
      <c r="Q478" s="22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  <c r="BA478" s="39"/>
      <c r="BB478" s="39"/>
      <c r="BC478" s="39"/>
      <c r="BD478" s="39"/>
      <c r="BE478" s="39"/>
      <c r="BF478" s="39"/>
      <c r="BG478" s="39"/>
      <c r="BH478" s="39"/>
      <c r="BI478" s="39"/>
      <c r="BJ478" s="39"/>
      <c r="BK478" s="39"/>
      <c r="BL478" s="39"/>
      <c r="BM478" s="39"/>
      <c r="BN478" s="39"/>
      <c r="BO478" s="39"/>
      <c r="BP478" s="39"/>
      <c r="BQ478" s="39"/>
      <c r="BR478" s="39"/>
      <c r="BS478" s="39"/>
      <c r="BT478" s="39"/>
      <c r="BU478" s="39"/>
      <c r="BV478" s="39"/>
      <c r="BW478" s="39"/>
      <c r="BX478" s="39"/>
      <c r="BY478" s="39"/>
      <c r="BZ478" s="39"/>
      <c r="CA478" s="39"/>
      <c r="CB478" s="39"/>
      <c r="CC478" s="39"/>
      <c r="CD478" s="39"/>
      <c r="CE478" s="39"/>
      <c r="CF478" s="39"/>
      <c r="CG478" s="39"/>
      <c r="CH478" s="39"/>
      <c r="CI478" s="39"/>
      <c r="CJ478" s="39"/>
      <c r="CK478" s="39"/>
      <c r="CL478" s="39"/>
      <c r="CM478" s="39"/>
      <c r="CN478" s="39"/>
      <c r="CO478" s="39"/>
      <c r="CP478" s="39"/>
      <c r="CQ478" s="39"/>
    </row>
    <row r="479" spans="1:95" s="92" customFormat="1" ht="39.950000000000003" customHeight="1" x14ac:dyDescent="0.25">
      <c r="A479" s="229"/>
      <c r="B479" s="229"/>
      <c r="C479" s="229"/>
      <c r="D479" s="229"/>
      <c r="E479" s="229"/>
      <c r="F479" s="229"/>
      <c r="G479" s="229"/>
      <c r="H479" s="229"/>
      <c r="I479" s="68"/>
      <c r="J479" s="71"/>
      <c r="K479" s="229"/>
      <c r="L479" s="229"/>
      <c r="M479" s="229"/>
      <c r="N479" s="229"/>
      <c r="O479" s="229"/>
      <c r="P479" s="71"/>
      <c r="Q479" s="22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  <c r="BA479" s="39"/>
      <c r="BB479" s="39"/>
      <c r="BC479" s="39"/>
      <c r="BD479" s="39"/>
      <c r="BE479" s="39"/>
      <c r="BF479" s="39"/>
      <c r="BG479" s="39"/>
      <c r="BH479" s="39"/>
      <c r="BI479" s="39"/>
      <c r="BJ479" s="39"/>
      <c r="BK479" s="39"/>
      <c r="BL479" s="39"/>
      <c r="BM479" s="39"/>
      <c r="BN479" s="39"/>
      <c r="BO479" s="39"/>
      <c r="BP479" s="39"/>
      <c r="BQ479" s="39"/>
      <c r="BR479" s="39"/>
      <c r="BS479" s="39"/>
      <c r="BT479" s="39"/>
      <c r="BU479" s="39"/>
      <c r="BV479" s="39"/>
      <c r="BW479" s="39"/>
      <c r="BX479" s="39"/>
      <c r="BY479" s="39"/>
      <c r="BZ479" s="39"/>
      <c r="CA479" s="39"/>
      <c r="CB479" s="39"/>
      <c r="CC479" s="39"/>
      <c r="CD479" s="39"/>
      <c r="CE479" s="39"/>
      <c r="CF479" s="39"/>
      <c r="CG479" s="39"/>
      <c r="CH479" s="39"/>
      <c r="CI479" s="39"/>
      <c r="CJ479" s="39"/>
      <c r="CK479" s="39"/>
      <c r="CL479" s="39"/>
      <c r="CM479" s="39"/>
      <c r="CN479" s="39"/>
      <c r="CO479" s="39"/>
      <c r="CP479" s="39"/>
      <c r="CQ479" s="39"/>
    </row>
    <row r="480" spans="1:95" s="92" customFormat="1" ht="39.950000000000003" customHeight="1" x14ac:dyDescent="0.25">
      <c r="A480" s="229"/>
      <c r="B480" s="229"/>
      <c r="C480" s="229"/>
      <c r="D480" s="229"/>
      <c r="E480" s="229"/>
      <c r="F480" s="229"/>
      <c r="G480" s="229"/>
      <c r="H480" s="229"/>
      <c r="I480" s="68"/>
      <c r="J480" s="71"/>
      <c r="K480" s="229"/>
      <c r="L480" s="229"/>
      <c r="M480" s="229"/>
      <c r="N480" s="229"/>
      <c r="O480" s="229"/>
      <c r="P480" s="71"/>
      <c r="Q480" s="22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  <c r="BA480" s="39"/>
      <c r="BB480" s="39"/>
      <c r="BC480" s="39"/>
      <c r="BD480" s="39"/>
      <c r="BE480" s="39"/>
      <c r="BF480" s="39"/>
      <c r="BG480" s="39"/>
      <c r="BH480" s="39"/>
      <c r="BI480" s="39"/>
      <c r="BJ480" s="39"/>
      <c r="BK480" s="39"/>
      <c r="BL480" s="39"/>
      <c r="BM480" s="39"/>
      <c r="BN480" s="39"/>
      <c r="BO480" s="39"/>
      <c r="BP480" s="39"/>
      <c r="BQ480" s="39"/>
      <c r="BR480" s="39"/>
      <c r="BS480" s="39"/>
      <c r="BT480" s="39"/>
      <c r="BU480" s="39"/>
      <c r="BV480" s="39"/>
      <c r="BW480" s="39"/>
      <c r="BX480" s="39"/>
      <c r="BY480" s="39"/>
      <c r="BZ480" s="39"/>
      <c r="CA480" s="39"/>
      <c r="CB480" s="39"/>
      <c r="CC480" s="39"/>
      <c r="CD480" s="39"/>
      <c r="CE480" s="39"/>
      <c r="CF480" s="39"/>
      <c r="CG480" s="39"/>
      <c r="CH480" s="39"/>
      <c r="CI480" s="39"/>
      <c r="CJ480" s="39"/>
      <c r="CK480" s="39"/>
      <c r="CL480" s="39"/>
      <c r="CM480" s="39"/>
      <c r="CN480" s="39"/>
      <c r="CO480" s="39"/>
      <c r="CP480" s="39"/>
      <c r="CQ480" s="39"/>
    </row>
    <row r="481" spans="1:95" s="92" customFormat="1" ht="39.950000000000003" customHeight="1" x14ac:dyDescent="0.25">
      <c r="A481" s="229"/>
      <c r="B481" s="229"/>
      <c r="C481" s="229"/>
      <c r="D481" s="229"/>
      <c r="E481" s="229"/>
      <c r="F481" s="229"/>
      <c r="G481" s="229"/>
      <c r="H481" s="229"/>
      <c r="I481" s="68"/>
      <c r="J481" s="71"/>
      <c r="K481" s="229"/>
      <c r="L481" s="229"/>
      <c r="M481" s="229"/>
      <c r="N481" s="229"/>
      <c r="O481" s="229"/>
      <c r="P481" s="71"/>
      <c r="Q481" s="22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  <c r="BA481" s="39"/>
      <c r="BB481" s="39"/>
      <c r="BC481" s="39"/>
      <c r="BD481" s="39"/>
      <c r="BE481" s="39"/>
      <c r="BF481" s="39"/>
      <c r="BG481" s="39"/>
      <c r="BH481" s="39"/>
      <c r="BI481" s="39"/>
      <c r="BJ481" s="39"/>
      <c r="BK481" s="39"/>
      <c r="BL481" s="39"/>
      <c r="BM481" s="39"/>
      <c r="BN481" s="39"/>
      <c r="BO481" s="39"/>
      <c r="BP481" s="39"/>
      <c r="BQ481" s="39"/>
      <c r="BR481" s="39"/>
      <c r="BS481" s="39"/>
      <c r="BT481" s="39"/>
      <c r="BU481" s="39"/>
      <c r="BV481" s="39"/>
      <c r="BW481" s="39"/>
      <c r="BX481" s="39"/>
      <c r="BY481" s="39"/>
      <c r="BZ481" s="39"/>
      <c r="CA481" s="39"/>
      <c r="CB481" s="39"/>
      <c r="CC481" s="39"/>
      <c r="CD481" s="39"/>
      <c r="CE481" s="39"/>
      <c r="CF481" s="39"/>
      <c r="CG481" s="39"/>
      <c r="CH481" s="39"/>
      <c r="CI481" s="39"/>
      <c r="CJ481" s="39"/>
      <c r="CK481" s="39"/>
      <c r="CL481" s="39"/>
      <c r="CM481" s="39"/>
      <c r="CN481" s="39"/>
      <c r="CO481" s="39"/>
      <c r="CP481" s="39"/>
      <c r="CQ481" s="39"/>
    </row>
    <row r="482" spans="1:95" s="92" customFormat="1" ht="39.950000000000003" customHeight="1" x14ac:dyDescent="0.25">
      <c r="A482" s="229"/>
      <c r="B482" s="229"/>
      <c r="C482" s="229"/>
      <c r="D482" s="229"/>
      <c r="E482" s="229"/>
      <c r="F482" s="229"/>
      <c r="G482" s="229"/>
      <c r="H482" s="229"/>
      <c r="I482" s="68"/>
      <c r="J482" s="71"/>
      <c r="K482" s="229"/>
      <c r="L482" s="229"/>
      <c r="M482" s="229"/>
      <c r="N482" s="229"/>
      <c r="O482" s="229"/>
      <c r="P482" s="71"/>
      <c r="Q482" s="22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  <c r="BA482" s="39"/>
      <c r="BB482" s="39"/>
      <c r="BC482" s="39"/>
      <c r="BD482" s="39"/>
      <c r="BE482" s="39"/>
      <c r="BF482" s="39"/>
      <c r="BG482" s="39"/>
      <c r="BH482" s="39"/>
      <c r="BI482" s="39"/>
      <c r="BJ482" s="39"/>
      <c r="BK482" s="39"/>
      <c r="BL482" s="39"/>
      <c r="BM482" s="39"/>
      <c r="BN482" s="39"/>
      <c r="BO482" s="39"/>
      <c r="BP482" s="39"/>
      <c r="BQ482" s="39"/>
      <c r="BR482" s="39"/>
      <c r="BS482" s="39"/>
      <c r="BT482" s="39"/>
      <c r="BU482" s="39"/>
      <c r="BV482" s="39"/>
      <c r="BW482" s="39"/>
      <c r="BX482" s="39"/>
      <c r="BY482" s="39"/>
      <c r="BZ482" s="39"/>
      <c r="CA482" s="39"/>
      <c r="CB482" s="39"/>
      <c r="CC482" s="39"/>
      <c r="CD482" s="39"/>
      <c r="CE482" s="39"/>
      <c r="CF482" s="39"/>
      <c r="CG482" s="39"/>
      <c r="CH482" s="39"/>
      <c r="CI482" s="39"/>
      <c r="CJ482" s="39"/>
      <c r="CK482" s="39"/>
      <c r="CL482" s="39"/>
      <c r="CM482" s="39"/>
      <c r="CN482" s="39"/>
      <c r="CO482" s="39"/>
      <c r="CP482" s="39"/>
      <c r="CQ482" s="39"/>
    </row>
    <row r="483" spans="1:95" s="92" customFormat="1" ht="39.950000000000003" customHeight="1" x14ac:dyDescent="0.25">
      <c r="A483" s="229"/>
      <c r="B483" s="229"/>
      <c r="C483" s="229"/>
      <c r="D483" s="229"/>
      <c r="E483" s="229"/>
      <c r="F483" s="229"/>
      <c r="G483" s="229"/>
      <c r="H483" s="229"/>
      <c r="I483" s="68"/>
      <c r="J483" s="71"/>
      <c r="K483" s="229"/>
      <c r="L483" s="229"/>
      <c r="M483" s="229"/>
      <c r="N483" s="229"/>
      <c r="O483" s="229"/>
      <c r="P483" s="71"/>
      <c r="Q483" s="22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  <c r="BA483" s="39"/>
      <c r="BB483" s="39"/>
      <c r="BC483" s="39"/>
      <c r="BD483" s="39"/>
      <c r="BE483" s="39"/>
      <c r="BF483" s="39"/>
      <c r="BG483" s="39"/>
      <c r="BH483" s="39"/>
      <c r="BI483" s="39"/>
      <c r="BJ483" s="39"/>
      <c r="BK483" s="39"/>
      <c r="BL483" s="39"/>
      <c r="BM483" s="39"/>
      <c r="BN483" s="39"/>
      <c r="BO483" s="39"/>
      <c r="BP483" s="39"/>
      <c r="BQ483" s="39"/>
      <c r="BR483" s="39"/>
      <c r="BS483" s="39"/>
      <c r="BT483" s="39"/>
      <c r="BU483" s="39"/>
      <c r="BV483" s="39"/>
      <c r="BW483" s="39"/>
      <c r="BX483" s="39"/>
      <c r="BY483" s="39"/>
      <c r="BZ483" s="39"/>
      <c r="CA483" s="39"/>
      <c r="CB483" s="39"/>
      <c r="CC483" s="39"/>
      <c r="CD483" s="39"/>
      <c r="CE483" s="39"/>
      <c r="CF483" s="39"/>
      <c r="CG483" s="39"/>
      <c r="CH483" s="39"/>
      <c r="CI483" s="39"/>
      <c r="CJ483" s="39"/>
      <c r="CK483" s="39"/>
      <c r="CL483" s="39"/>
      <c r="CM483" s="39"/>
      <c r="CN483" s="39"/>
      <c r="CO483" s="39"/>
      <c r="CP483" s="39"/>
      <c r="CQ483" s="39"/>
    </row>
    <row r="484" spans="1:95" s="92" customFormat="1" ht="39.950000000000003" customHeight="1" x14ac:dyDescent="0.25">
      <c r="A484" s="229"/>
      <c r="B484" s="229"/>
      <c r="C484" s="229"/>
      <c r="D484" s="229"/>
      <c r="E484" s="229"/>
      <c r="F484" s="229"/>
      <c r="G484" s="229"/>
      <c r="H484" s="229"/>
      <c r="I484" s="68"/>
      <c r="J484" s="71"/>
      <c r="K484" s="229"/>
      <c r="L484" s="229"/>
      <c r="M484" s="229"/>
      <c r="N484" s="229"/>
      <c r="O484" s="229"/>
      <c r="P484" s="71"/>
      <c r="Q484" s="22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  <c r="BA484" s="39"/>
      <c r="BB484" s="39"/>
      <c r="BC484" s="39"/>
      <c r="BD484" s="39"/>
      <c r="BE484" s="39"/>
      <c r="BF484" s="39"/>
      <c r="BG484" s="39"/>
      <c r="BH484" s="39"/>
      <c r="BI484" s="39"/>
      <c r="BJ484" s="39"/>
      <c r="BK484" s="39"/>
      <c r="BL484" s="39"/>
      <c r="BM484" s="39"/>
      <c r="BN484" s="39"/>
      <c r="BO484" s="39"/>
      <c r="BP484" s="39"/>
      <c r="BQ484" s="39"/>
      <c r="BR484" s="39"/>
      <c r="BS484" s="39"/>
      <c r="BT484" s="39"/>
      <c r="BU484" s="39"/>
      <c r="BV484" s="39"/>
      <c r="BW484" s="39"/>
      <c r="BX484" s="39"/>
      <c r="BY484" s="39"/>
      <c r="BZ484" s="39"/>
      <c r="CA484" s="39"/>
      <c r="CB484" s="39"/>
      <c r="CC484" s="39"/>
      <c r="CD484" s="39"/>
      <c r="CE484" s="39"/>
      <c r="CF484" s="39"/>
      <c r="CG484" s="39"/>
      <c r="CH484" s="39"/>
      <c r="CI484" s="39"/>
      <c r="CJ484" s="39"/>
      <c r="CK484" s="39"/>
      <c r="CL484" s="39"/>
      <c r="CM484" s="39"/>
      <c r="CN484" s="39"/>
      <c r="CO484" s="39"/>
      <c r="CP484" s="39"/>
      <c r="CQ484" s="39"/>
    </row>
    <row r="485" spans="1:95" s="92" customFormat="1" ht="39.950000000000003" customHeight="1" x14ac:dyDescent="0.25">
      <c r="A485" s="229"/>
      <c r="B485" s="229"/>
      <c r="C485" s="229"/>
      <c r="D485" s="229"/>
      <c r="E485" s="229"/>
      <c r="F485" s="229"/>
      <c r="G485" s="229"/>
      <c r="H485" s="229"/>
      <c r="I485" s="68"/>
      <c r="J485" s="71"/>
      <c r="K485" s="229"/>
      <c r="L485" s="229"/>
      <c r="M485" s="229"/>
      <c r="N485" s="229"/>
      <c r="O485" s="229"/>
      <c r="P485" s="71"/>
      <c r="Q485" s="22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  <c r="BA485" s="39"/>
      <c r="BB485" s="39"/>
      <c r="BC485" s="39"/>
      <c r="BD485" s="39"/>
      <c r="BE485" s="39"/>
      <c r="BF485" s="39"/>
      <c r="BG485" s="39"/>
      <c r="BH485" s="39"/>
      <c r="BI485" s="39"/>
      <c r="BJ485" s="39"/>
      <c r="BK485" s="39"/>
      <c r="BL485" s="39"/>
      <c r="BM485" s="39"/>
      <c r="BN485" s="39"/>
      <c r="BO485" s="39"/>
      <c r="BP485" s="39"/>
      <c r="BQ485" s="39"/>
      <c r="BR485" s="39"/>
      <c r="BS485" s="39"/>
      <c r="BT485" s="39"/>
      <c r="BU485" s="39"/>
      <c r="BV485" s="39"/>
      <c r="BW485" s="39"/>
      <c r="BX485" s="39"/>
      <c r="BY485" s="39"/>
      <c r="BZ485" s="39"/>
      <c r="CA485" s="39"/>
      <c r="CB485" s="39"/>
      <c r="CC485" s="39"/>
      <c r="CD485" s="39"/>
      <c r="CE485" s="39"/>
      <c r="CF485" s="39"/>
      <c r="CG485" s="39"/>
      <c r="CH485" s="39"/>
      <c r="CI485" s="39"/>
      <c r="CJ485" s="39"/>
      <c r="CK485" s="39"/>
      <c r="CL485" s="39"/>
      <c r="CM485" s="39"/>
      <c r="CN485" s="39"/>
      <c r="CO485" s="39"/>
      <c r="CP485" s="39"/>
      <c r="CQ485" s="39"/>
    </row>
    <row r="486" spans="1:95" s="92" customFormat="1" ht="39.950000000000003" customHeight="1" x14ac:dyDescent="0.25">
      <c r="A486" s="229"/>
      <c r="B486" s="229"/>
      <c r="C486" s="229"/>
      <c r="D486" s="229"/>
      <c r="E486" s="229"/>
      <c r="F486" s="229"/>
      <c r="G486" s="229"/>
      <c r="H486" s="229"/>
      <c r="I486" s="68"/>
      <c r="J486" s="71"/>
      <c r="K486" s="229"/>
      <c r="L486" s="229"/>
      <c r="M486" s="229"/>
      <c r="N486" s="229"/>
      <c r="O486" s="229"/>
      <c r="P486" s="71"/>
      <c r="Q486" s="22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  <c r="BA486" s="39"/>
      <c r="BB486" s="39"/>
      <c r="BC486" s="39"/>
      <c r="BD486" s="39"/>
      <c r="BE486" s="39"/>
      <c r="BF486" s="39"/>
      <c r="BG486" s="39"/>
      <c r="BH486" s="39"/>
      <c r="BI486" s="39"/>
      <c r="BJ486" s="39"/>
      <c r="BK486" s="39"/>
      <c r="BL486" s="39"/>
      <c r="BM486" s="39"/>
      <c r="BN486" s="39"/>
      <c r="BO486" s="39"/>
      <c r="BP486" s="39"/>
      <c r="BQ486" s="39"/>
      <c r="BR486" s="39"/>
      <c r="BS486" s="39"/>
      <c r="BT486" s="39"/>
      <c r="BU486" s="39"/>
      <c r="BV486" s="39"/>
      <c r="BW486" s="39"/>
      <c r="BX486" s="39"/>
      <c r="BY486" s="39"/>
      <c r="BZ486" s="39"/>
      <c r="CA486" s="39"/>
      <c r="CB486" s="39"/>
      <c r="CC486" s="39"/>
      <c r="CD486" s="39"/>
      <c r="CE486" s="39"/>
      <c r="CF486" s="39"/>
      <c r="CG486" s="39"/>
      <c r="CH486" s="39"/>
      <c r="CI486" s="39"/>
      <c r="CJ486" s="39"/>
      <c r="CK486" s="39"/>
      <c r="CL486" s="39"/>
      <c r="CM486" s="39"/>
      <c r="CN486" s="39"/>
      <c r="CO486" s="39"/>
      <c r="CP486" s="39"/>
      <c r="CQ486" s="39"/>
    </row>
    <row r="487" spans="1:95" s="92" customFormat="1" ht="39.950000000000003" customHeight="1" x14ac:dyDescent="0.25">
      <c r="A487" s="229"/>
      <c r="B487" s="229"/>
      <c r="C487" s="229"/>
      <c r="D487" s="229"/>
      <c r="E487" s="229"/>
      <c r="F487" s="229"/>
      <c r="G487" s="229"/>
      <c r="H487" s="229"/>
      <c r="I487" s="68"/>
      <c r="J487" s="71"/>
      <c r="K487" s="229"/>
      <c r="L487" s="229"/>
      <c r="M487" s="229"/>
      <c r="N487" s="229"/>
      <c r="O487" s="229"/>
      <c r="P487" s="71"/>
      <c r="Q487" s="22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  <c r="BA487" s="39"/>
      <c r="BB487" s="39"/>
      <c r="BC487" s="39"/>
      <c r="BD487" s="39"/>
      <c r="BE487" s="39"/>
      <c r="BF487" s="39"/>
      <c r="BG487" s="39"/>
      <c r="BH487" s="39"/>
      <c r="BI487" s="39"/>
      <c r="BJ487" s="39"/>
      <c r="BK487" s="39"/>
      <c r="BL487" s="39"/>
      <c r="BM487" s="39"/>
      <c r="BN487" s="39"/>
      <c r="BO487" s="39"/>
      <c r="BP487" s="39"/>
      <c r="BQ487" s="39"/>
      <c r="BR487" s="39"/>
      <c r="BS487" s="39"/>
      <c r="BT487" s="39"/>
      <c r="BU487" s="39"/>
      <c r="BV487" s="39"/>
      <c r="BW487" s="39"/>
      <c r="BX487" s="39"/>
      <c r="BY487" s="39"/>
      <c r="BZ487" s="39"/>
      <c r="CA487" s="39"/>
      <c r="CB487" s="39"/>
      <c r="CC487" s="39"/>
      <c r="CD487" s="39"/>
      <c r="CE487" s="39"/>
      <c r="CF487" s="39"/>
      <c r="CG487" s="39"/>
      <c r="CH487" s="39"/>
      <c r="CI487" s="39"/>
      <c r="CJ487" s="39"/>
      <c r="CK487" s="39"/>
      <c r="CL487" s="39"/>
      <c r="CM487" s="39"/>
      <c r="CN487" s="39"/>
      <c r="CO487" s="39"/>
      <c r="CP487" s="39"/>
      <c r="CQ487" s="39"/>
    </row>
    <row r="488" spans="1:95" s="92" customFormat="1" ht="39.950000000000003" customHeight="1" x14ac:dyDescent="0.25">
      <c r="A488" s="229"/>
      <c r="B488" s="229"/>
      <c r="C488" s="229"/>
      <c r="D488" s="229"/>
      <c r="E488" s="229"/>
      <c r="F488" s="229"/>
      <c r="G488" s="229"/>
      <c r="H488" s="229"/>
      <c r="I488" s="68"/>
      <c r="J488" s="71"/>
      <c r="K488" s="229"/>
      <c r="L488" s="229"/>
      <c r="M488" s="229"/>
      <c r="N488" s="229"/>
      <c r="O488" s="229"/>
      <c r="P488" s="71"/>
      <c r="Q488" s="22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  <c r="BA488" s="39"/>
      <c r="BB488" s="39"/>
      <c r="BC488" s="39"/>
      <c r="BD488" s="39"/>
      <c r="BE488" s="39"/>
      <c r="BF488" s="39"/>
      <c r="BG488" s="39"/>
      <c r="BH488" s="39"/>
      <c r="BI488" s="39"/>
      <c r="BJ488" s="39"/>
      <c r="BK488" s="39"/>
      <c r="BL488" s="39"/>
      <c r="BM488" s="39"/>
      <c r="BN488" s="39"/>
      <c r="BO488" s="39"/>
      <c r="BP488" s="39"/>
      <c r="BQ488" s="39"/>
      <c r="BR488" s="39"/>
      <c r="BS488" s="39"/>
      <c r="BT488" s="39"/>
      <c r="BU488" s="39"/>
      <c r="BV488" s="39"/>
      <c r="BW488" s="39"/>
      <c r="BX488" s="39"/>
      <c r="BY488" s="39"/>
      <c r="BZ488" s="39"/>
      <c r="CA488" s="39"/>
      <c r="CB488" s="39"/>
      <c r="CC488" s="39"/>
      <c r="CD488" s="39"/>
      <c r="CE488" s="39"/>
      <c r="CF488" s="39"/>
      <c r="CG488" s="39"/>
      <c r="CH488" s="39"/>
      <c r="CI488" s="39"/>
      <c r="CJ488" s="39"/>
      <c r="CK488" s="39"/>
      <c r="CL488" s="39"/>
      <c r="CM488" s="39"/>
      <c r="CN488" s="39"/>
      <c r="CO488" s="39"/>
      <c r="CP488" s="39"/>
      <c r="CQ488" s="39"/>
    </row>
    <row r="489" spans="1:95" s="92" customFormat="1" ht="39.950000000000003" customHeight="1" x14ac:dyDescent="0.25">
      <c r="A489" s="229"/>
      <c r="B489" s="229"/>
      <c r="C489" s="229"/>
      <c r="D489" s="229"/>
      <c r="E489" s="229"/>
      <c r="F489" s="229"/>
      <c r="G489" s="229"/>
      <c r="H489" s="229"/>
      <c r="I489" s="68"/>
      <c r="J489" s="71"/>
      <c r="K489" s="229"/>
      <c r="L489" s="229"/>
      <c r="M489" s="229"/>
      <c r="N489" s="229"/>
      <c r="O489" s="229"/>
      <c r="P489" s="71"/>
      <c r="Q489" s="22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  <c r="BA489" s="39"/>
      <c r="BB489" s="39"/>
      <c r="BC489" s="39"/>
      <c r="BD489" s="39"/>
      <c r="BE489" s="39"/>
      <c r="BF489" s="39"/>
      <c r="BG489" s="39"/>
      <c r="BH489" s="39"/>
      <c r="BI489" s="39"/>
      <c r="BJ489" s="39"/>
      <c r="BK489" s="39"/>
      <c r="BL489" s="39"/>
      <c r="BM489" s="39"/>
      <c r="BN489" s="39"/>
      <c r="BO489" s="39"/>
      <c r="BP489" s="39"/>
      <c r="BQ489" s="39"/>
      <c r="BR489" s="39"/>
      <c r="BS489" s="39"/>
      <c r="BT489" s="39"/>
      <c r="BU489" s="39"/>
      <c r="BV489" s="39"/>
      <c r="BW489" s="39"/>
      <c r="BX489" s="39"/>
      <c r="BY489" s="39"/>
      <c r="BZ489" s="39"/>
      <c r="CA489" s="39"/>
      <c r="CB489" s="39"/>
      <c r="CC489" s="39"/>
      <c r="CD489" s="39"/>
      <c r="CE489" s="39"/>
      <c r="CF489" s="39"/>
      <c r="CG489" s="39"/>
      <c r="CH489" s="39"/>
      <c r="CI489" s="39"/>
      <c r="CJ489" s="39"/>
      <c r="CK489" s="39"/>
      <c r="CL489" s="39"/>
      <c r="CM489" s="39"/>
      <c r="CN489" s="39"/>
      <c r="CO489" s="39"/>
      <c r="CP489" s="39"/>
      <c r="CQ489" s="39"/>
    </row>
    <row r="490" spans="1:95" ht="33" customHeight="1" x14ac:dyDescent="0.25"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</row>
    <row r="491" spans="1:95" ht="33" customHeight="1" x14ac:dyDescent="0.25">
      <c r="I491" s="229"/>
      <c r="J491" s="229"/>
      <c r="P491" s="229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3"/>
      <c r="CD491" s="3"/>
      <c r="CE491" s="3"/>
    </row>
    <row r="492" spans="1:95" ht="33" customHeight="1" x14ac:dyDescent="0.25">
      <c r="I492" s="229"/>
      <c r="J492" s="229"/>
      <c r="P492" s="229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3"/>
      <c r="CD492" s="3"/>
      <c r="CE492" s="3"/>
    </row>
    <row r="493" spans="1:95" ht="33" customHeight="1" x14ac:dyDescent="0.25">
      <c r="I493" s="229"/>
      <c r="J493" s="229"/>
      <c r="P493" s="229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3"/>
      <c r="CD493" s="3"/>
      <c r="CE493" s="3"/>
    </row>
    <row r="494" spans="1:95" ht="33" hidden="1" customHeight="1" x14ac:dyDescent="0.25">
      <c r="I494" s="229"/>
      <c r="J494" s="229"/>
      <c r="P494" s="229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3"/>
      <c r="CD494" s="3"/>
      <c r="CE494" s="3"/>
    </row>
    <row r="495" spans="1:95" ht="33" customHeight="1" x14ac:dyDescent="0.25">
      <c r="I495" s="229"/>
      <c r="J495" s="229"/>
      <c r="P495" s="229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3"/>
      <c r="CD495" s="3"/>
      <c r="CE495" s="3"/>
    </row>
    <row r="496" spans="1:95" ht="33" customHeight="1" x14ac:dyDescent="0.25">
      <c r="I496" s="229"/>
      <c r="J496" s="229"/>
      <c r="P496" s="229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3"/>
      <c r="CD496" s="3"/>
      <c r="CE496" s="3"/>
    </row>
    <row r="497" spans="9:83" ht="33" customHeight="1" x14ac:dyDescent="0.25">
      <c r="I497" s="229"/>
      <c r="J497" s="229"/>
      <c r="P497" s="229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3"/>
      <c r="CD497" s="3"/>
      <c r="CE497" s="3"/>
    </row>
    <row r="498" spans="9:83" ht="33" hidden="1" customHeight="1" x14ac:dyDescent="0.25">
      <c r="I498" s="229"/>
      <c r="J498" s="229"/>
      <c r="P498" s="229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3"/>
      <c r="CD498" s="3"/>
      <c r="CE498" s="3"/>
    </row>
    <row r="499" spans="9:83" ht="33" hidden="1" customHeight="1" x14ac:dyDescent="0.25">
      <c r="I499" s="229"/>
      <c r="J499" s="229"/>
      <c r="P499" s="229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3"/>
      <c r="CD499" s="3"/>
      <c r="CE499" s="3"/>
    </row>
    <row r="500" spans="9:83" ht="33" customHeight="1" x14ac:dyDescent="0.25">
      <c r="I500" s="229"/>
      <c r="J500" s="229"/>
      <c r="P500" s="229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3"/>
      <c r="CD500" s="3"/>
      <c r="CE500" s="3"/>
    </row>
    <row r="501" spans="9:83" ht="33" customHeight="1" x14ac:dyDescent="0.25">
      <c r="I501" s="229"/>
      <c r="J501" s="229"/>
      <c r="P501" s="229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3"/>
      <c r="CD501" s="3"/>
      <c r="CE501" s="3"/>
    </row>
    <row r="502" spans="9:83" ht="33" hidden="1" customHeight="1" x14ac:dyDescent="0.25">
      <c r="I502" s="229"/>
      <c r="J502" s="229"/>
      <c r="P502" s="229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3"/>
      <c r="CD502" s="3"/>
      <c r="CE502" s="3"/>
    </row>
    <row r="503" spans="9:83" ht="33" customHeight="1" x14ac:dyDescent="0.25">
      <c r="I503" s="229"/>
      <c r="J503" s="229"/>
      <c r="P503" s="229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3"/>
      <c r="CD503" s="3"/>
      <c r="CE503" s="3"/>
    </row>
    <row r="504" spans="9:83" ht="33" hidden="1" customHeight="1" x14ac:dyDescent="0.25">
      <c r="I504" s="229"/>
      <c r="J504" s="229"/>
      <c r="P504" s="229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3"/>
      <c r="CD504" s="3"/>
      <c r="CE504" s="3"/>
    </row>
    <row r="505" spans="9:83" ht="33" customHeight="1" x14ac:dyDescent="0.25">
      <c r="I505" s="229"/>
      <c r="J505" s="229"/>
      <c r="P505" s="229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3"/>
      <c r="CD505" s="3"/>
      <c r="CE505" s="3"/>
    </row>
    <row r="506" spans="9:83" ht="33" customHeight="1" x14ac:dyDescent="0.25">
      <c r="I506" s="229"/>
      <c r="J506" s="229"/>
      <c r="P506" s="229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</row>
  </sheetData>
  <sortState ref="A4:X13">
    <sortCondition ref="A4"/>
  </sortState>
  <mergeCells count="1">
    <mergeCell ref="D3:E3"/>
  </mergeCells>
  <pageMargins left="0.23622047244094491" right="0.23622047244094491" top="0.74803149606299213" bottom="0.74803149606299213" header="0.31496062992125984" footer="0.31496062992125984"/>
  <pageSetup paperSize="9" scale="46" fitToHeight="0" orientation="landscape" r:id="rId1"/>
  <headerFooter>
    <oddHeader>&amp;RСтраница &amp;P</oddHeader>
    <oddFooter>&amp;CРЕГИСТРАЦИЯ АВАНСОВЫХ ОТЧЕТОВ ПО КОМАНДИРОВКАМ ЗА ЯНВАРЬ
 2023 ГОД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DR2628"/>
  <sheetViews>
    <sheetView zoomScale="70" zoomScaleNormal="70" workbookViewId="0">
      <pane xSplit="1" ySplit="5" topLeftCell="B6" activePane="bottomRight" state="frozen"/>
      <selection activeCell="J45" sqref="J45"/>
      <selection pane="topRight" activeCell="J45" sqref="J45"/>
      <selection pane="bottomLeft" activeCell="J45" sqref="J45"/>
      <selection pane="bottomRight" activeCell="B12" sqref="B12:B29"/>
    </sheetView>
  </sheetViews>
  <sheetFormatPr defaultColWidth="9.140625" defaultRowHeight="15" x14ac:dyDescent="0.25"/>
  <cols>
    <col min="1" max="1" width="5.5703125" style="214" customWidth="1"/>
    <col min="2" max="2" width="9.140625" style="113"/>
    <col min="3" max="3" width="38.85546875" style="392" customWidth="1"/>
    <col min="4" max="4" width="12.7109375" style="208" customWidth="1"/>
    <col min="5" max="5" width="12.5703125" style="208" hidden="1" customWidth="1"/>
    <col min="6" max="6" width="12.85546875" style="326" customWidth="1"/>
    <col min="7" max="7" width="7.5703125" style="208" customWidth="1"/>
    <col min="8" max="8" width="12.85546875" style="327" customWidth="1"/>
    <col min="9" max="9" width="6.42578125" style="208" customWidth="1"/>
    <col min="10" max="10" width="11" style="208" hidden="1" customWidth="1"/>
    <col min="11" max="11" width="10.85546875" style="208" hidden="1" customWidth="1"/>
    <col min="12" max="12" width="12.7109375" style="208" customWidth="1"/>
    <col min="13" max="13" width="15.28515625" style="208" customWidth="1"/>
    <col min="14" max="14" width="10.42578125" style="208" hidden="1" customWidth="1"/>
    <col min="15" max="15" width="11.28515625" style="208" hidden="1" customWidth="1"/>
    <col min="16" max="16" width="11.7109375" style="208" hidden="1" customWidth="1"/>
    <col min="17" max="17" width="11.7109375" style="208" customWidth="1"/>
    <col min="18" max="18" width="8.85546875" style="208" hidden="1" customWidth="1"/>
    <col min="19" max="19" width="11.42578125" style="208" hidden="1" customWidth="1"/>
    <col min="20" max="20" width="9.42578125" style="208" hidden="1" customWidth="1"/>
    <col min="21" max="21" width="10.42578125" style="208" hidden="1" customWidth="1"/>
    <col min="22" max="22" width="13.85546875" style="227" customWidth="1"/>
    <col min="23" max="24" width="9.140625" style="271"/>
    <col min="25" max="25" width="12" style="227" customWidth="1"/>
    <col min="26" max="26" width="13.85546875" style="208" customWidth="1"/>
    <col min="27" max="27" width="10.85546875" style="320" customWidth="1"/>
    <col min="28" max="33" width="9.140625" style="214"/>
    <col min="34" max="16384" width="9.140625" style="113"/>
  </cols>
  <sheetData>
    <row r="1" spans="1:122" s="170" customFormat="1" x14ac:dyDescent="0.25">
      <c r="A1" s="369" t="s">
        <v>3705</v>
      </c>
      <c r="B1" s="370"/>
      <c r="C1" s="10"/>
      <c r="D1" s="371"/>
      <c r="E1" s="372"/>
      <c r="F1" s="373"/>
      <c r="G1" s="374"/>
      <c r="H1" s="375"/>
      <c r="I1" s="376"/>
      <c r="J1" s="377"/>
      <c r="K1" s="378"/>
      <c r="L1" s="379"/>
      <c r="M1" s="379"/>
      <c r="N1" s="378"/>
      <c r="O1" s="378"/>
      <c r="P1" s="378"/>
      <c r="Q1" s="374"/>
      <c r="R1" s="374"/>
      <c r="S1" s="374"/>
      <c r="T1" s="380"/>
      <c r="U1" s="381"/>
      <c r="V1" s="379"/>
      <c r="W1" s="382"/>
      <c r="X1" s="383"/>
      <c r="Y1" s="40"/>
      <c r="Z1" s="379"/>
      <c r="AA1" s="378"/>
      <c r="AB1" s="378"/>
      <c r="AC1" s="379"/>
      <c r="AD1" s="379"/>
      <c r="AE1" s="379"/>
      <c r="AF1" s="379"/>
      <c r="AG1" s="379"/>
      <c r="AH1" s="379"/>
      <c r="AI1" s="379"/>
      <c r="AJ1" s="379"/>
      <c r="AK1" s="379"/>
      <c r="AL1" s="379"/>
      <c r="AM1" s="384"/>
      <c r="AN1" s="379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</row>
    <row r="2" spans="1:122" ht="17.25" customHeight="1" thickBot="1" x14ac:dyDescent="0.3">
      <c r="A2" s="38"/>
      <c r="B2" s="35"/>
      <c r="C2" s="35"/>
      <c r="D2" s="205"/>
      <c r="E2" s="205"/>
      <c r="F2" s="304"/>
      <c r="G2" s="205"/>
      <c r="H2" s="305"/>
      <c r="I2" s="204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43"/>
      <c r="W2" s="267"/>
      <c r="X2" s="267"/>
      <c r="Y2" s="243"/>
      <c r="Z2" s="205"/>
      <c r="AA2" s="213"/>
      <c r="AB2" s="38"/>
      <c r="AC2" s="38"/>
      <c r="AD2" s="38"/>
      <c r="AE2" s="38"/>
      <c r="AF2" s="38"/>
      <c r="AG2" s="38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</row>
    <row r="3" spans="1:122" ht="69" customHeight="1" x14ac:dyDescent="0.25">
      <c r="A3" s="38"/>
      <c r="B3" s="35"/>
      <c r="C3" s="35"/>
      <c r="D3" s="175" t="s">
        <v>1059</v>
      </c>
      <c r="E3" s="175"/>
      <c r="F3" s="206" t="s">
        <v>2666</v>
      </c>
      <c r="G3" s="206"/>
      <c r="H3" s="306" t="s">
        <v>2667</v>
      </c>
      <c r="I3" s="206"/>
      <c r="J3" s="206">
        <v>856</v>
      </c>
      <c r="K3" s="206"/>
      <c r="L3" s="206" t="s">
        <v>2668</v>
      </c>
      <c r="M3" s="206" t="s">
        <v>2669</v>
      </c>
      <c r="N3" s="175"/>
      <c r="O3" s="175"/>
      <c r="P3" s="175"/>
      <c r="Q3" s="175"/>
      <c r="R3" s="176"/>
      <c r="S3" s="176"/>
      <c r="T3" s="176"/>
      <c r="U3" s="176"/>
      <c r="V3" s="268"/>
      <c r="W3" s="267"/>
      <c r="X3" s="267"/>
      <c r="Y3" s="243"/>
      <c r="Z3" s="205"/>
      <c r="AA3" s="213"/>
      <c r="AB3" s="38"/>
      <c r="AC3" s="38"/>
      <c r="AD3" s="38"/>
      <c r="AE3" s="38"/>
      <c r="AF3" s="38"/>
      <c r="AG3" s="38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</row>
    <row r="4" spans="1:122" x14ac:dyDescent="0.25">
      <c r="A4" s="38"/>
      <c r="B4" s="35"/>
      <c r="C4" s="35"/>
      <c r="D4" s="177"/>
      <c r="E4" s="177"/>
      <c r="F4" s="307"/>
      <c r="G4" s="177"/>
      <c r="H4" s="308"/>
      <c r="I4" s="207"/>
      <c r="J4" s="177"/>
      <c r="K4" s="177"/>
      <c r="L4" s="177" t="s">
        <v>2670</v>
      </c>
      <c r="M4" s="177" t="s">
        <v>2671</v>
      </c>
      <c r="N4" s="177"/>
      <c r="O4" s="177"/>
      <c r="P4" s="177"/>
      <c r="Q4" s="177"/>
      <c r="R4" s="178" t="s">
        <v>2672</v>
      </c>
      <c r="S4" s="178"/>
      <c r="T4" s="178"/>
      <c r="U4" s="178"/>
      <c r="V4" s="269" t="s">
        <v>1059</v>
      </c>
      <c r="W4" s="267"/>
      <c r="X4" s="267"/>
      <c r="Y4" s="243"/>
      <c r="Z4" s="205"/>
      <c r="AA4" s="213"/>
      <c r="AB4" s="38"/>
      <c r="AC4" s="38"/>
      <c r="AD4" s="38"/>
      <c r="AE4" s="38"/>
      <c r="AF4" s="38"/>
      <c r="AG4" s="38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</row>
    <row r="5" spans="1:122" ht="180.75" x14ac:dyDescent="0.25">
      <c r="A5" s="336" t="s">
        <v>1249</v>
      </c>
      <c r="B5" s="127" t="s">
        <v>1054</v>
      </c>
      <c r="C5" s="389" t="s">
        <v>1</v>
      </c>
      <c r="D5" s="309" t="s">
        <v>1372</v>
      </c>
      <c r="E5" s="309" t="s">
        <v>2884</v>
      </c>
      <c r="F5" s="309" t="s">
        <v>2885</v>
      </c>
      <c r="G5" s="310" t="s">
        <v>2886</v>
      </c>
      <c r="H5" s="311" t="s">
        <v>2887</v>
      </c>
      <c r="I5" s="310" t="s">
        <v>2886</v>
      </c>
      <c r="J5" s="309" t="s">
        <v>2888</v>
      </c>
      <c r="K5" s="309" t="s">
        <v>2889</v>
      </c>
      <c r="L5" s="309" t="s">
        <v>2890</v>
      </c>
      <c r="M5" s="309" t="s">
        <v>2891</v>
      </c>
      <c r="N5" s="309" t="s">
        <v>1081</v>
      </c>
      <c r="O5" s="309" t="s">
        <v>1082</v>
      </c>
      <c r="P5" s="309" t="s">
        <v>1083</v>
      </c>
      <c r="Q5" s="309" t="s">
        <v>1373</v>
      </c>
      <c r="R5" s="312" t="s">
        <v>2673</v>
      </c>
      <c r="S5" s="312" t="s">
        <v>1084</v>
      </c>
      <c r="T5" s="312" t="s">
        <v>2892</v>
      </c>
      <c r="U5" s="312" t="s">
        <v>2893</v>
      </c>
      <c r="V5" s="313" t="s">
        <v>1073</v>
      </c>
      <c r="W5" s="270" t="s">
        <v>1085</v>
      </c>
      <c r="X5" s="270" t="s">
        <v>114</v>
      </c>
      <c r="Y5" s="314" t="s">
        <v>2945</v>
      </c>
      <c r="Z5" s="315" t="s">
        <v>2977</v>
      </c>
      <c r="AA5" s="213"/>
      <c r="AB5" s="38"/>
      <c r="AC5" s="38"/>
      <c r="AD5" s="38"/>
      <c r="AE5" s="38"/>
      <c r="AF5" s="38"/>
      <c r="AG5" s="38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</row>
    <row r="6" spans="1:122" s="214" customFormat="1" ht="15" customHeight="1" x14ac:dyDescent="0.25">
      <c r="A6" s="218">
        <v>601</v>
      </c>
      <c r="B6" s="218">
        <v>43192</v>
      </c>
      <c r="C6" s="390" t="str">
        <f>VLOOKUP(B6,база!A:F,2,FALSE)</f>
        <v>Чередов Евгений Александрович</v>
      </c>
      <c r="D6" s="330">
        <v>57466</v>
      </c>
      <c r="E6" s="330"/>
      <c r="F6" s="299"/>
      <c r="G6" s="330"/>
      <c r="H6" s="300"/>
      <c r="I6" s="331"/>
      <c r="J6" s="330"/>
      <c r="K6" s="330"/>
      <c r="L6" s="300"/>
      <c r="M6" s="330"/>
      <c r="N6" s="330"/>
      <c r="O6" s="330"/>
      <c r="P6" s="330"/>
      <c r="Q6" s="330"/>
      <c r="R6" s="330"/>
      <c r="S6" s="330"/>
      <c r="T6" s="330"/>
      <c r="U6" s="330"/>
      <c r="V6" s="330">
        <f t="shared" ref="V6:V30" si="0">D6+E6+F6+H6+J6+K6+L6+M6+N6+O6+P6+Q6+S6+T6+U6</f>
        <v>57466</v>
      </c>
      <c r="W6" s="339">
        <f>VLOOKUP(B6,база!A:F,5,FALSE)</f>
        <v>0</v>
      </c>
      <c r="X6" s="339">
        <f>VLOOKUP(B6,база!A:F,6,FALSE)</f>
        <v>0</v>
      </c>
      <c r="Y6" s="333">
        <f t="shared" ref="Y6:Y30" si="1">H6+K6+M6</f>
        <v>0</v>
      </c>
      <c r="Z6" s="333">
        <f>Y6*-1</f>
        <v>0</v>
      </c>
      <c r="AA6" s="334"/>
    </row>
    <row r="7" spans="1:122" s="214" customFormat="1" ht="15" customHeight="1" x14ac:dyDescent="0.25">
      <c r="A7" s="218">
        <v>602</v>
      </c>
      <c r="B7" s="218">
        <v>98254</v>
      </c>
      <c r="C7" s="390" t="str">
        <f>VLOOKUP(B7,база!A:F,2,FALSE)</f>
        <v>Кильдиярова Инна Владимировна</v>
      </c>
      <c r="D7" s="330">
        <v>102506</v>
      </c>
      <c r="E7" s="330"/>
      <c r="F7" s="330"/>
      <c r="G7" s="330"/>
      <c r="H7" s="330"/>
      <c r="I7" s="331"/>
      <c r="J7" s="330"/>
      <c r="K7" s="330"/>
      <c r="L7" s="300"/>
      <c r="M7" s="330">
        <v>102506</v>
      </c>
      <c r="N7" s="330"/>
      <c r="O7" s="330"/>
      <c r="P7" s="330"/>
      <c r="Q7" s="330"/>
      <c r="R7" s="330"/>
      <c r="S7" s="330"/>
      <c r="T7" s="330"/>
      <c r="U7" s="330"/>
      <c r="V7" s="330">
        <f t="shared" si="0"/>
        <v>205012</v>
      </c>
      <c r="W7" s="339">
        <f>VLOOKUP(B7,база!A:F,5,FALSE)</f>
        <v>0</v>
      </c>
      <c r="X7" s="339">
        <f>VLOOKUP(B7,база!A:F,6,FALSE)</f>
        <v>0</v>
      </c>
      <c r="Y7" s="333">
        <f t="shared" si="1"/>
        <v>102506</v>
      </c>
      <c r="Z7" s="333">
        <v>-55012</v>
      </c>
      <c r="AA7" s="334">
        <v>45303</v>
      </c>
    </row>
    <row r="8" spans="1:122" s="214" customFormat="1" ht="15" customHeight="1" x14ac:dyDescent="0.25">
      <c r="A8" s="218">
        <v>603</v>
      </c>
      <c r="B8" s="218">
        <v>2908</v>
      </c>
      <c r="C8" s="390" t="str">
        <f>VLOOKUP(B8,база!A:F,2,FALSE)</f>
        <v>Шахова Юлия Владимировна</v>
      </c>
      <c r="D8" s="330">
        <v>39926</v>
      </c>
      <c r="E8" s="330"/>
      <c r="F8" s="330">
        <v>39926</v>
      </c>
      <c r="G8" s="330">
        <v>1</v>
      </c>
      <c r="H8" s="300"/>
      <c r="I8" s="331"/>
      <c r="J8" s="330"/>
      <c r="K8" s="330"/>
      <c r="L8" s="300"/>
      <c r="M8" s="330"/>
      <c r="N8" s="330"/>
      <c r="O8" s="330"/>
      <c r="P8" s="330"/>
      <c r="Q8" s="330"/>
      <c r="R8" s="330"/>
      <c r="S8" s="330"/>
      <c r="T8" s="330"/>
      <c r="U8" s="330"/>
      <c r="V8" s="330">
        <f t="shared" si="0"/>
        <v>79852</v>
      </c>
      <c r="W8" s="339">
        <f>VLOOKUP(B8,база!A:F,5,FALSE)</f>
        <v>0</v>
      </c>
      <c r="X8" s="339">
        <f>VLOOKUP(B8,база!A:F,6,FALSE)</f>
        <v>0</v>
      </c>
      <c r="Y8" s="333">
        <f t="shared" si="1"/>
        <v>0</v>
      </c>
      <c r="Z8" s="333">
        <f t="shared" ref="Z8:Z16" si="2">Y8*-1</f>
        <v>0</v>
      </c>
      <c r="AA8" s="334"/>
    </row>
    <row r="9" spans="1:122" s="214" customFormat="1" ht="15" customHeight="1" x14ac:dyDescent="0.25">
      <c r="A9" s="218">
        <v>604</v>
      </c>
      <c r="B9" s="218">
        <v>2184</v>
      </c>
      <c r="C9" s="390" t="str">
        <f>VLOOKUP(B9,база!A:F,2,FALSE)</f>
        <v>Воронина Ирина Диевна</v>
      </c>
      <c r="D9" s="330"/>
      <c r="E9" s="330"/>
      <c r="F9" s="330"/>
      <c r="G9" s="330"/>
      <c r="H9" s="300">
        <v>41768</v>
      </c>
      <c r="I9" s="331">
        <v>1</v>
      </c>
      <c r="J9" s="330"/>
      <c r="K9" s="330"/>
      <c r="L9" s="300"/>
      <c r="M9" s="330"/>
      <c r="N9" s="330"/>
      <c r="O9" s="330"/>
      <c r="P9" s="330"/>
      <c r="Q9" s="330"/>
      <c r="R9" s="330"/>
      <c r="S9" s="330"/>
      <c r="T9" s="330"/>
      <c r="U9" s="330"/>
      <c r="V9" s="330">
        <f t="shared" si="0"/>
        <v>41768</v>
      </c>
      <c r="W9" s="339">
        <f>VLOOKUP(B9,база!A:F,5,FALSE)</f>
        <v>0</v>
      </c>
      <c r="X9" s="339" t="str">
        <f>VLOOKUP(B9,база!A:F,6,FALSE)</f>
        <v>Якутск</v>
      </c>
      <c r="Y9" s="333">
        <f t="shared" si="1"/>
        <v>41768</v>
      </c>
      <c r="Z9" s="333">
        <f t="shared" si="2"/>
        <v>-41768</v>
      </c>
      <c r="AA9" s="334">
        <v>45303</v>
      </c>
    </row>
    <row r="10" spans="1:122" s="214" customFormat="1" ht="15" customHeight="1" x14ac:dyDescent="0.25">
      <c r="A10" s="218">
        <v>605</v>
      </c>
      <c r="B10" s="218">
        <v>45588</v>
      </c>
      <c r="C10" s="390" t="str">
        <f>VLOOKUP(B10,база!A:F,2,FALSE)</f>
        <v>Давыдова Лилия Газимовна</v>
      </c>
      <c r="D10" s="330">
        <v>33040.5</v>
      </c>
      <c r="E10" s="330"/>
      <c r="F10" s="299"/>
      <c r="G10" s="330"/>
      <c r="H10" s="300"/>
      <c r="I10" s="331"/>
      <c r="J10" s="330"/>
      <c r="K10" s="330"/>
      <c r="L10" s="300"/>
      <c r="M10" s="330"/>
      <c r="N10" s="330"/>
      <c r="O10" s="330"/>
      <c r="P10" s="330"/>
      <c r="Q10" s="330"/>
      <c r="R10" s="330"/>
      <c r="S10" s="330"/>
      <c r="T10" s="330"/>
      <c r="U10" s="330"/>
      <c r="V10" s="330">
        <f t="shared" si="0"/>
        <v>33040.5</v>
      </c>
      <c r="W10" s="339">
        <f>VLOOKUP(B10,база!A:F,5,FALSE)</f>
        <v>0</v>
      </c>
      <c r="X10" s="339">
        <f>VLOOKUP(B10,база!A:F,6,FALSE)</f>
        <v>0</v>
      </c>
      <c r="Y10" s="333">
        <f t="shared" si="1"/>
        <v>0</v>
      </c>
      <c r="Z10" s="333">
        <f t="shared" si="2"/>
        <v>0</v>
      </c>
      <c r="AA10" s="334"/>
    </row>
    <row r="11" spans="1:122" s="214" customFormat="1" ht="15" customHeight="1" x14ac:dyDescent="0.25">
      <c r="A11" s="218">
        <v>606</v>
      </c>
      <c r="B11" s="173">
        <v>123149</v>
      </c>
      <c r="C11" s="390" t="str">
        <f>VLOOKUP(B11,база!A:F,2,FALSE)</f>
        <v>Марченко Дмитрий Валерьевич</v>
      </c>
      <c r="D11" s="330">
        <v>43797</v>
      </c>
      <c r="E11" s="330"/>
      <c r="F11" s="299"/>
      <c r="G11" s="330"/>
      <c r="H11" s="300"/>
      <c r="I11" s="331"/>
      <c r="J11" s="330"/>
      <c r="K11" s="330"/>
      <c r="L11" s="330"/>
      <c r="M11" s="330"/>
      <c r="N11" s="330"/>
      <c r="O11" s="330"/>
      <c r="P11" s="330"/>
      <c r="Q11" s="330"/>
      <c r="R11" s="330"/>
      <c r="S11" s="330"/>
      <c r="T11" s="330"/>
      <c r="U11" s="330"/>
      <c r="V11" s="330">
        <f t="shared" si="0"/>
        <v>43797</v>
      </c>
      <c r="W11" s="339">
        <f>VLOOKUP(B11,база!A:F,5,FALSE)</f>
        <v>0</v>
      </c>
      <c r="X11" s="339">
        <f>VLOOKUP(B11,база!A:F,6,FALSE)</f>
        <v>0</v>
      </c>
      <c r="Y11" s="333">
        <f t="shared" si="1"/>
        <v>0</v>
      </c>
      <c r="Z11" s="333">
        <f t="shared" si="2"/>
        <v>0</v>
      </c>
      <c r="AA11" s="334"/>
    </row>
    <row r="12" spans="1:122" s="214" customFormat="1" ht="15" customHeight="1" x14ac:dyDescent="0.25">
      <c r="A12" s="218">
        <v>607</v>
      </c>
      <c r="B12" s="218">
        <v>2937</v>
      </c>
      <c r="C12" s="390" t="str">
        <f>VLOOKUP(B12,база!A:F,2,FALSE)</f>
        <v>Урубкова Ангелина Александровна</v>
      </c>
      <c r="D12" s="330">
        <v>59988</v>
      </c>
      <c r="E12" s="330"/>
      <c r="F12" s="299"/>
      <c r="G12" s="330"/>
      <c r="H12" s="300"/>
      <c r="I12" s="331"/>
      <c r="J12" s="330"/>
      <c r="K12" s="330"/>
      <c r="L12" s="300"/>
      <c r="M12" s="300"/>
      <c r="N12" s="330"/>
      <c r="O12" s="330"/>
      <c r="P12" s="330"/>
      <c r="Q12" s="330"/>
      <c r="R12" s="330"/>
      <c r="S12" s="330"/>
      <c r="T12" s="330"/>
      <c r="U12" s="330"/>
      <c r="V12" s="330">
        <f t="shared" si="0"/>
        <v>59988</v>
      </c>
      <c r="W12" s="339">
        <f>VLOOKUP(B12,база!A:F,5,FALSE)</f>
        <v>0</v>
      </c>
      <c r="X12" s="339">
        <f>VLOOKUP(B12,база!A:F,6,FALSE)</f>
        <v>0</v>
      </c>
      <c r="Y12" s="333">
        <f t="shared" si="1"/>
        <v>0</v>
      </c>
      <c r="Z12" s="333">
        <f t="shared" si="2"/>
        <v>0</v>
      </c>
      <c r="AA12" s="334"/>
    </row>
    <row r="13" spans="1:122" s="214" customFormat="1" ht="15" customHeight="1" x14ac:dyDescent="0.25">
      <c r="A13" s="218">
        <v>608</v>
      </c>
      <c r="B13" s="218">
        <v>145956</v>
      </c>
      <c r="C13" s="390" t="str">
        <f>VLOOKUP(B13,база!A:F,2,FALSE)</f>
        <v>Газетова Ирина Петровна</v>
      </c>
      <c r="D13" s="330"/>
      <c r="E13" s="330"/>
      <c r="F13" s="299"/>
      <c r="G13" s="330"/>
      <c r="H13" s="299"/>
      <c r="I13" s="330"/>
      <c r="J13" s="330"/>
      <c r="K13" s="330"/>
      <c r="L13" s="300"/>
      <c r="M13" s="330">
        <v>29619</v>
      </c>
      <c r="N13" s="330"/>
      <c r="O13" s="330"/>
      <c r="P13" s="330"/>
      <c r="Q13" s="330"/>
      <c r="R13" s="330"/>
      <c r="S13" s="330"/>
      <c r="T13" s="330"/>
      <c r="U13" s="330"/>
      <c r="V13" s="330">
        <f t="shared" si="0"/>
        <v>29619</v>
      </c>
      <c r="W13" s="339">
        <f>VLOOKUP(B13,база!A:F,5,FALSE)</f>
        <v>0</v>
      </c>
      <c r="X13" s="339">
        <f>VLOOKUP(B13,база!A:F,6,FALSE)</f>
        <v>0</v>
      </c>
      <c r="Y13" s="333">
        <f t="shared" si="1"/>
        <v>29619</v>
      </c>
      <c r="Z13" s="333">
        <f t="shared" si="2"/>
        <v>-29619</v>
      </c>
      <c r="AA13" s="334">
        <v>45308</v>
      </c>
    </row>
    <row r="14" spans="1:122" s="214" customFormat="1" ht="15" customHeight="1" x14ac:dyDescent="0.25">
      <c r="A14" s="218">
        <v>609</v>
      </c>
      <c r="B14" s="218">
        <v>2178</v>
      </c>
      <c r="C14" s="390" t="str">
        <f>VLOOKUP(B14,база!A:F,2,FALSE)</f>
        <v>Рябухина Юлия Александровна</v>
      </c>
      <c r="D14" s="330">
        <v>12128</v>
      </c>
      <c r="E14" s="330"/>
      <c r="F14" s="330">
        <v>4517.7</v>
      </c>
      <c r="G14" s="330">
        <v>1</v>
      </c>
      <c r="H14" s="330"/>
      <c r="I14" s="330"/>
      <c r="J14" s="330"/>
      <c r="K14" s="330"/>
      <c r="L14" s="300"/>
      <c r="M14" s="330">
        <v>9474.5</v>
      </c>
      <c r="N14" s="330"/>
      <c r="O14" s="330"/>
      <c r="P14" s="330"/>
      <c r="Q14" s="330"/>
      <c r="R14" s="330"/>
      <c r="S14" s="330"/>
      <c r="T14" s="330"/>
      <c r="U14" s="330"/>
      <c r="V14" s="330">
        <f t="shared" si="0"/>
        <v>26120.2</v>
      </c>
      <c r="W14" s="339">
        <f>VLOOKUP(B14,база!A:F,5,FALSE)</f>
        <v>0</v>
      </c>
      <c r="X14" s="339">
        <f>VLOOKUP(B14,база!A:F,6,FALSE)</f>
        <v>0</v>
      </c>
      <c r="Y14" s="333">
        <f t="shared" si="1"/>
        <v>9474.5</v>
      </c>
      <c r="Z14" s="333">
        <f t="shared" si="2"/>
        <v>-9474.5</v>
      </c>
      <c r="AA14" s="334">
        <v>45308</v>
      </c>
    </row>
    <row r="15" spans="1:122" s="214" customFormat="1" ht="15" customHeight="1" x14ac:dyDescent="0.25">
      <c r="A15" s="218">
        <v>610</v>
      </c>
      <c r="B15" s="218">
        <v>1146</v>
      </c>
      <c r="C15" s="390" t="str">
        <f>VLOOKUP(B15,база!A:F,2,FALSE)</f>
        <v>Левина Юлия Сергеевна</v>
      </c>
      <c r="D15" s="330"/>
      <c r="E15" s="330"/>
      <c r="F15" s="330"/>
      <c r="G15" s="330"/>
      <c r="H15" s="330"/>
      <c r="I15" s="330"/>
      <c r="J15" s="330"/>
      <c r="K15" s="330"/>
      <c r="L15" s="300"/>
      <c r="M15" s="330">
        <v>35738</v>
      </c>
      <c r="N15" s="330"/>
      <c r="O15" s="330"/>
      <c r="P15" s="330"/>
      <c r="Q15" s="330"/>
      <c r="R15" s="330"/>
      <c r="S15" s="330"/>
      <c r="T15" s="330"/>
      <c r="U15" s="330"/>
      <c r="V15" s="330">
        <f t="shared" si="0"/>
        <v>35738</v>
      </c>
      <c r="W15" s="339">
        <f>VLOOKUP(B15,база!A:F,5,FALSE)</f>
        <v>0</v>
      </c>
      <c r="X15" s="339">
        <f>VLOOKUP(B15,база!A:F,6,FALSE)</f>
        <v>0</v>
      </c>
      <c r="Y15" s="333">
        <f t="shared" si="1"/>
        <v>35738</v>
      </c>
      <c r="Z15" s="333">
        <f t="shared" si="2"/>
        <v>-35738</v>
      </c>
      <c r="AA15" s="334">
        <v>45310</v>
      </c>
    </row>
    <row r="16" spans="1:122" s="214" customFormat="1" ht="15" customHeight="1" x14ac:dyDescent="0.25">
      <c r="A16" s="218">
        <v>611</v>
      </c>
      <c r="B16" s="173">
        <v>26857</v>
      </c>
      <c r="C16" s="390" t="str">
        <f>VLOOKUP(B16,база!A:F,2,FALSE)</f>
        <v>Левин Вадим Геннадьевич</v>
      </c>
      <c r="D16" s="330"/>
      <c r="E16" s="330"/>
      <c r="F16" s="299">
        <v>56195</v>
      </c>
      <c r="G16" s="330">
        <v>2</v>
      </c>
      <c r="H16" s="300"/>
      <c r="I16" s="331"/>
      <c r="J16" s="330"/>
      <c r="K16" s="330"/>
      <c r="L16" s="330"/>
      <c r="M16" s="330">
        <v>35737</v>
      </c>
      <c r="N16" s="330"/>
      <c r="O16" s="330"/>
      <c r="P16" s="330"/>
      <c r="Q16" s="330"/>
      <c r="R16" s="330"/>
      <c r="S16" s="330"/>
      <c r="T16" s="330"/>
      <c r="U16" s="330"/>
      <c r="V16" s="330">
        <f t="shared" si="0"/>
        <v>91932</v>
      </c>
      <c r="W16" s="339">
        <f>VLOOKUP(B16,база!A:F,5,FALSE)</f>
        <v>0</v>
      </c>
      <c r="X16" s="339">
        <f>VLOOKUP(B16,база!A:F,6,FALSE)</f>
        <v>0</v>
      </c>
      <c r="Y16" s="333">
        <f t="shared" si="1"/>
        <v>35737</v>
      </c>
      <c r="Z16" s="333">
        <f t="shared" si="2"/>
        <v>-35737</v>
      </c>
      <c r="AA16" s="334">
        <v>45310</v>
      </c>
    </row>
    <row r="17" spans="1:28" s="214" customFormat="1" ht="13.15" customHeight="1" x14ac:dyDescent="0.25">
      <c r="A17" s="218">
        <v>612</v>
      </c>
      <c r="B17" s="218">
        <v>11060</v>
      </c>
      <c r="C17" s="390" t="str">
        <f>VLOOKUP(B17,база!A:F,2,FALSE)</f>
        <v>Климковский Михаил Емельянович</v>
      </c>
      <c r="D17" s="330">
        <v>27946</v>
      </c>
      <c r="E17" s="330"/>
      <c r="F17" s="299"/>
      <c r="G17" s="330"/>
      <c r="H17" s="300"/>
      <c r="I17" s="331"/>
      <c r="J17" s="330"/>
      <c r="K17" s="330"/>
      <c r="L17" s="300"/>
      <c r="M17" s="330">
        <v>27946</v>
      </c>
      <c r="N17" s="330"/>
      <c r="O17" s="330"/>
      <c r="P17" s="330"/>
      <c r="Q17" s="330"/>
      <c r="R17" s="330"/>
      <c r="S17" s="330"/>
      <c r="T17" s="330"/>
      <c r="U17" s="330"/>
      <c r="V17" s="330">
        <f t="shared" si="0"/>
        <v>55892</v>
      </c>
      <c r="W17" s="339" t="str">
        <f>VLOOKUP(B17,база!A:F,5,FALSE)</f>
        <v xml:space="preserve">рук </v>
      </c>
      <c r="X17" s="339">
        <f>VLOOKUP(B17,база!A:F,6,FALSE)</f>
        <v>0</v>
      </c>
      <c r="Y17" s="333">
        <f t="shared" si="1"/>
        <v>27946</v>
      </c>
      <c r="Z17" s="333">
        <v>-3633</v>
      </c>
      <c r="AA17" s="334">
        <v>45315</v>
      </c>
    </row>
    <row r="18" spans="1:28" s="214" customFormat="1" ht="15" customHeight="1" x14ac:dyDescent="0.25">
      <c r="A18" s="218">
        <v>613</v>
      </c>
      <c r="B18" s="218">
        <v>2024</v>
      </c>
      <c r="C18" s="390" t="str">
        <f>VLOOKUP(B18,база!A:F,2,FALSE)</f>
        <v>Филиппов Владимир Петрович</v>
      </c>
      <c r="D18" s="330"/>
      <c r="E18" s="330"/>
      <c r="F18" s="330"/>
      <c r="G18" s="330"/>
      <c r="H18" s="300"/>
      <c r="I18" s="331"/>
      <c r="J18" s="330"/>
      <c r="K18" s="330"/>
      <c r="L18" s="300"/>
      <c r="M18" s="330">
        <v>48134</v>
      </c>
      <c r="N18" s="330"/>
      <c r="O18" s="330"/>
      <c r="P18" s="330"/>
      <c r="Q18" s="330"/>
      <c r="R18" s="330"/>
      <c r="S18" s="330"/>
      <c r="T18" s="330"/>
      <c r="U18" s="330"/>
      <c r="V18" s="330">
        <f t="shared" si="0"/>
        <v>48134</v>
      </c>
      <c r="W18" s="339">
        <f>VLOOKUP(B18,база!A:F,5,FALSE)</f>
        <v>0</v>
      </c>
      <c r="X18" s="339" t="str">
        <f>VLOOKUP(B18,база!A:F,6,FALSE)</f>
        <v>Якутск</v>
      </c>
      <c r="Y18" s="635">
        <f t="shared" si="1"/>
        <v>48134</v>
      </c>
      <c r="Z18" s="635">
        <v>0</v>
      </c>
      <c r="AA18" s="636" t="s">
        <v>3752</v>
      </c>
    </row>
    <row r="19" spans="1:28" s="214" customFormat="1" ht="15" customHeight="1" x14ac:dyDescent="0.25">
      <c r="A19" s="218">
        <v>614</v>
      </c>
      <c r="B19" s="218">
        <v>2495</v>
      </c>
      <c r="C19" s="390" t="str">
        <f>VLOOKUP(B19,база!A:F,2,FALSE)</f>
        <v>Базанова Елена Александровна</v>
      </c>
      <c r="D19" s="330">
        <v>21051</v>
      </c>
      <c r="E19" s="330"/>
      <c r="F19" s="299"/>
      <c r="G19" s="330"/>
      <c r="H19" s="300"/>
      <c r="I19" s="331"/>
      <c r="J19" s="330"/>
      <c r="K19" s="330"/>
      <c r="L19" s="300"/>
      <c r="M19" s="330"/>
      <c r="N19" s="330"/>
      <c r="O19" s="330"/>
      <c r="P19" s="330"/>
      <c r="Q19" s="330"/>
      <c r="R19" s="330"/>
      <c r="S19" s="330"/>
      <c r="T19" s="330"/>
      <c r="U19" s="330"/>
      <c r="V19" s="330">
        <f t="shared" si="0"/>
        <v>21051</v>
      </c>
      <c r="W19" s="339">
        <f>VLOOKUP(B19,база!A:F,5,FALSE)</f>
        <v>0</v>
      </c>
      <c r="X19" s="339">
        <f>VLOOKUP(B19,база!A:F,6,FALSE)</f>
        <v>0</v>
      </c>
      <c r="Y19" s="333">
        <f t="shared" si="1"/>
        <v>0</v>
      </c>
      <c r="Z19" s="333">
        <f t="shared" ref="Z19:Z29" si="3">Y19*-1</f>
        <v>0</v>
      </c>
      <c r="AA19" s="334"/>
    </row>
    <row r="20" spans="1:28" s="553" customFormat="1" ht="15" customHeight="1" x14ac:dyDescent="0.25">
      <c r="A20" s="614">
        <v>615</v>
      </c>
      <c r="B20" s="614">
        <v>936</v>
      </c>
      <c r="C20" s="637" t="str">
        <f>VLOOKUP(B20,база!A:F,2,FALSE)</f>
        <v>Звозникова Людмила Алексеевна</v>
      </c>
      <c r="D20" s="638">
        <v>31368</v>
      </c>
      <c r="E20" s="638"/>
      <c r="F20" s="639"/>
      <c r="G20" s="638"/>
      <c r="H20" s="618"/>
      <c r="I20" s="640"/>
      <c r="J20" s="638"/>
      <c r="K20" s="638"/>
      <c r="L20" s="618"/>
      <c r="M20" s="638"/>
      <c r="N20" s="638"/>
      <c r="O20" s="638"/>
      <c r="P20" s="638"/>
      <c r="Q20" s="638"/>
      <c r="R20" s="638"/>
      <c r="S20" s="638"/>
      <c r="T20" s="638"/>
      <c r="U20" s="638"/>
      <c r="V20" s="638">
        <f t="shared" si="0"/>
        <v>31368</v>
      </c>
      <c r="W20" s="641">
        <f>VLOOKUP(B20,база!A:F,5,FALSE)</f>
        <v>0</v>
      </c>
      <c r="X20" s="641">
        <f>VLOOKUP(B20,база!A:F,6,FALSE)</f>
        <v>0</v>
      </c>
      <c r="Y20" s="391">
        <f t="shared" si="1"/>
        <v>0</v>
      </c>
      <c r="Z20" s="391">
        <f t="shared" si="3"/>
        <v>0</v>
      </c>
      <c r="AA20" s="642" t="s">
        <v>3753</v>
      </c>
    </row>
    <row r="21" spans="1:28" s="214" customFormat="1" ht="15" customHeight="1" x14ac:dyDescent="0.25">
      <c r="A21" s="218">
        <v>616</v>
      </c>
      <c r="B21" s="218">
        <v>10650</v>
      </c>
      <c r="C21" s="390" t="str">
        <f>VLOOKUP(B21,база!A:F,2,FALSE)</f>
        <v>Календарёв Вячеслав Анатольевич</v>
      </c>
      <c r="D21" s="330">
        <v>48806</v>
      </c>
      <c r="E21" s="330"/>
      <c r="F21" s="299">
        <v>46478</v>
      </c>
      <c r="G21" s="330">
        <v>2</v>
      </c>
      <c r="H21" s="300"/>
      <c r="I21" s="331"/>
      <c r="J21" s="330"/>
      <c r="K21" s="330"/>
      <c r="L21" s="300">
        <v>27506</v>
      </c>
      <c r="M21" s="330"/>
      <c r="N21" s="330"/>
      <c r="O21" s="330"/>
      <c r="P21" s="330"/>
      <c r="Q21" s="330"/>
      <c r="R21" s="330"/>
      <c r="S21" s="330"/>
      <c r="T21" s="330"/>
      <c r="U21" s="330"/>
      <c r="V21" s="330">
        <f t="shared" si="0"/>
        <v>122790</v>
      </c>
      <c r="W21" s="339">
        <f>VLOOKUP(B21,база!A:F,5,FALSE)</f>
        <v>0</v>
      </c>
      <c r="X21" s="339">
        <f>VLOOKUP(B21,база!A:F,6,FALSE)</f>
        <v>0</v>
      </c>
      <c r="Y21" s="333">
        <f t="shared" si="1"/>
        <v>0</v>
      </c>
      <c r="Z21" s="333">
        <f t="shared" si="3"/>
        <v>0</v>
      </c>
      <c r="AA21" s="334"/>
    </row>
    <row r="22" spans="1:28" s="214" customFormat="1" ht="15" customHeight="1" x14ac:dyDescent="0.25">
      <c r="A22" s="218">
        <v>617</v>
      </c>
      <c r="B22" s="218">
        <v>603</v>
      </c>
      <c r="C22" s="390" t="str">
        <f>VLOOKUP(B22,база!A:F,2,FALSE)</f>
        <v>Рарицкая Надежда Владимировна</v>
      </c>
      <c r="D22" s="330">
        <v>30070</v>
      </c>
      <c r="E22" s="330"/>
      <c r="F22" s="299"/>
      <c r="G22" s="330"/>
      <c r="H22" s="300"/>
      <c r="I22" s="331"/>
      <c r="J22" s="330"/>
      <c r="K22" s="330"/>
      <c r="L22" s="300"/>
      <c r="M22" s="330">
        <v>30070</v>
      </c>
      <c r="N22" s="330"/>
      <c r="O22" s="330"/>
      <c r="P22" s="330"/>
      <c r="Q22" s="330"/>
      <c r="R22" s="330"/>
      <c r="S22" s="330"/>
      <c r="T22" s="330"/>
      <c r="U22" s="330"/>
      <c r="V22" s="330">
        <f t="shared" si="0"/>
        <v>60140</v>
      </c>
      <c r="W22" s="339">
        <f>VLOOKUP(B22,база!A:F,5,FALSE)</f>
        <v>0</v>
      </c>
      <c r="X22" s="339">
        <f>VLOOKUP(B22,база!A:F,6,FALSE)</f>
        <v>0</v>
      </c>
      <c r="Y22" s="333">
        <f t="shared" si="1"/>
        <v>30070</v>
      </c>
      <c r="Z22" s="333">
        <f t="shared" si="3"/>
        <v>-30070</v>
      </c>
      <c r="AA22" s="334">
        <v>45317</v>
      </c>
    </row>
    <row r="23" spans="1:28" s="214" customFormat="1" ht="15" customHeight="1" x14ac:dyDescent="0.25">
      <c r="A23" s="218">
        <v>618</v>
      </c>
      <c r="B23" s="218">
        <v>14101</v>
      </c>
      <c r="C23" s="390" t="str">
        <f>VLOOKUP(B23,база!A:F,2,FALSE)</f>
        <v>Богданова Елена Витальевна</v>
      </c>
      <c r="D23" s="330">
        <v>27439</v>
      </c>
      <c r="E23" s="330"/>
      <c r="F23" s="299"/>
      <c r="G23" s="330"/>
      <c r="H23" s="300"/>
      <c r="I23" s="331"/>
      <c r="J23" s="330"/>
      <c r="K23" s="330"/>
      <c r="L23" s="300"/>
      <c r="M23" s="330"/>
      <c r="N23" s="330"/>
      <c r="O23" s="330"/>
      <c r="P23" s="330"/>
      <c r="Q23" s="330"/>
      <c r="R23" s="330"/>
      <c r="S23" s="330"/>
      <c r="T23" s="330"/>
      <c r="U23" s="330"/>
      <c r="V23" s="330">
        <f t="shared" si="0"/>
        <v>27439</v>
      </c>
      <c r="W23" s="339">
        <f>VLOOKUP(B23,база!A:F,5,FALSE)</f>
        <v>0</v>
      </c>
      <c r="X23" s="339">
        <f>VLOOKUP(B23,база!A:F,6,FALSE)</f>
        <v>0</v>
      </c>
      <c r="Y23" s="333">
        <f t="shared" si="1"/>
        <v>0</v>
      </c>
      <c r="Z23" s="333">
        <f t="shared" si="3"/>
        <v>0</v>
      </c>
      <c r="AA23" s="334"/>
    </row>
    <row r="24" spans="1:28" s="214" customFormat="1" ht="15" customHeight="1" x14ac:dyDescent="0.25">
      <c r="A24" s="592">
        <v>619</v>
      </c>
      <c r="B24" s="218">
        <v>2006</v>
      </c>
      <c r="C24" s="390" t="str">
        <f>VLOOKUP(B24,база!A:F,2,FALSE)</f>
        <v>Юнг Сергей Валерьевич</v>
      </c>
      <c r="D24" s="330">
        <v>26528</v>
      </c>
      <c r="E24" s="330"/>
      <c r="F24" s="330">
        <v>26370</v>
      </c>
      <c r="G24" s="330">
        <v>1</v>
      </c>
      <c r="H24" s="300"/>
      <c r="I24" s="331"/>
      <c r="J24" s="330"/>
      <c r="K24" s="330"/>
      <c r="L24" s="300"/>
      <c r="M24" s="300"/>
      <c r="N24" s="330"/>
      <c r="O24" s="330"/>
      <c r="P24" s="330"/>
      <c r="Q24" s="330"/>
      <c r="R24" s="330"/>
      <c r="S24" s="330"/>
      <c r="T24" s="330"/>
      <c r="U24" s="330"/>
      <c r="V24" s="330">
        <f t="shared" si="0"/>
        <v>52898</v>
      </c>
      <c r="W24" s="339">
        <f>VLOOKUP(B24,база!A:F,5,FALSE)</f>
        <v>0</v>
      </c>
      <c r="X24" s="339">
        <f>VLOOKUP(B24,база!A:F,6,FALSE)</f>
        <v>0</v>
      </c>
      <c r="Y24" s="333">
        <f t="shared" si="1"/>
        <v>0</v>
      </c>
      <c r="Z24" s="333">
        <f t="shared" si="3"/>
        <v>0</v>
      </c>
      <c r="AA24" s="334"/>
    </row>
    <row r="25" spans="1:28" s="214" customFormat="1" x14ac:dyDescent="0.25">
      <c r="A25" s="218">
        <v>620</v>
      </c>
      <c r="B25" s="218">
        <v>35761</v>
      </c>
      <c r="C25" s="390" t="str">
        <f>VLOOKUP(B25,база!A:F,2,FALSE)</f>
        <v>Чувилин Дмитрий Сергеевич</v>
      </c>
      <c r="D25" s="330">
        <v>16003.8</v>
      </c>
      <c r="E25" s="330"/>
      <c r="F25" s="330"/>
      <c r="G25" s="330"/>
      <c r="H25" s="300">
        <v>25671.4</v>
      </c>
      <c r="I25" s="331">
        <v>2</v>
      </c>
      <c r="J25" s="330"/>
      <c r="K25" s="330"/>
      <c r="L25" s="300"/>
      <c r="M25" s="330">
        <v>15367.6</v>
      </c>
      <c r="N25" s="330"/>
      <c r="O25" s="330"/>
      <c r="P25" s="330"/>
      <c r="Q25" s="330"/>
      <c r="R25" s="330"/>
      <c r="S25" s="330"/>
      <c r="T25" s="330"/>
      <c r="U25" s="330"/>
      <c r="V25" s="330">
        <f t="shared" si="0"/>
        <v>57042.799999999996</v>
      </c>
      <c r="W25" s="339">
        <f>VLOOKUP(B25,база!A:F,5,FALSE)</f>
        <v>0</v>
      </c>
      <c r="X25" s="339">
        <f>VLOOKUP(B25,база!A:F,6,FALSE)</f>
        <v>0</v>
      </c>
      <c r="Y25" s="333">
        <f t="shared" si="1"/>
        <v>41039</v>
      </c>
      <c r="Z25" s="333">
        <f t="shared" si="3"/>
        <v>-41039</v>
      </c>
      <c r="AA25" s="334">
        <v>45320</v>
      </c>
    </row>
    <row r="26" spans="1:28" s="214" customFormat="1" x14ac:dyDescent="0.25">
      <c r="A26" s="643">
        <v>621</v>
      </c>
      <c r="B26" s="218">
        <v>276943</v>
      </c>
      <c r="C26" s="390" t="str">
        <f>VLOOKUP(B26,база!A:F,2,FALSE)</f>
        <v>Карпухина Екатерина Андреевна</v>
      </c>
      <c r="D26" s="330">
        <v>23130</v>
      </c>
      <c r="E26" s="330"/>
      <c r="F26" s="299"/>
      <c r="G26" s="330"/>
      <c r="H26" s="300"/>
      <c r="I26" s="331"/>
      <c r="J26" s="330"/>
      <c r="K26" s="330"/>
      <c r="L26" s="300"/>
      <c r="M26" s="330">
        <v>23130</v>
      </c>
      <c r="N26" s="330"/>
      <c r="O26" s="330"/>
      <c r="P26" s="330"/>
      <c r="Q26" s="330"/>
      <c r="R26" s="330"/>
      <c r="S26" s="330"/>
      <c r="T26" s="330"/>
      <c r="U26" s="330"/>
      <c r="V26" s="330">
        <f t="shared" si="0"/>
        <v>46260</v>
      </c>
      <c r="W26" s="339">
        <f>VLOOKUP(B26,база!A:F,5,FALSE)</f>
        <v>0</v>
      </c>
      <c r="X26" s="339">
        <f>VLOOKUP(B26,база!A:F,6,FALSE)</f>
        <v>0</v>
      </c>
      <c r="Y26" s="333">
        <f t="shared" si="1"/>
        <v>23130</v>
      </c>
      <c r="Z26" s="333">
        <f t="shared" si="3"/>
        <v>-23130</v>
      </c>
      <c r="AA26" s="334">
        <v>45320</v>
      </c>
    </row>
    <row r="27" spans="1:28" s="214" customFormat="1" x14ac:dyDescent="0.25">
      <c r="A27" s="218">
        <v>622</v>
      </c>
      <c r="B27" s="218">
        <v>2949</v>
      </c>
      <c r="C27" s="390" t="str">
        <f>VLOOKUP(B27,база!A:F,2,FALSE)</f>
        <v>Усмонов Абдумалик Гафорович</v>
      </c>
      <c r="D27" s="330">
        <v>23230</v>
      </c>
      <c r="E27" s="330"/>
      <c r="F27" s="330"/>
      <c r="G27" s="330"/>
      <c r="H27" s="300"/>
      <c r="I27" s="331"/>
      <c r="J27" s="330"/>
      <c r="K27" s="330"/>
      <c r="L27" s="300"/>
      <c r="M27" s="330"/>
      <c r="N27" s="330"/>
      <c r="O27" s="330"/>
      <c r="P27" s="330"/>
      <c r="Q27" s="330"/>
      <c r="R27" s="330"/>
      <c r="S27" s="330"/>
      <c r="T27" s="330"/>
      <c r="U27" s="330"/>
      <c r="V27" s="330">
        <f t="shared" si="0"/>
        <v>23230</v>
      </c>
      <c r="W27" s="339">
        <f>VLOOKUP(B27,база!A:F,5,FALSE)</f>
        <v>0</v>
      </c>
      <c r="X27" s="339">
        <f>VLOOKUP(B27,база!A:F,6,FALSE)</f>
        <v>0</v>
      </c>
      <c r="Y27" s="333">
        <f t="shared" si="1"/>
        <v>0</v>
      </c>
      <c r="Z27" s="333">
        <f t="shared" si="3"/>
        <v>0</v>
      </c>
      <c r="AA27" s="334"/>
    </row>
    <row r="28" spans="1:28" s="214" customFormat="1" x14ac:dyDescent="0.25">
      <c r="A28" s="218">
        <v>623</v>
      </c>
      <c r="B28" s="592">
        <v>25514</v>
      </c>
      <c r="C28" s="390" t="str">
        <f>VLOOKUP(B28,база!A:F,2,FALSE)</f>
        <v>Горин Алексей Васильевич</v>
      </c>
      <c r="D28" s="644"/>
      <c r="E28" s="644"/>
      <c r="F28" s="645"/>
      <c r="G28" s="644"/>
      <c r="H28" s="646"/>
      <c r="I28" s="647"/>
      <c r="J28" s="644"/>
      <c r="K28" s="644"/>
      <c r="L28" s="646"/>
      <c r="M28" s="644">
        <v>10005</v>
      </c>
      <c r="N28" s="644"/>
      <c r="O28" s="644"/>
      <c r="P28" s="644"/>
      <c r="Q28" s="644"/>
      <c r="R28" s="644"/>
      <c r="S28" s="644"/>
      <c r="T28" s="644"/>
      <c r="U28" s="644"/>
      <c r="V28" s="330">
        <f t="shared" si="0"/>
        <v>10005</v>
      </c>
      <c r="W28" s="339">
        <f>VLOOKUP(B28,база!A:F,5,FALSE)</f>
        <v>0</v>
      </c>
      <c r="X28" s="339">
        <f>VLOOKUP(B28,база!A:F,6,FALSE)</f>
        <v>0</v>
      </c>
      <c r="Y28" s="333">
        <f t="shared" si="1"/>
        <v>10005</v>
      </c>
      <c r="Z28" s="333">
        <f t="shared" si="3"/>
        <v>-10005</v>
      </c>
      <c r="AA28" s="334">
        <v>45322</v>
      </c>
      <c r="AB28" s="553"/>
    </row>
    <row r="29" spans="1:28" s="553" customFormat="1" x14ac:dyDescent="0.25">
      <c r="A29" s="614">
        <v>624</v>
      </c>
      <c r="B29" s="648">
        <v>212750</v>
      </c>
      <c r="C29" s="637" t="str">
        <f>VLOOKUP(B29,база!A:F,2,FALSE)</f>
        <v>Батраченко Дмитрий Сергеевич</v>
      </c>
      <c r="D29" s="649"/>
      <c r="E29" s="649"/>
      <c r="F29" s="650"/>
      <c r="G29" s="649"/>
      <c r="H29" s="651"/>
      <c r="I29" s="652"/>
      <c r="J29" s="649"/>
      <c r="K29" s="649"/>
      <c r="L29" s="651"/>
      <c r="M29" s="649"/>
      <c r="N29" s="649"/>
      <c r="O29" s="649"/>
      <c r="P29" s="649"/>
      <c r="Q29" s="649">
        <v>172980</v>
      </c>
      <c r="R29" s="649"/>
      <c r="S29" s="649"/>
      <c r="T29" s="649"/>
      <c r="U29" s="649"/>
      <c r="V29" s="638">
        <f t="shared" si="0"/>
        <v>172980</v>
      </c>
      <c r="W29" s="641">
        <f>VLOOKUP(B29,база!A:F,5,FALSE)</f>
        <v>0</v>
      </c>
      <c r="X29" s="641">
        <f>VLOOKUP(B29,база!A:F,6,FALSE)</f>
        <v>0</v>
      </c>
      <c r="Y29" s="391">
        <f t="shared" si="1"/>
        <v>0</v>
      </c>
      <c r="Z29" s="391">
        <f t="shared" si="3"/>
        <v>0</v>
      </c>
      <c r="AA29" s="642" t="s">
        <v>3484</v>
      </c>
    </row>
    <row r="30" spans="1:28" s="214" customFormat="1" x14ac:dyDescent="0.25">
      <c r="A30" s="218">
        <v>625</v>
      </c>
      <c r="B30" s="592">
        <v>175635</v>
      </c>
      <c r="C30" s="390" t="str">
        <f>VLOOKUP(B30,база!A:F,2,FALSE)</f>
        <v>Бердин Владислав Владимирович</v>
      </c>
      <c r="D30" s="644">
        <v>94986</v>
      </c>
      <c r="E30" s="644"/>
      <c r="F30" s="645"/>
      <c r="G30" s="644"/>
      <c r="H30" s="646"/>
      <c r="I30" s="647"/>
      <c r="J30" s="644"/>
      <c r="K30" s="644"/>
      <c r="L30" s="646"/>
      <c r="M30" s="644">
        <v>94986</v>
      </c>
      <c r="N30" s="644"/>
      <c r="O30" s="644"/>
      <c r="P30" s="644"/>
      <c r="Q30" s="644"/>
      <c r="R30" s="644"/>
      <c r="S30" s="644"/>
      <c r="T30" s="644"/>
      <c r="U30" s="644"/>
      <c r="V30" s="330">
        <f t="shared" si="0"/>
        <v>189972</v>
      </c>
      <c r="W30" s="339">
        <f>VLOOKUP(B30,база!A:F,5,FALSE)</f>
        <v>0</v>
      </c>
      <c r="X30" s="339">
        <f>VLOOKUP(B30,база!A:F,6,FALSE)</f>
        <v>0</v>
      </c>
      <c r="Y30" s="635">
        <f t="shared" si="1"/>
        <v>94986</v>
      </c>
      <c r="Z30" s="635">
        <v>0</v>
      </c>
      <c r="AA30" s="636" t="s">
        <v>3752</v>
      </c>
      <c r="AB30" s="271"/>
    </row>
    <row r="31" spans="1:28" s="596" customFormat="1" x14ac:dyDescent="0.25">
      <c r="A31" s="593"/>
      <c r="B31" s="592"/>
      <c r="C31" s="594"/>
      <c r="D31" s="595">
        <f t="shared" ref="D31:V31" si="4">SUM(D6:D30)</f>
        <v>719409.3</v>
      </c>
      <c r="E31" s="595">
        <f t="shared" si="4"/>
        <v>0</v>
      </c>
      <c r="F31" s="595">
        <f t="shared" si="4"/>
        <v>173486.7</v>
      </c>
      <c r="G31" s="595">
        <f t="shared" si="4"/>
        <v>7</v>
      </c>
      <c r="H31" s="595">
        <f t="shared" si="4"/>
        <v>67439.399999999994</v>
      </c>
      <c r="I31" s="595">
        <f t="shared" si="4"/>
        <v>3</v>
      </c>
      <c r="J31" s="595">
        <f t="shared" si="4"/>
        <v>0</v>
      </c>
      <c r="K31" s="595">
        <f t="shared" si="4"/>
        <v>0</v>
      </c>
      <c r="L31" s="595">
        <f t="shared" si="4"/>
        <v>27506</v>
      </c>
      <c r="M31" s="595">
        <f t="shared" si="4"/>
        <v>462713.1</v>
      </c>
      <c r="N31" s="595">
        <f t="shared" si="4"/>
        <v>0</v>
      </c>
      <c r="O31" s="595">
        <f t="shared" si="4"/>
        <v>0</v>
      </c>
      <c r="P31" s="595">
        <f t="shared" si="4"/>
        <v>0</v>
      </c>
      <c r="Q31" s="595">
        <f t="shared" si="4"/>
        <v>172980</v>
      </c>
      <c r="R31" s="595">
        <f t="shared" si="4"/>
        <v>0</v>
      </c>
      <c r="S31" s="595">
        <f t="shared" si="4"/>
        <v>0</v>
      </c>
      <c r="T31" s="595">
        <f t="shared" si="4"/>
        <v>0</v>
      </c>
      <c r="U31" s="595">
        <f t="shared" si="4"/>
        <v>0</v>
      </c>
      <c r="V31" s="595">
        <f t="shared" si="4"/>
        <v>1623534.5</v>
      </c>
      <c r="W31" s="595"/>
      <c r="X31" s="593"/>
      <c r="Y31" s="653">
        <f>SUM(Y6:Y30)</f>
        <v>530152.5</v>
      </c>
      <c r="Z31" s="654">
        <f>SUM(Z6:Z30)</f>
        <v>-315225.5</v>
      </c>
      <c r="AA31" s="334"/>
    </row>
    <row r="32" spans="1:28" s="214" customFormat="1" x14ac:dyDescent="0.25">
      <c r="A32" s="38"/>
      <c r="B32" s="38"/>
      <c r="C32" s="39"/>
      <c r="D32" s="316"/>
      <c r="E32" s="316"/>
      <c r="F32" s="317"/>
      <c r="G32" s="316"/>
      <c r="H32" s="318"/>
      <c r="I32" s="319"/>
      <c r="J32" s="316"/>
      <c r="K32" s="316"/>
      <c r="L32" s="316"/>
      <c r="M32" s="316"/>
      <c r="N32" s="316"/>
      <c r="O32" s="316"/>
      <c r="P32" s="316"/>
      <c r="Q32" s="316"/>
      <c r="R32" s="316"/>
      <c r="S32" s="316"/>
      <c r="T32" s="316"/>
      <c r="U32" s="316" t="s">
        <v>3337</v>
      </c>
      <c r="V32" s="316">
        <v>0</v>
      </c>
      <c r="W32" s="38"/>
      <c r="X32" s="38"/>
      <c r="Y32" s="272"/>
      <c r="Z32" s="272"/>
      <c r="AA32" s="320"/>
    </row>
    <row r="33" spans="1:122" s="214" customFormat="1" ht="16.5" x14ac:dyDescent="0.25">
      <c r="A33" s="212" t="s">
        <v>173</v>
      </c>
      <c r="B33" s="212"/>
      <c r="C33" s="38"/>
      <c r="D33" s="321" t="s">
        <v>1057</v>
      </c>
      <c r="E33" s="321"/>
      <c r="F33" s="322"/>
      <c r="G33" s="321"/>
      <c r="H33" s="323"/>
      <c r="I33" s="324"/>
      <c r="J33" s="321"/>
      <c r="K33" s="321"/>
      <c r="L33" s="321"/>
      <c r="M33" s="321"/>
      <c r="N33" s="321"/>
      <c r="O33" s="321"/>
      <c r="P33" s="321"/>
      <c r="Q33" s="325"/>
      <c r="R33" s="321"/>
      <c r="S33" s="321"/>
      <c r="T33" s="321"/>
      <c r="U33" s="321"/>
      <c r="V33" s="321"/>
      <c r="W33" s="212"/>
      <c r="X33" s="212"/>
      <c r="Y33" s="272"/>
      <c r="Z33" s="272"/>
      <c r="AA33" s="320"/>
    </row>
    <row r="34" spans="1:122" s="214" customFormat="1" x14ac:dyDescent="0.25">
      <c r="A34" s="38"/>
      <c r="B34" s="38"/>
      <c r="C34" s="38"/>
      <c r="D34" s="316"/>
      <c r="E34" s="316"/>
      <c r="F34" s="317"/>
      <c r="G34" s="316"/>
      <c r="H34" s="318"/>
      <c r="I34" s="319"/>
      <c r="J34" s="316"/>
      <c r="K34" s="316"/>
      <c r="L34" s="316"/>
      <c r="M34" s="316"/>
      <c r="N34" s="316"/>
      <c r="O34" s="316"/>
      <c r="P34" s="316"/>
      <c r="Q34" s="367"/>
      <c r="R34" s="316"/>
      <c r="S34" s="316"/>
      <c r="T34" s="316"/>
      <c r="U34" s="316"/>
      <c r="V34" s="316">
        <f>V31+V32</f>
        <v>1623534.5</v>
      </c>
      <c r="W34" s="38"/>
      <c r="X34" s="38"/>
      <c r="Y34" s="285"/>
      <c r="Z34" s="286"/>
      <c r="AA34" s="320"/>
    </row>
    <row r="35" spans="1:122" s="214" customFormat="1" x14ac:dyDescent="0.25">
      <c r="A35" s="38"/>
      <c r="B35" s="113"/>
      <c r="C35" s="392"/>
      <c r="D35" s="208"/>
      <c r="E35" s="208"/>
      <c r="F35" s="326"/>
      <c r="G35" s="208"/>
      <c r="H35" s="305"/>
      <c r="I35" s="204"/>
      <c r="J35" s="205"/>
      <c r="K35" s="205"/>
      <c r="L35" s="205"/>
      <c r="M35" s="205"/>
      <c r="N35" s="205"/>
      <c r="O35" s="205"/>
      <c r="P35" s="205"/>
      <c r="Q35" s="597"/>
      <c r="R35" s="205"/>
      <c r="S35" s="205"/>
      <c r="T35" s="205"/>
      <c r="U35" s="205"/>
      <c r="V35" s="316"/>
      <c r="W35" s="38"/>
      <c r="X35" s="38"/>
      <c r="Y35" s="285"/>
      <c r="Z35" s="286"/>
      <c r="AA35" s="320"/>
    </row>
    <row r="36" spans="1:122" s="667" customFormat="1" ht="18.75" x14ac:dyDescent="0.3">
      <c r="A36" s="668"/>
      <c r="B36" s="669"/>
      <c r="C36" s="669" t="s">
        <v>3763</v>
      </c>
      <c r="D36" s="670"/>
      <c r="E36" s="670"/>
      <c r="F36" s="671"/>
      <c r="G36" s="670"/>
      <c r="H36" s="672"/>
      <c r="I36" s="670"/>
      <c r="J36" s="670"/>
      <c r="K36" s="670"/>
      <c r="L36" s="670"/>
      <c r="M36" s="670"/>
      <c r="N36" s="670"/>
      <c r="O36" s="670"/>
      <c r="P36" s="670"/>
      <c r="Q36" s="670"/>
      <c r="R36" s="670"/>
      <c r="S36" s="670"/>
      <c r="T36" s="670"/>
      <c r="U36" s="670"/>
      <c r="V36" s="673"/>
      <c r="W36" s="674"/>
      <c r="X36" s="674"/>
      <c r="Y36" s="673"/>
      <c r="Z36" s="670"/>
      <c r="AA36" s="675"/>
      <c r="AB36" s="666"/>
      <c r="AC36" s="666"/>
      <c r="AD36" s="666"/>
      <c r="AE36" s="666"/>
      <c r="AF36" s="666"/>
      <c r="AG36" s="666"/>
    </row>
    <row r="37" spans="1:122" ht="180.75" x14ac:dyDescent="0.25">
      <c r="A37" s="336" t="s">
        <v>1249</v>
      </c>
      <c r="B37" s="127" t="s">
        <v>1054</v>
      </c>
      <c r="C37" s="389" t="s">
        <v>1</v>
      </c>
      <c r="D37" s="659" t="s">
        <v>1372</v>
      </c>
      <c r="E37" s="659" t="s">
        <v>2884</v>
      </c>
      <c r="F37" s="659" t="s">
        <v>2885</v>
      </c>
      <c r="G37" s="660" t="s">
        <v>2886</v>
      </c>
      <c r="H37" s="661" t="s">
        <v>2887</v>
      </c>
      <c r="I37" s="660" t="s">
        <v>2886</v>
      </c>
      <c r="J37" s="659" t="s">
        <v>2888</v>
      </c>
      <c r="K37" s="659" t="s">
        <v>2889</v>
      </c>
      <c r="L37" s="659" t="s">
        <v>2890</v>
      </c>
      <c r="M37" s="659" t="s">
        <v>2891</v>
      </c>
      <c r="N37" s="659" t="s">
        <v>1081</v>
      </c>
      <c r="O37" s="659" t="s">
        <v>1082</v>
      </c>
      <c r="P37" s="659" t="s">
        <v>1083</v>
      </c>
      <c r="Q37" s="659" t="s">
        <v>1373</v>
      </c>
      <c r="R37" s="659" t="s">
        <v>2673</v>
      </c>
      <c r="S37" s="659" t="s">
        <v>1084</v>
      </c>
      <c r="T37" s="659" t="s">
        <v>2892</v>
      </c>
      <c r="U37" s="659" t="s">
        <v>2893</v>
      </c>
      <c r="V37" s="662" t="s">
        <v>1073</v>
      </c>
      <c r="W37" s="270" t="s">
        <v>1085</v>
      </c>
      <c r="X37" s="270" t="s">
        <v>114</v>
      </c>
      <c r="Y37" s="663" t="s">
        <v>2945</v>
      </c>
      <c r="Z37" s="664" t="s">
        <v>2977</v>
      </c>
      <c r="AA37" s="665"/>
      <c r="AB37" s="38"/>
      <c r="AC37" s="38"/>
      <c r="AD37" s="38"/>
      <c r="AE37" s="38"/>
      <c r="AF37" s="38"/>
      <c r="AG37" s="38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</row>
    <row r="38" spans="1:122" s="553" customFormat="1" x14ac:dyDescent="0.25">
      <c r="A38" s="218">
        <v>604</v>
      </c>
      <c r="B38" s="218">
        <v>2184</v>
      </c>
      <c r="C38" s="390" t="str">
        <f>VLOOKUP(B38,база!A:F,2,FALSE)</f>
        <v>Воронина Ирина Диевна</v>
      </c>
      <c r="D38" s="330"/>
      <c r="E38" s="330"/>
      <c r="F38" s="330"/>
      <c r="G38" s="330"/>
      <c r="H38" s="300">
        <v>41768</v>
      </c>
      <c r="I38" s="331">
        <v>1</v>
      </c>
      <c r="J38" s="330"/>
      <c r="K38" s="330"/>
      <c r="L38" s="300"/>
      <c r="M38" s="330"/>
      <c r="N38" s="330"/>
      <c r="O38" s="330"/>
      <c r="P38" s="330"/>
      <c r="Q38" s="330"/>
      <c r="R38" s="330"/>
      <c r="S38" s="330"/>
      <c r="T38" s="330"/>
      <c r="U38" s="330"/>
      <c r="V38" s="330">
        <f>D38+E38+F38+H38+J38+K38+L38+M38+N38+O38+P38+Q38+S38+T38+U38</f>
        <v>41768</v>
      </c>
      <c r="W38" s="339">
        <f>VLOOKUP(B38,база!A:F,5,FALSE)</f>
        <v>0</v>
      </c>
      <c r="X38" s="339" t="str">
        <f>VLOOKUP(B38,база!A:F,6,FALSE)</f>
        <v>Якутск</v>
      </c>
      <c r="Y38" s="333">
        <f>H38+K38+M38</f>
        <v>41768</v>
      </c>
      <c r="Z38" s="333">
        <f>Y38*-1</f>
        <v>-41768</v>
      </c>
      <c r="AA38" s="334">
        <v>45303</v>
      </c>
    </row>
    <row r="39" spans="1:122" s="214" customFormat="1" x14ac:dyDescent="0.25">
      <c r="A39" s="218">
        <v>613</v>
      </c>
      <c r="B39" s="218">
        <v>2024</v>
      </c>
      <c r="C39" s="390" t="str">
        <f>VLOOKUP(B39,база!A:F,2,FALSE)</f>
        <v>Филиппов Владимир Петрович</v>
      </c>
      <c r="D39" s="330"/>
      <c r="E39" s="330"/>
      <c r="F39" s="330"/>
      <c r="G39" s="330"/>
      <c r="H39" s="300"/>
      <c r="I39" s="331"/>
      <c r="J39" s="330"/>
      <c r="K39" s="330"/>
      <c r="L39" s="300"/>
      <c r="M39" s="330">
        <v>48134</v>
      </c>
      <c r="N39" s="330"/>
      <c r="O39" s="330"/>
      <c r="P39" s="330"/>
      <c r="Q39" s="330"/>
      <c r="R39" s="330"/>
      <c r="S39" s="330"/>
      <c r="T39" s="330"/>
      <c r="U39" s="330"/>
      <c r="V39" s="330">
        <f>D39+E39+F39+H39+J39+K39+L39+M39+N39+O39+P39+Q39+S39+T39+U39</f>
        <v>48134</v>
      </c>
      <c r="W39" s="339">
        <f>VLOOKUP(B39,база!A:F,5,FALSE)</f>
        <v>0</v>
      </c>
      <c r="X39" s="339" t="str">
        <f>VLOOKUP(B39,база!A:F,6,FALSE)</f>
        <v>Якутск</v>
      </c>
      <c r="Y39" s="635">
        <f>H39+K39+M39</f>
        <v>48134</v>
      </c>
      <c r="Z39" s="635">
        <v>0</v>
      </c>
      <c r="AA39" s="636" t="s">
        <v>3752</v>
      </c>
      <c r="AB39" s="271"/>
    </row>
    <row r="40" spans="1:122" x14ac:dyDescent="0.25">
      <c r="A40" s="187"/>
      <c r="B40" s="606"/>
      <c r="C40" s="393"/>
      <c r="D40" s="273">
        <f>SUM(D38:D39)</f>
        <v>0</v>
      </c>
      <c r="E40" s="273">
        <f t="shared" ref="E40:AA40" si="5">SUM(E38:E39)</f>
        <v>0</v>
      </c>
      <c r="F40" s="273">
        <f t="shared" si="5"/>
        <v>0</v>
      </c>
      <c r="G40" s="273">
        <f t="shared" si="5"/>
        <v>0</v>
      </c>
      <c r="H40" s="273">
        <f t="shared" si="5"/>
        <v>41768</v>
      </c>
      <c r="I40" s="273">
        <f t="shared" si="5"/>
        <v>1</v>
      </c>
      <c r="J40" s="273">
        <f t="shared" si="5"/>
        <v>0</v>
      </c>
      <c r="K40" s="273">
        <f t="shared" si="5"/>
        <v>0</v>
      </c>
      <c r="L40" s="273">
        <f t="shared" si="5"/>
        <v>0</v>
      </c>
      <c r="M40" s="273">
        <f t="shared" si="5"/>
        <v>48134</v>
      </c>
      <c r="N40" s="273">
        <f t="shared" si="5"/>
        <v>0</v>
      </c>
      <c r="O40" s="273">
        <f t="shared" si="5"/>
        <v>0</v>
      </c>
      <c r="P40" s="273">
        <f t="shared" si="5"/>
        <v>0</v>
      </c>
      <c r="Q40" s="273">
        <f t="shared" si="5"/>
        <v>0</v>
      </c>
      <c r="R40" s="273">
        <f t="shared" si="5"/>
        <v>0</v>
      </c>
      <c r="S40" s="273">
        <f t="shared" si="5"/>
        <v>0</v>
      </c>
      <c r="T40" s="273">
        <f t="shared" si="5"/>
        <v>0</v>
      </c>
      <c r="U40" s="273">
        <f t="shared" si="5"/>
        <v>0</v>
      </c>
      <c r="V40" s="273">
        <f t="shared" si="5"/>
        <v>89902</v>
      </c>
      <c r="W40" s="273">
        <f t="shared" si="5"/>
        <v>0</v>
      </c>
      <c r="X40" s="273">
        <f t="shared" si="5"/>
        <v>0</v>
      </c>
      <c r="Y40" s="273">
        <f t="shared" si="5"/>
        <v>89902</v>
      </c>
      <c r="Z40" s="273">
        <f t="shared" si="5"/>
        <v>-41768</v>
      </c>
      <c r="AA40" s="273">
        <f t="shared" si="5"/>
        <v>45303</v>
      </c>
    </row>
    <row r="42" spans="1:122" s="214" customFormat="1" ht="16.5" x14ac:dyDescent="0.25">
      <c r="A42" s="212" t="s">
        <v>173</v>
      </c>
      <c r="B42" s="212"/>
      <c r="C42" s="38"/>
      <c r="D42" s="321" t="s">
        <v>1057</v>
      </c>
      <c r="E42" s="321"/>
      <c r="F42" s="322"/>
      <c r="G42" s="321"/>
      <c r="H42" s="323"/>
      <c r="I42" s="324"/>
      <c r="J42" s="321"/>
      <c r="K42" s="321"/>
      <c r="L42" s="321"/>
      <c r="M42" s="321"/>
      <c r="N42" s="321"/>
      <c r="O42" s="321"/>
      <c r="P42" s="321"/>
      <c r="Q42" s="325"/>
      <c r="R42" s="321"/>
      <c r="S42" s="321"/>
      <c r="T42" s="321"/>
      <c r="U42" s="321"/>
      <c r="V42" s="321"/>
      <c r="W42" s="212"/>
      <c r="X42" s="212"/>
      <c r="Y42" s="272"/>
      <c r="Z42" s="272"/>
      <c r="AA42" s="320"/>
    </row>
    <row r="2321" spans="1:122" s="208" customFormat="1" x14ac:dyDescent="0.25">
      <c r="A2321" s="187">
        <v>152153</v>
      </c>
      <c r="B2321" s="606" t="s">
        <v>2566</v>
      </c>
      <c r="C2321" s="393" t="s">
        <v>1676</v>
      </c>
      <c r="D2321" s="273"/>
      <c r="E2321" s="273"/>
      <c r="F2321" s="328"/>
      <c r="G2321" s="274"/>
      <c r="H2321" s="329"/>
      <c r="I2321" s="209"/>
      <c r="V2321" s="227"/>
      <c r="W2321" s="271"/>
      <c r="X2321" s="271"/>
      <c r="Y2321" s="227"/>
      <c r="AA2321" s="320"/>
      <c r="AB2321" s="214"/>
      <c r="AC2321" s="214"/>
      <c r="AD2321" s="214"/>
      <c r="AE2321" s="214"/>
      <c r="AF2321" s="214"/>
      <c r="AG2321" s="214"/>
      <c r="AH2321" s="113"/>
      <c r="AI2321" s="113"/>
      <c r="AJ2321" s="113"/>
      <c r="AK2321" s="113"/>
      <c r="AL2321" s="113"/>
      <c r="AM2321" s="113"/>
      <c r="AN2321" s="113"/>
      <c r="AO2321" s="113"/>
      <c r="AP2321" s="113"/>
      <c r="AQ2321" s="113"/>
      <c r="AR2321" s="113"/>
      <c r="AS2321" s="113"/>
      <c r="AT2321" s="113"/>
      <c r="AU2321" s="113"/>
      <c r="AV2321" s="113"/>
      <c r="AW2321" s="113"/>
      <c r="AX2321" s="113"/>
      <c r="AY2321" s="113"/>
      <c r="AZ2321" s="113"/>
      <c r="BA2321" s="113"/>
      <c r="BB2321" s="113"/>
      <c r="BC2321" s="113"/>
      <c r="BD2321" s="113"/>
      <c r="BE2321" s="113"/>
      <c r="BF2321" s="113"/>
      <c r="BG2321" s="113"/>
      <c r="BH2321" s="113"/>
      <c r="BI2321" s="113"/>
      <c r="BJ2321" s="113"/>
      <c r="BK2321" s="113"/>
      <c r="BL2321" s="113"/>
      <c r="BM2321" s="113"/>
      <c r="BN2321" s="113"/>
      <c r="BO2321" s="113"/>
      <c r="BP2321" s="113"/>
      <c r="BQ2321" s="113"/>
      <c r="BR2321" s="113"/>
      <c r="BS2321" s="113"/>
      <c r="BT2321" s="113"/>
      <c r="BU2321" s="113"/>
      <c r="BV2321" s="113"/>
      <c r="BW2321" s="113"/>
      <c r="BX2321" s="113"/>
      <c r="BY2321" s="113"/>
      <c r="BZ2321" s="113"/>
      <c r="CA2321" s="113"/>
      <c r="CB2321" s="113"/>
      <c r="CC2321" s="113"/>
      <c r="CD2321" s="113"/>
      <c r="CE2321" s="113"/>
      <c r="CF2321" s="113"/>
      <c r="CG2321" s="113"/>
      <c r="CH2321" s="113"/>
      <c r="CI2321" s="113"/>
      <c r="CJ2321" s="113"/>
      <c r="CK2321" s="113"/>
      <c r="CL2321" s="113"/>
      <c r="CM2321" s="113"/>
      <c r="CN2321" s="113"/>
      <c r="CO2321" s="113"/>
      <c r="CP2321" s="113"/>
      <c r="CQ2321" s="113"/>
      <c r="CR2321" s="113"/>
      <c r="CS2321" s="113"/>
      <c r="CT2321" s="113"/>
      <c r="CU2321" s="113"/>
      <c r="CV2321" s="113"/>
      <c r="CW2321" s="113"/>
      <c r="CX2321" s="113"/>
      <c r="CY2321" s="113"/>
      <c r="CZ2321" s="113"/>
      <c r="DA2321" s="113"/>
      <c r="DB2321" s="113"/>
      <c r="DC2321" s="113"/>
      <c r="DD2321" s="113"/>
      <c r="DE2321" s="113"/>
      <c r="DF2321" s="113"/>
      <c r="DG2321" s="113"/>
      <c r="DH2321" s="113"/>
      <c r="DI2321" s="113"/>
      <c r="DJ2321" s="113"/>
      <c r="DK2321" s="113"/>
      <c r="DL2321" s="113"/>
      <c r="DM2321" s="113"/>
      <c r="DN2321" s="113"/>
      <c r="DO2321" s="113"/>
      <c r="DP2321" s="113"/>
      <c r="DQ2321" s="113"/>
      <c r="DR2321" s="113"/>
    </row>
    <row r="2423" spans="1:122" s="327" customFormat="1" x14ac:dyDescent="0.25">
      <c r="A2423" s="187"/>
      <c r="B2423" s="606"/>
      <c r="C2423" s="393"/>
      <c r="D2423" s="273"/>
      <c r="E2423" s="273"/>
      <c r="F2423" s="328"/>
      <c r="G2423" s="274"/>
      <c r="I2423" s="208"/>
      <c r="J2423" s="208"/>
      <c r="K2423" s="208"/>
      <c r="L2423" s="208"/>
      <c r="M2423" s="208"/>
      <c r="N2423" s="208"/>
      <c r="O2423" s="208"/>
      <c r="P2423" s="208"/>
      <c r="Q2423" s="208"/>
      <c r="R2423" s="208"/>
      <c r="S2423" s="208"/>
      <c r="T2423" s="208"/>
      <c r="U2423" s="208"/>
      <c r="V2423" s="227"/>
      <c r="W2423" s="271"/>
      <c r="X2423" s="271"/>
      <c r="Y2423" s="227"/>
      <c r="Z2423" s="208"/>
      <c r="AA2423" s="320"/>
      <c r="AB2423" s="214"/>
      <c r="AC2423" s="214"/>
      <c r="AD2423" s="214"/>
      <c r="AE2423" s="214"/>
      <c r="AF2423" s="214"/>
      <c r="AG2423" s="214"/>
      <c r="AH2423" s="113"/>
      <c r="AI2423" s="113"/>
      <c r="AJ2423" s="113"/>
      <c r="AK2423" s="113"/>
      <c r="AL2423" s="113"/>
      <c r="AM2423" s="113"/>
      <c r="AN2423" s="113"/>
      <c r="AO2423" s="113"/>
      <c r="AP2423" s="113"/>
      <c r="AQ2423" s="113"/>
      <c r="AR2423" s="113"/>
      <c r="AS2423" s="113"/>
      <c r="AT2423" s="113"/>
      <c r="AU2423" s="113"/>
      <c r="AV2423" s="113"/>
      <c r="AW2423" s="113"/>
      <c r="AX2423" s="113"/>
      <c r="AY2423" s="113"/>
      <c r="AZ2423" s="113"/>
      <c r="BA2423" s="113"/>
      <c r="BB2423" s="113"/>
      <c r="BC2423" s="113"/>
      <c r="BD2423" s="113"/>
      <c r="BE2423" s="113"/>
      <c r="BF2423" s="113"/>
      <c r="BG2423" s="113"/>
      <c r="BH2423" s="113"/>
      <c r="BI2423" s="113"/>
      <c r="BJ2423" s="113"/>
      <c r="BK2423" s="113"/>
      <c r="BL2423" s="113"/>
      <c r="BM2423" s="113"/>
      <c r="BN2423" s="113"/>
      <c r="BO2423" s="113"/>
      <c r="BP2423" s="113"/>
      <c r="BQ2423" s="113"/>
      <c r="BR2423" s="113"/>
      <c r="BS2423" s="113"/>
      <c r="BT2423" s="113"/>
      <c r="BU2423" s="113"/>
      <c r="BV2423" s="113"/>
      <c r="BW2423" s="113"/>
      <c r="BX2423" s="113"/>
      <c r="BY2423" s="113"/>
      <c r="BZ2423" s="113"/>
      <c r="CA2423" s="113"/>
      <c r="CB2423" s="113"/>
      <c r="CC2423" s="113"/>
      <c r="CD2423" s="113"/>
      <c r="CE2423" s="113"/>
      <c r="CF2423" s="113"/>
      <c r="CG2423" s="113"/>
      <c r="CH2423" s="113"/>
      <c r="CI2423" s="113"/>
      <c r="CJ2423" s="113"/>
      <c r="CK2423" s="113"/>
      <c r="CL2423" s="113"/>
      <c r="CM2423" s="113"/>
      <c r="CN2423" s="113"/>
      <c r="CO2423" s="113"/>
      <c r="CP2423" s="113"/>
      <c r="CQ2423" s="113"/>
      <c r="CR2423" s="113"/>
      <c r="CS2423" s="113"/>
      <c r="CT2423" s="113"/>
      <c r="CU2423" s="113"/>
      <c r="CV2423" s="113"/>
      <c r="CW2423" s="113"/>
      <c r="CX2423" s="113"/>
      <c r="CY2423" s="113"/>
      <c r="CZ2423" s="113"/>
      <c r="DA2423" s="113"/>
      <c r="DB2423" s="113"/>
      <c r="DC2423" s="113"/>
      <c r="DD2423" s="113"/>
      <c r="DE2423" s="113"/>
      <c r="DF2423" s="113"/>
      <c r="DG2423" s="113"/>
      <c r="DH2423" s="113"/>
      <c r="DI2423" s="113"/>
      <c r="DJ2423" s="113"/>
      <c r="DK2423" s="113"/>
      <c r="DL2423" s="113"/>
      <c r="DM2423" s="113"/>
      <c r="DN2423" s="113"/>
      <c r="DO2423" s="113"/>
      <c r="DP2423" s="113"/>
      <c r="DQ2423" s="113"/>
      <c r="DR2423" s="113"/>
    </row>
    <row r="2424" spans="1:122" s="327" customFormat="1" x14ac:dyDescent="0.25">
      <c r="A2424" s="187"/>
      <c r="B2424" s="606"/>
      <c r="C2424" s="393"/>
      <c r="D2424" s="273"/>
      <c r="E2424" s="273"/>
      <c r="F2424" s="328"/>
      <c r="G2424" s="274"/>
      <c r="I2424" s="208"/>
      <c r="J2424" s="208"/>
      <c r="K2424" s="208"/>
      <c r="L2424" s="208"/>
      <c r="M2424" s="208"/>
      <c r="N2424" s="208"/>
      <c r="O2424" s="208"/>
      <c r="P2424" s="208"/>
      <c r="Q2424" s="208"/>
      <c r="R2424" s="208"/>
      <c r="S2424" s="208"/>
      <c r="T2424" s="208"/>
      <c r="U2424" s="208"/>
      <c r="V2424" s="227"/>
      <c r="W2424" s="271"/>
      <c r="X2424" s="271"/>
      <c r="Y2424" s="227"/>
      <c r="Z2424" s="208"/>
      <c r="AA2424" s="320"/>
      <c r="AB2424" s="214"/>
      <c r="AC2424" s="214"/>
      <c r="AD2424" s="214"/>
      <c r="AE2424" s="214"/>
      <c r="AF2424" s="214"/>
      <c r="AG2424" s="214"/>
      <c r="AH2424" s="113"/>
      <c r="AI2424" s="113"/>
      <c r="AJ2424" s="113"/>
      <c r="AK2424" s="113"/>
      <c r="AL2424" s="113"/>
      <c r="AM2424" s="113"/>
      <c r="AN2424" s="113"/>
      <c r="AO2424" s="113"/>
      <c r="AP2424" s="113"/>
      <c r="AQ2424" s="113"/>
      <c r="AR2424" s="113"/>
      <c r="AS2424" s="113"/>
      <c r="AT2424" s="113"/>
      <c r="AU2424" s="113"/>
      <c r="AV2424" s="113"/>
      <c r="AW2424" s="113"/>
      <c r="AX2424" s="113"/>
      <c r="AY2424" s="113"/>
      <c r="AZ2424" s="113"/>
      <c r="BA2424" s="113"/>
      <c r="BB2424" s="113"/>
      <c r="BC2424" s="113"/>
      <c r="BD2424" s="113"/>
      <c r="BE2424" s="113"/>
      <c r="BF2424" s="113"/>
      <c r="BG2424" s="113"/>
      <c r="BH2424" s="113"/>
      <c r="BI2424" s="113"/>
      <c r="BJ2424" s="113"/>
      <c r="BK2424" s="113"/>
      <c r="BL2424" s="113"/>
      <c r="BM2424" s="113"/>
      <c r="BN2424" s="113"/>
      <c r="BO2424" s="113"/>
      <c r="BP2424" s="113"/>
      <c r="BQ2424" s="113"/>
      <c r="BR2424" s="113"/>
      <c r="BS2424" s="113"/>
      <c r="BT2424" s="113"/>
      <c r="BU2424" s="113"/>
      <c r="BV2424" s="113"/>
      <c r="BW2424" s="113"/>
      <c r="BX2424" s="113"/>
      <c r="BY2424" s="113"/>
      <c r="BZ2424" s="113"/>
      <c r="CA2424" s="113"/>
      <c r="CB2424" s="113"/>
      <c r="CC2424" s="113"/>
      <c r="CD2424" s="113"/>
      <c r="CE2424" s="113"/>
      <c r="CF2424" s="113"/>
      <c r="CG2424" s="113"/>
      <c r="CH2424" s="113"/>
      <c r="CI2424" s="113"/>
      <c r="CJ2424" s="113"/>
      <c r="CK2424" s="113"/>
      <c r="CL2424" s="113"/>
      <c r="CM2424" s="113"/>
      <c r="CN2424" s="113"/>
      <c r="CO2424" s="113"/>
      <c r="CP2424" s="113"/>
      <c r="CQ2424" s="113"/>
      <c r="CR2424" s="113"/>
      <c r="CS2424" s="113"/>
      <c r="CT2424" s="113"/>
      <c r="CU2424" s="113"/>
      <c r="CV2424" s="113"/>
      <c r="CW2424" s="113"/>
      <c r="CX2424" s="113"/>
      <c r="CY2424" s="113"/>
      <c r="CZ2424" s="113"/>
      <c r="DA2424" s="113"/>
      <c r="DB2424" s="113"/>
      <c r="DC2424" s="113"/>
      <c r="DD2424" s="113"/>
      <c r="DE2424" s="113"/>
      <c r="DF2424" s="113"/>
      <c r="DG2424" s="113"/>
      <c r="DH2424" s="113"/>
      <c r="DI2424" s="113"/>
      <c r="DJ2424" s="113"/>
      <c r="DK2424" s="113"/>
      <c r="DL2424" s="113"/>
      <c r="DM2424" s="113"/>
      <c r="DN2424" s="113"/>
      <c r="DO2424" s="113"/>
      <c r="DP2424" s="113"/>
      <c r="DQ2424" s="113"/>
      <c r="DR2424" s="113"/>
    </row>
    <row r="2425" spans="1:122" s="327" customFormat="1" x14ac:dyDescent="0.25">
      <c r="A2425" s="187"/>
      <c r="B2425" s="606"/>
      <c r="C2425" s="393"/>
      <c r="D2425" s="273"/>
      <c r="E2425" s="273"/>
      <c r="F2425" s="328"/>
      <c r="G2425" s="274"/>
      <c r="I2425" s="208"/>
      <c r="J2425" s="208"/>
      <c r="K2425" s="208"/>
      <c r="L2425" s="208"/>
      <c r="M2425" s="208"/>
      <c r="N2425" s="208"/>
      <c r="O2425" s="208"/>
      <c r="P2425" s="208"/>
      <c r="Q2425" s="208"/>
      <c r="R2425" s="208"/>
      <c r="S2425" s="208"/>
      <c r="T2425" s="208"/>
      <c r="U2425" s="208"/>
      <c r="V2425" s="227"/>
      <c r="W2425" s="271"/>
      <c r="X2425" s="271"/>
      <c r="Y2425" s="227"/>
      <c r="Z2425" s="208"/>
      <c r="AA2425" s="320"/>
      <c r="AB2425" s="214"/>
      <c r="AC2425" s="214"/>
      <c r="AD2425" s="214"/>
      <c r="AE2425" s="214"/>
      <c r="AF2425" s="214"/>
      <c r="AG2425" s="214"/>
      <c r="AH2425" s="113"/>
      <c r="AI2425" s="113"/>
      <c r="AJ2425" s="113"/>
      <c r="AK2425" s="113"/>
      <c r="AL2425" s="113"/>
      <c r="AM2425" s="113"/>
      <c r="AN2425" s="113"/>
      <c r="AO2425" s="113"/>
      <c r="AP2425" s="113"/>
      <c r="AQ2425" s="113"/>
      <c r="AR2425" s="113"/>
      <c r="AS2425" s="113"/>
      <c r="AT2425" s="113"/>
      <c r="AU2425" s="113"/>
      <c r="AV2425" s="113"/>
      <c r="AW2425" s="113"/>
      <c r="AX2425" s="113"/>
      <c r="AY2425" s="113"/>
      <c r="AZ2425" s="113"/>
      <c r="BA2425" s="113"/>
      <c r="BB2425" s="113"/>
      <c r="BC2425" s="113"/>
      <c r="BD2425" s="113"/>
      <c r="BE2425" s="113"/>
      <c r="BF2425" s="113"/>
      <c r="BG2425" s="113"/>
      <c r="BH2425" s="113"/>
      <c r="BI2425" s="113"/>
      <c r="BJ2425" s="113"/>
      <c r="BK2425" s="113"/>
      <c r="BL2425" s="113"/>
      <c r="BM2425" s="113"/>
      <c r="BN2425" s="113"/>
      <c r="BO2425" s="113"/>
      <c r="BP2425" s="113"/>
      <c r="BQ2425" s="113"/>
      <c r="BR2425" s="113"/>
      <c r="BS2425" s="113"/>
      <c r="BT2425" s="113"/>
      <c r="BU2425" s="113"/>
      <c r="BV2425" s="113"/>
      <c r="BW2425" s="113"/>
      <c r="BX2425" s="113"/>
      <c r="BY2425" s="113"/>
      <c r="BZ2425" s="113"/>
      <c r="CA2425" s="113"/>
      <c r="CB2425" s="113"/>
      <c r="CC2425" s="113"/>
      <c r="CD2425" s="113"/>
      <c r="CE2425" s="113"/>
      <c r="CF2425" s="113"/>
      <c r="CG2425" s="113"/>
      <c r="CH2425" s="113"/>
      <c r="CI2425" s="113"/>
      <c r="CJ2425" s="113"/>
      <c r="CK2425" s="113"/>
      <c r="CL2425" s="113"/>
      <c r="CM2425" s="113"/>
      <c r="CN2425" s="113"/>
      <c r="CO2425" s="113"/>
      <c r="CP2425" s="113"/>
      <c r="CQ2425" s="113"/>
      <c r="CR2425" s="113"/>
      <c r="CS2425" s="113"/>
      <c r="CT2425" s="113"/>
      <c r="CU2425" s="113"/>
      <c r="CV2425" s="113"/>
      <c r="CW2425" s="113"/>
      <c r="CX2425" s="113"/>
      <c r="CY2425" s="113"/>
      <c r="CZ2425" s="113"/>
      <c r="DA2425" s="113"/>
      <c r="DB2425" s="113"/>
      <c r="DC2425" s="113"/>
      <c r="DD2425" s="113"/>
      <c r="DE2425" s="113"/>
      <c r="DF2425" s="113"/>
      <c r="DG2425" s="113"/>
      <c r="DH2425" s="113"/>
      <c r="DI2425" s="113"/>
      <c r="DJ2425" s="113"/>
      <c r="DK2425" s="113"/>
      <c r="DL2425" s="113"/>
      <c r="DM2425" s="113"/>
      <c r="DN2425" s="113"/>
      <c r="DO2425" s="113"/>
      <c r="DP2425" s="113"/>
      <c r="DQ2425" s="113"/>
      <c r="DR2425" s="113"/>
    </row>
    <row r="2426" spans="1:122" s="327" customFormat="1" x14ac:dyDescent="0.25">
      <c r="A2426" s="187"/>
      <c r="B2426" s="606"/>
      <c r="C2426" s="393"/>
      <c r="D2426" s="273"/>
      <c r="E2426" s="273"/>
      <c r="F2426" s="328"/>
      <c r="G2426" s="274"/>
      <c r="I2426" s="208"/>
      <c r="J2426" s="208"/>
      <c r="K2426" s="208"/>
      <c r="L2426" s="208"/>
      <c r="M2426" s="208"/>
      <c r="N2426" s="208"/>
      <c r="O2426" s="208"/>
      <c r="P2426" s="208"/>
      <c r="Q2426" s="208"/>
      <c r="R2426" s="208"/>
      <c r="S2426" s="208"/>
      <c r="T2426" s="208"/>
      <c r="U2426" s="208"/>
      <c r="V2426" s="227"/>
      <c r="W2426" s="271"/>
      <c r="X2426" s="271"/>
      <c r="Y2426" s="227"/>
      <c r="Z2426" s="208"/>
      <c r="AA2426" s="320"/>
      <c r="AB2426" s="214"/>
      <c r="AC2426" s="214"/>
      <c r="AD2426" s="214"/>
      <c r="AE2426" s="214"/>
      <c r="AF2426" s="214"/>
      <c r="AG2426" s="214"/>
      <c r="AH2426" s="113"/>
      <c r="AI2426" s="113"/>
      <c r="AJ2426" s="113"/>
      <c r="AK2426" s="113"/>
      <c r="AL2426" s="113"/>
      <c r="AM2426" s="113"/>
      <c r="AN2426" s="113"/>
      <c r="AO2426" s="113"/>
      <c r="AP2426" s="113"/>
      <c r="AQ2426" s="113"/>
      <c r="AR2426" s="113"/>
      <c r="AS2426" s="113"/>
      <c r="AT2426" s="113"/>
      <c r="AU2426" s="113"/>
      <c r="AV2426" s="113"/>
      <c r="AW2426" s="113"/>
      <c r="AX2426" s="113"/>
      <c r="AY2426" s="113"/>
      <c r="AZ2426" s="113"/>
      <c r="BA2426" s="113"/>
      <c r="BB2426" s="113"/>
      <c r="BC2426" s="113"/>
      <c r="BD2426" s="113"/>
      <c r="BE2426" s="113"/>
      <c r="BF2426" s="113"/>
      <c r="BG2426" s="113"/>
      <c r="BH2426" s="113"/>
      <c r="BI2426" s="113"/>
      <c r="BJ2426" s="113"/>
      <c r="BK2426" s="113"/>
      <c r="BL2426" s="113"/>
      <c r="BM2426" s="113"/>
      <c r="BN2426" s="113"/>
      <c r="BO2426" s="113"/>
      <c r="BP2426" s="113"/>
      <c r="BQ2426" s="113"/>
      <c r="BR2426" s="113"/>
      <c r="BS2426" s="113"/>
      <c r="BT2426" s="113"/>
      <c r="BU2426" s="113"/>
      <c r="BV2426" s="113"/>
      <c r="BW2426" s="113"/>
      <c r="BX2426" s="113"/>
      <c r="BY2426" s="113"/>
      <c r="BZ2426" s="113"/>
      <c r="CA2426" s="113"/>
      <c r="CB2426" s="113"/>
      <c r="CC2426" s="113"/>
      <c r="CD2426" s="113"/>
      <c r="CE2426" s="113"/>
      <c r="CF2426" s="113"/>
      <c r="CG2426" s="113"/>
      <c r="CH2426" s="113"/>
      <c r="CI2426" s="113"/>
      <c r="CJ2426" s="113"/>
      <c r="CK2426" s="113"/>
      <c r="CL2426" s="113"/>
      <c r="CM2426" s="113"/>
      <c r="CN2426" s="113"/>
      <c r="CO2426" s="113"/>
      <c r="CP2426" s="113"/>
      <c r="CQ2426" s="113"/>
      <c r="CR2426" s="113"/>
      <c r="CS2426" s="113"/>
      <c r="CT2426" s="113"/>
      <c r="CU2426" s="113"/>
      <c r="CV2426" s="113"/>
      <c r="CW2426" s="113"/>
      <c r="CX2426" s="113"/>
      <c r="CY2426" s="113"/>
      <c r="CZ2426" s="113"/>
      <c r="DA2426" s="113"/>
      <c r="DB2426" s="113"/>
      <c r="DC2426" s="113"/>
      <c r="DD2426" s="113"/>
      <c r="DE2426" s="113"/>
      <c r="DF2426" s="113"/>
      <c r="DG2426" s="113"/>
      <c r="DH2426" s="113"/>
      <c r="DI2426" s="113"/>
      <c r="DJ2426" s="113"/>
      <c r="DK2426" s="113"/>
      <c r="DL2426" s="113"/>
      <c r="DM2426" s="113"/>
      <c r="DN2426" s="113"/>
      <c r="DO2426" s="113"/>
      <c r="DP2426" s="113"/>
      <c r="DQ2426" s="113"/>
      <c r="DR2426" s="113"/>
    </row>
    <row r="2427" spans="1:122" s="327" customFormat="1" x14ac:dyDescent="0.25">
      <c r="A2427" s="187"/>
      <c r="B2427" s="606"/>
      <c r="C2427" s="393"/>
      <c r="D2427" s="273"/>
      <c r="E2427" s="273"/>
      <c r="F2427" s="328"/>
      <c r="G2427" s="274"/>
      <c r="I2427" s="208"/>
      <c r="J2427" s="208"/>
      <c r="K2427" s="208"/>
      <c r="L2427" s="208"/>
      <c r="M2427" s="208"/>
      <c r="N2427" s="208"/>
      <c r="O2427" s="208"/>
      <c r="P2427" s="208"/>
      <c r="Q2427" s="208"/>
      <c r="R2427" s="208"/>
      <c r="S2427" s="208"/>
      <c r="T2427" s="208"/>
      <c r="U2427" s="208"/>
      <c r="V2427" s="227"/>
      <c r="W2427" s="271"/>
      <c r="X2427" s="271"/>
      <c r="Y2427" s="227"/>
      <c r="Z2427" s="208"/>
      <c r="AA2427" s="320"/>
      <c r="AB2427" s="214"/>
      <c r="AC2427" s="214"/>
      <c r="AD2427" s="214"/>
      <c r="AE2427" s="214"/>
      <c r="AF2427" s="214"/>
      <c r="AG2427" s="214"/>
      <c r="AH2427" s="113"/>
      <c r="AI2427" s="113"/>
      <c r="AJ2427" s="113"/>
      <c r="AK2427" s="113"/>
      <c r="AL2427" s="113"/>
      <c r="AM2427" s="113"/>
      <c r="AN2427" s="113"/>
      <c r="AO2427" s="113"/>
      <c r="AP2427" s="113"/>
      <c r="AQ2427" s="113"/>
      <c r="AR2427" s="113"/>
      <c r="AS2427" s="113"/>
      <c r="AT2427" s="113"/>
      <c r="AU2427" s="113"/>
      <c r="AV2427" s="113"/>
      <c r="AW2427" s="113"/>
      <c r="AX2427" s="113"/>
      <c r="AY2427" s="113"/>
      <c r="AZ2427" s="113"/>
      <c r="BA2427" s="113"/>
      <c r="BB2427" s="113"/>
      <c r="BC2427" s="113"/>
      <c r="BD2427" s="113"/>
      <c r="BE2427" s="113"/>
      <c r="BF2427" s="113"/>
      <c r="BG2427" s="113"/>
      <c r="BH2427" s="113"/>
      <c r="BI2427" s="113"/>
      <c r="BJ2427" s="113"/>
      <c r="BK2427" s="113"/>
      <c r="BL2427" s="113"/>
      <c r="BM2427" s="113"/>
      <c r="BN2427" s="113"/>
      <c r="BO2427" s="113"/>
      <c r="BP2427" s="113"/>
      <c r="BQ2427" s="113"/>
      <c r="BR2427" s="113"/>
      <c r="BS2427" s="113"/>
      <c r="BT2427" s="113"/>
      <c r="BU2427" s="113"/>
      <c r="BV2427" s="113"/>
      <c r="BW2427" s="113"/>
      <c r="BX2427" s="113"/>
      <c r="BY2427" s="113"/>
      <c r="BZ2427" s="113"/>
      <c r="CA2427" s="113"/>
      <c r="CB2427" s="113"/>
      <c r="CC2427" s="113"/>
      <c r="CD2427" s="113"/>
      <c r="CE2427" s="113"/>
      <c r="CF2427" s="113"/>
      <c r="CG2427" s="113"/>
      <c r="CH2427" s="113"/>
      <c r="CI2427" s="113"/>
      <c r="CJ2427" s="113"/>
      <c r="CK2427" s="113"/>
      <c r="CL2427" s="113"/>
      <c r="CM2427" s="113"/>
      <c r="CN2427" s="113"/>
      <c r="CO2427" s="113"/>
      <c r="CP2427" s="113"/>
      <c r="CQ2427" s="113"/>
      <c r="CR2427" s="113"/>
      <c r="CS2427" s="113"/>
      <c r="CT2427" s="113"/>
      <c r="CU2427" s="113"/>
      <c r="CV2427" s="113"/>
      <c r="CW2427" s="113"/>
      <c r="CX2427" s="113"/>
      <c r="CY2427" s="113"/>
      <c r="CZ2427" s="113"/>
      <c r="DA2427" s="113"/>
      <c r="DB2427" s="113"/>
      <c r="DC2427" s="113"/>
      <c r="DD2427" s="113"/>
      <c r="DE2427" s="113"/>
      <c r="DF2427" s="113"/>
      <c r="DG2427" s="113"/>
      <c r="DH2427" s="113"/>
      <c r="DI2427" s="113"/>
      <c r="DJ2427" s="113"/>
      <c r="DK2427" s="113"/>
      <c r="DL2427" s="113"/>
      <c r="DM2427" s="113"/>
      <c r="DN2427" s="113"/>
      <c r="DO2427" s="113"/>
      <c r="DP2427" s="113"/>
      <c r="DQ2427" s="113"/>
      <c r="DR2427" s="113"/>
    </row>
    <row r="2428" spans="1:122" s="327" customFormat="1" x14ac:dyDescent="0.25">
      <c r="A2428" s="187"/>
      <c r="B2428" s="606"/>
      <c r="C2428" s="393"/>
      <c r="D2428" s="273"/>
      <c r="E2428" s="273"/>
      <c r="F2428" s="328"/>
      <c r="G2428" s="274"/>
      <c r="I2428" s="208"/>
      <c r="J2428" s="208"/>
      <c r="K2428" s="208"/>
      <c r="L2428" s="208"/>
      <c r="M2428" s="208"/>
      <c r="N2428" s="208"/>
      <c r="O2428" s="208"/>
      <c r="P2428" s="208"/>
      <c r="Q2428" s="208"/>
      <c r="R2428" s="208"/>
      <c r="S2428" s="208"/>
      <c r="T2428" s="208"/>
      <c r="U2428" s="208"/>
      <c r="V2428" s="227"/>
      <c r="W2428" s="271"/>
      <c r="X2428" s="271"/>
      <c r="Y2428" s="227"/>
      <c r="Z2428" s="208"/>
      <c r="AA2428" s="320"/>
      <c r="AB2428" s="214"/>
      <c r="AC2428" s="214"/>
      <c r="AD2428" s="214"/>
      <c r="AE2428" s="214"/>
      <c r="AF2428" s="214"/>
      <c r="AG2428" s="214"/>
      <c r="AH2428" s="113"/>
      <c r="AI2428" s="113"/>
      <c r="AJ2428" s="113"/>
      <c r="AK2428" s="113"/>
      <c r="AL2428" s="113"/>
      <c r="AM2428" s="113"/>
      <c r="AN2428" s="113"/>
      <c r="AO2428" s="113"/>
      <c r="AP2428" s="113"/>
      <c r="AQ2428" s="113"/>
      <c r="AR2428" s="113"/>
      <c r="AS2428" s="113"/>
      <c r="AT2428" s="113"/>
      <c r="AU2428" s="113"/>
      <c r="AV2428" s="113"/>
      <c r="AW2428" s="113"/>
      <c r="AX2428" s="113"/>
      <c r="AY2428" s="113"/>
      <c r="AZ2428" s="113"/>
      <c r="BA2428" s="113"/>
      <c r="BB2428" s="113"/>
      <c r="BC2428" s="113"/>
      <c r="BD2428" s="113"/>
      <c r="BE2428" s="113"/>
      <c r="BF2428" s="113"/>
      <c r="BG2428" s="113"/>
      <c r="BH2428" s="113"/>
      <c r="BI2428" s="113"/>
      <c r="BJ2428" s="113"/>
      <c r="BK2428" s="113"/>
      <c r="BL2428" s="113"/>
      <c r="BM2428" s="113"/>
      <c r="BN2428" s="113"/>
      <c r="BO2428" s="113"/>
      <c r="BP2428" s="113"/>
      <c r="BQ2428" s="113"/>
      <c r="BR2428" s="113"/>
      <c r="BS2428" s="113"/>
      <c r="BT2428" s="113"/>
      <c r="BU2428" s="113"/>
      <c r="BV2428" s="113"/>
      <c r="BW2428" s="113"/>
      <c r="BX2428" s="113"/>
      <c r="BY2428" s="113"/>
      <c r="BZ2428" s="113"/>
      <c r="CA2428" s="113"/>
      <c r="CB2428" s="113"/>
      <c r="CC2428" s="113"/>
      <c r="CD2428" s="113"/>
      <c r="CE2428" s="113"/>
      <c r="CF2428" s="113"/>
      <c r="CG2428" s="113"/>
      <c r="CH2428" s="113"/>
      <c r="CI2428" s="113"/>
      <c r="CJ2428" s="113"/>
      <c r="CK2428" s="113"/>
      <c r="CL2428" s="113"/>
      <c r="CM2428" s="113"/>
      <c r="CN2428" s="113"/>
      <c r="CO2428" s="113"/>
      <c r="CP2428" s="113"/>
      <c r="CQ2428" s="113"/>
      <c r="CR2428" s="113"/>
      <c r="CS2428" s="113"/>
      <c r="CT2428" s="113"/>
      <c r="CU2428" s="113"/>
      <c r="CV2428" s="113"/>
      <c r="CW2428" s="113"/>
      <c r="CX2428" s="113"/>
      <c r="CY2428" s="113"/>
      <c r="CZ2428" s="113"/>
      <c r="DA2428" s="113"/>
      <c r="DB2428" s="113"/>
      <c r="DC2428" s="113"/>
      <c r="DD2428" s="113"/>
      <c r="DE2428" s="113"/>
      <c r="DF2428" s="113"/>
      <c r="DG2428" s="113"/>
      <c r="DH2428" s="113"/>
      <c r="DI2428" s="113"/>
      <c r="DJ2428" s="113"/>
      <c r="DK2428" s="113"/>
      <c r="DL2428" s="113"/>
      <c r="DM2428" s="113"/>
      <c r="DN2428" s="113"/>
      <c r="DO2428" s="113"/>
      <c r="DP2428" s="113"/>
      <c r="DQ2428" s="113"/>
      <c r="DR2428" s="113"/>
    </row>
    <row r="2429" spans="1:122" s="327" customFormat="1" x14ac:dyDescent="0.25">
      <c r="A2429" s="187"/>
      <c r="B2429" s="606"/>
      <c r="C2429" s="393"/>
      <c r="D2429" s="273"/>
      <c r="E2429" s="273"/>
      <c r="F2429" s="328"/>
      <c r="G2429" s="274"/>
      <c r="I2429" s="208"/>
      <c r="J2429" s="208"/>
      <c r="K2429" s="208"/>
      <c r="L2429" s="208"/>
      <c r="M2429" s="208"/>
      <c r="N2429" s="208"/>
      <c r="O2429" s="208"/>
      <c r="P2429" s="208"/>
      <c r="Q2429" s="208"/>
      <c r="R2429" s="208"/>
      <c r="S2429" s="208"/>
      <c r="T2429" s="208"/>
      <c r="U2429" s="208"/>
      <c r="V2429" s="227"/>
      <c r="W2429" s="271"/>
      <c r="X2429" s="271"/>
      <c r="Y2429" s="227"/>
      <c r="Z2429" s="208"/>
      <c r="AA2429" s="320"/>
      <c r="AB2429" s="214"/>
      <c r="AC2429" s="214"/>
      <c r="AD2429" s="214"/>
      <c r="AE2429" s="214"/>
      <c r="AF2429" s="214"/>
      <c r="AG2429" s="214"/>
      <c r="AH2429" s="113"/>
      <c r="AI2429" s="113"/>
      <c r="AJ2429" s="113"/>
      <c r="AK2429" s="113"/>
      <c r="AL2429" s="113"/>
      <c r="AM2429" s="113"/>
      <c r="AN2429" s="113"/>
      <c r="AO2429" s="113"/>
      <c r="AP2429" s="113"/>
      <c r="AQ2429" s="113"/>
      <c r="AR2429" s="113"/>
      <c r="AS2429" s="113"/>
      <c r="AT2429" s="113"/>
      <c r="AU2429" s="113"/>
      <c r="AV2429" s="113"/>
      <c r="AW2429" s="113"/>
      <c r="AX2429" s="113"/>
      <c r="AY2429" s="113"/>
      <c r="AZ2429" s="113"/>
      <c r="BA2429" s="113"/>
      <c r="BB2429" s="113"/>
      <c r="BC2429" s="113"/>
      <c r="BD2429" s="113"/>
      <c r="BE2429" s="113"/>
      <c r="BF2429" s="113"/>
      <c r="BG2429" s="113"/>
      <c r="BH2429" s="113"/>
      <c r="BI2429" s="113"/>
      <c r="BJ2429" s="113"/>
      <c r="BK2429" s="113"/>
      <c r="BL2429" s="113"/>
      <c r="BM2429" s="113"/>
      <c r="BN2429" s="113"/>
      <c r="BO2429" s="113"/>
      <c r="BP2429" s="113"/>
      <c r="BQ2429" s="113"/>
      <c r="BR2429" s="113"/>
      <c r="BS2429" s="113"/>
      <c r="BT2429" s="113"/>
      <c r="BU2429" s="113"/>
      <c r="BV2429" s="113"/>
      <c r="BW2429" s="113"/>
      <c r="BX2429" s="113"/>
      <c r="BY2429" s="113"/>
      <c r="BZ2429" s="113"/>
      <c r="CA2429" s="113"/>
      <c r="CB2429" s="113"/>
      <c r="CC2429" s="113"/>
      <c r="CD2429" s="113"/>
      <c r="CE2429" s="113"/>
      <c r="CF2429" s="113"/>
      <c r="CG2429" s="113"/>
      <c r="CH2429" s="113"/>
      <c r="CI2429" s="113"/>
      <c r="CJ2429" s="113"/>
      <c r="CK2429" s="113"/>
      <c r="CL2429" s="113"/>
      <c r="CM2429" s="113"/>
      <c r="CN2429" s="113"/>
      <c r="CO2429" s="113"/>
      <c r="CP2429" s="113"/>
      <c r="CQ2429" s="113"/>
      <c r="CR2429" s="113"/>
      <c r="CS2429" s="113"/>
      <c r="CT2429" s="113"/>
      <c r="CU2429" s="113"/>
      <c r="CV2429" s="113"/>
      <c r="CW2429" s="113"/>
      <c r="CX2429" s="113"/>
      <c r="CY2429" s="113"/>
      <c r="CZ2429" s="113"/>
      <c r="DA2429" s="113"/>
      <c r="DB2429" s="113"/>
      <c r="DC2429" s="113"/>
      <c r="DD2429" s="113"/>
      <c r="DE2429" s="113"/>
      <c r="DF2429" s="113"/>
      <c r="DG2429" s="113"/>
      <c r="DH2429" s="113"/>
      <c r="DI2429" s="113"/>
      <c r="DJ2429" s="113"/>
      <c r="DK2429" s="113"/>
      <c r="DL2429" s="113"/>
      <c r="DM2429" s="113"/>
      <c r="DN2429" s="113"/>
      <c r="DO2429" s="113"/>
      <c r="DP2429" s="113"/>
      <c r="DQ2429" s="113"/>
      <c r="DR2429" s="113"/>
    </row>
    <row r="2430" spans="1:122" s="327" customFormat="1" x14ac:dyDescent="0.25">
      <c r="A2430" s="187"/>
      <c r="B2430" s="606"/>
      <c r="C2430" s="393"/>
      <c r="D2430" s="273"/>
      <c r="E2430" s="273"/>
      <c r="F2430" s="328"/>
      <c r="G2430" s="274"/>
      <c r="I2430" s="208"/>
      <c r="J2430" s="208"/>
      <c r="K2430" s="208"/>
      <c r="L2430" s="208"/>
      <c r="M2430" s="208"/>
      <c r="N2430" s="208"/>
      <c r="O2430" s="208"/>
      <c r="P2430" s="208"/>
      <c r="Q2430" s="208"/>
      <c r="R2430" s="208"/>
      <c r="S2430" s="208"/>
      <c r="T2430" s="208"/>
      <c r="U2430" s="208"/>
      <c r="V2430" s="227"/>
      <c r="W2430" s="271"/>
      <c r="X2430" s="271"/>
      <c r="Y2430" s="227"/>
      <c r="Z2430" s="208"/>
      <c r="AA2430" s="320"/>
      <c r="AB2430" s="214"/>
      <c r="AC2430" s="214"/>
      <c r="AD2430" s="214"/>
      <c r="AE2430" s="214"/>
      <c r="AF2430" s="214"/>
      <c r="AG2430" s="214"/>
      <c r="AH2430" s="113"/>
      <c r="AI2430" s="113"/>
      <c r="AJ2430" s="113"/>
      <c r="AK2430" s="113"/>
      <c r="AL2430" s="113"/>
      <c r="AM2430" s="113"/>
      <c r="AN2430" s="113"/>
      <c r="AO2430" s="113"/>
      <c r="AP2430" s="113"/>
      <c r="AQ2430" s="113"/>
      <c r="AR2430" s="113"/>
      <c r="AS2430" s="113"/>
      <c r="AT2430" s="113"/>
      <c r="AU2430" s="113"/>
      <c r="AV2430" s="113"/>
      <c r="AW2430" s="113"/>
      <c r="AX2430" s="113"/>
      <c r="AY2430" s="113"/>
      <c r="AZ2430" s="113"/>
      <c r="BA2430" s="113"/>
      <c r="BB2430" s="113"/>
      <c r="BC2430" s="113"/>
      <c r="BD2430" s="113"/>
      <c r="BE2430" s="113"/>
      <c r="BF2430" s="113"/>
      <c r="BG2430" s="113"/>
      <c r="BH2430" s="113"/>
      <c r="BI2430" s="113"/>
      <c r="BJ2430" s="113"/>
      <c r="BK2430" s="113"/>
      <c r="BL2430" s="113"/>
      <c r="BM2430" s="113"/>
      <c r="BN2430" s="113"/>
      <c r="BO2430" s="113"/>
      <c r="BP2430" s="113"/>
      <c r="BQ2430" s="113"/>
      <c r="BR2430" s="113"/>
      <c r="BS2430" s="113"/>
      <c r="BT2430" s="113"/>
      <c r="BU2430" s="113"/>
      <c r="BV2430" s="113"/>
      <c r="BW2430" s="113"/>
      <c r="BX2430" s="113"/>
      <c r="BY2430" s="113"/>
      <c r="BZ2430" s="113"/>
      <c r="CA2430" s="113"/>
      <c r="CB2430" s="113"/>
      <c r="CC2430" s="113"/>
      <c r="CD2430" s="113"/>
      <c r="CE2430" s="113"/>
      <c r="CF2430" s="113"/>
      <c r="CG2430" s="113"/>
      <c r="CH2430" s="113"/>
      <c r="CI2430" s="113"/>
      <c r="CJ2430" s="113"/>
      <c r="CK2430" s="113"/>
      <c r="CL2430" s="113"/>
      <c r="CM2430" s="113"/>
      <c r="CN2430" s="113"/>
      <c r="CO2430" s="113"/>
      <c r="CP2430" s="113"/>
      <c r="CQ2430" s="113"/>
      <c r="CR2430" s="113"/>
      <c r="CS2430" s="113"/>
      <c r="CT2430" s="113"/>
      <c r="CU2430" s="113"/>
      <c r="CV2430" s="113"/>
      <c r="CW2430" s="113"/>
      <c r="CX2430" s="113"/>
      <c r="CY2430" s="113"/>
      <c r="CZ2430" s="113"/>
      <c r="DA2430" s="113"/>
      <c r="DB2430" s="113"/>
      <c r="DC2430" s="113"/>
      <c r="DD2430" s="113"/>
      <c r="DE2430" s="113"/>
      <c r="DF2430" s="113"/>
      <c r="DG2430" s="113"/>
      <c r="DH2430" s="113"/>
      <c r="DI2430" s="113"/>
      <c r="DJ2430" s="113"/>
      <c r="DK2430" s="113"/>
      <c r="DL2430" s="113"/>
      <c r="DM2430" s="113"/>
      <c r="DN2430" s="113"/>
      <c r="DO2430" s="113"/>
      <c r="DP2430" s="113"/>
      <c r="DQ2430" s="113"/>
      <c r="DR2430" s="113"/>
    </row>
    <row r="2431" spans="1:122" s="327" customFormat="1" x14ac:dyDescent="0.25">
      <c r="A2431" s="187"/>
      <c r="B2431" s="606"/>
      <c r="C2431" s="393"/>
      <c r="D2431" s="273"/>
      <c r="E2431" s="273"/>
      <c r="F2431" s="328"/>
      <c r="G2431" s="274"/>
      <c r="I2431" s="208"/>
      <c r="J2431" s="208"/>
      <c r="K2431" s="208"/>
      <c r="L2431" s="208"/>
      <c r="M2431" s="208"/>
      <c r="N2431" s="208"/>
      <c r="O2431" s="208"/>
      <c r="P2431" s="208"/>
      <c r="Q2431" s="208"/>
      <c r="R2431" s="208"/>
      <c r="S2431" s="208"/>
      <c r="T2431" s="208"/>
      <c r="U2431" s="208"/>
      <c r="V2431" s="227"/>
      <c r="W2431" s="271"/>
      <c r="X2431" s="271"/>
      <c r="Y2431" s="227"/>
      <c r="Z2431" s="208"/>
      <c r="AA2431" s="320"/>
      <c r="AB2431" s="214"/>
      <c r="AC2431" s="214"/>
      <c r="AD2431" s="214"/>
      <c r="AE2431" s="214"/>
      <c r="AF2431" s="214"/>
      <c r="AG2431" s="214"/>
      <c r="AH2431" s="113"/>
      <c r="AI2431" s="113"/>
      <c r="AJ2431" s="113"/>
      <c r="AK2431" s="113"/>
      <c r="AL2431" s="113"/>
      <c r="AM2431" s="113"/>
      <c r="AN2431" s="113"/>
      <c r="AO2431" s="113"/>
      <c r="AP2431" s="113"/>
      <c r="AQ2431" s="113"/>
      <c r="AR2431" s="113"/>
      <c r="AS2431" s="113"/>
      <c r="AT2431" s="113"/>
      <c r="AU2431" s="113"/>
      <c r="AV2431" s="113"/>
      <c r="AW2431" s="113"/>
      <c r="AX2431" s="113"/>
      <c r="AY2431" s="113"/>
      <c r="AZ2431" s="113"/>
      <c r="BA2431" s="113"/>
      <c r="BB2431" s="113"/>
      <c r="BC2431" s="113"/>
      <c r="BD2431" s="113"/>
      <c r="BE2431" s="113"/>
      <c r="BF2431" s="113"/>
      <c r="BG2431" s="113"/>
      <c r="BH2431" s="113"/>
      <c r="BI2431" s="113"/>
      <c r="BJ2431" s="113"/>
      <c r="BK2431" s="113"/>
      <c r="BL2431" s="113"/>
      <c r="BM2431" s="113"/>
      <c r="BN2431" s="113"/>
      <c r="BO2431" s="113"/>
      <c r="BP2431" s="113"/>
      <c r="BQ2431" s="113"/>
      <c r="BR2431" s="113"/>
      <c r="BS2431" s="113"/>
      <c r="BT2431" s="113"/>
      <c r="BU2431" s="113"/>
      <c r="BV2431" s="113"/>
      <c r="BW2431" s="113"/>
      <c r="BX2431" s="113"/>
      <c r="BY2431" s="113"/>
      <c r="BZ2431" s="113"/>
      <c r="CA2431" s="113"/>
      <c r="CB2431" s="113"/>
      <c r="CC2431" s="113"/>
      <c r="CD2431" s="113"/>
      <c r="CE2431" s="113"/>
      <c r="CF2431" s="113"/>
      <c r="CG2431" s="113"/>
      <c r="CH2431" s="113"/>
      <c r="CI2431" s="113"/>
      <c r="CJ2431" s="113"/>
      <c r="CK2431" s="113"/>
      <c r="CL2431" s="113"/>
      <c r="CM2431" s="113"/>
      <c r="CN2431" s="113"/>
      <c r="CO2431" s="113"/>
      <c r="CP2431" s="113"/>
      <c r="CQ2431" s="113"/>
      <c r="CR2431" s="113"/>
      <c r="CS2431" s="113"/>
      <c r="CT2431" s="113"/>
      <c r="CU2431" s="113"/>
      <c r="CV2431" s="113"/>
      <c r="CW2431" s="113"/>
      <c r="CX2431" s="113"/>
      <c r="CY2431" s="113"/>
      <c r="CZ2431" s="113"/>
      <c r="DA2431" s="113"/>
      <c r="DB2431" s="113"/>
      <c r="DC2431" s="113"/>
      <c r="DD2431" s="113"/>
      <c r="DE2431" s="113"/>
      <c r="DF2431" s="113"/>
      <c r="DG2431" s="113"/>
      <c r="DH2431" s="113"/>
      <c r="DI2431" s="113"/>
      <c r="DJ2431" s="113"/>
      <c r="DK2431" s="113"/>
      <c r="DL2431" s="113"/>
      <c r="DM2431" s="113"/>
      <c r="DN2431" s="113"/>
      <c r="DO2431" s="113"/>
      <c r="DP2431" s="113"/>
      <c r="DQ2431" s="113"/>
      <c r="DR2431" s="113"/>
    </row>
    <row r="2432" spans="1:122" s="327" customFormat="1" x14ac:dyDescent="0.25">
      <c r="A2432" s="187"/>
      <c r="B2432" s="606"/>
      <c r="C2432" s="393"/>
      <c r="D2432" s="273"/>
      <c r="E2432" s="273"/>
      <c r="F2432" s="328"/>
      <c r="G2432" s="274"/>
      <c r="I2432" s="208"/>
      <c r="J2432" s="208"/>
      <c r="K2432" s="208"/>
      <c r="L2432" s="208"/>
      <c r="M2432" s="208"/>
      <c r="N2432" s="208"/>
      <c r="O2432" s="208"/>
      <c r="P2432" s="208"/>
      <c r="Q2432" s="208"/>
      <c r="R2432" s="208"/>
      <c r="S2432" s="208"/>
      <c r="T2432" s="208"/>
      <c r="U2432" s="208"/>
      <c r="V2432" s="227"/>
      <c r="W2432" s="271"/>
      <c r="X2432" s="271"/>
      <c r="Y2432" s="227"/>
      <c r="Z2432" s="208"/>
      <c r="AA2432" s="320"/>
      <c r="AB2432" s="214"/>
      <c r="AC2432" s="214"/>
      <c r="AD2432" s="214"/>
      <c r="AE2432" s="214"/>
      <c r="AF2432" s="214"/>
      <c r="AG2432" s="214"/>
      <c r="AH2432" s="113"/>
      <c r="AI2432" s="113"/>
      <c r="AJ2432" s="113"/>
      <c r="AK2432" s="113"/>
      <c r="AL2432" s="113"/>
      <c r="AM2432" s="113"/>
      <c r="AN2432" s="113"/>
      <c r="AO2432" s="113"/>
      <c r="AP2432" s="113"/>
      <c r="AQ2432" s="113"/>
      <c r="AR2432" s="113"/>
      <c r="AS2432" s="113"/>
      <c r="AT2432" s="113"/>
      <c r="AU2432" s="113"/>
      <c r="AV2432" s="113"/>
      <c r="AW2432" s="113"/>
      <c r="AX2432" s="113"/>
      <c r="AY2432" s="113"/>
      <c r="AZ2432" s="113"/>
      <c r="BA2432" s="113"/>
      <c r="BB2432" s="113"/>
      <c r="BC2432" s="113"/>
      <c r="BD2432" s="113"/>
      <c r="BE2432" s="113"/>
      <c r="BF2432" s="113"/>
      <c r="BG2432" s="113"/>
      <c r="BH2432" s="113"/>
      <c r="BI2432" s="113"/>
      <c r="BJ2432" s="113"/>
      <c r="BK2432" s="113"/>
      <c r="BL2432" s="113"/>
      <c r="BM2432" s="113"/>
      <c r="BN2432" s="113"/>
      <c r="BO2432" s="113"/>
      <c r="BP2432" s="113"/>
      <c r="BQ2432" s="113"/>
      <c r="BR2432" s="113"/>
      <c r="BS2432" s="113"/>
      <c r="BT2432" s="113"/>
      <c r="BU2432" s="113"/>
      <c r="BV2432" s="113"/>
      <c r="BW2432" s="113"/>
      <c r="BX2432" s="113"/>
      <c r="BY2432" s="113"/>
      <c r="BZ2432" s="113"/>
      <c r="CA2432" s="113"/>
      <c r="CB2432" s="113"/>
      <c r="CC2432" s="113"/>
      <c r="CD2432" s="113"/>
      <c r="CE2432" s="113"/>
      <c r="CF2432" s="113"/>
      <c r="CG2432" s="113"/>
      <c r="CH2432" s="113"/>
      <c r="CI2432" s="113"/>
      <c r="CJ2432" s="113"/>
      <c r="CK2432" s="113"/>
      <c r="CL2432" s="113"/>
      <c r="CM2432" s="113"/>
      <c r="CN2432" s="113"/>
      <c r="CO2432" s="113"/>
      <c r="CP2432" s="113"/>
      <c r="CQ2432" s="113"/>
      <c r="CR2432" s="113"/>
      <c r="CS2432" s="113"/>
      <c r="CT2432" s="113"/>
      <c r="CU2432" s="113"/>
      <c r="CV2432" s="113"/>
      <c r="CW2432" s="113"/>
      <c r="CX2432" s="113"/>
      <c r="CY2432" s="113"/>
      <c r="CZ2432" s="113"/>
      <c r="DA2432" s="113"/>
      <c r="DB2432" s="113"/>
      <c r="DC2432" s="113"/>
      <c r="DD2432" s="113"/>
      <c r="DE2432" s="113"/>
      <c r="DF2432" s="113"/>
      <c r="DG2432" s="113"/>
      <c r="DH2432" s="113"/>
      <c r="DI2432" s="113"/>
      <c r="DJ2432" s="113"/>
      <c r="DK2432" s="113"/>
      <c r="DL2432" s="113"/>
      <c r="DM2432" s="113"/>
      <c r="DN2432" s="113"/>
      <c r="DO2432" s="113"/>
      <c r="DP2432" s="113"/>
      <c r="DQ2432" s="113"/>
      <c r="DR2432" s="113"/>
    </row>
    <row r="2433" spans="1:122" s="327" customFormat="1" x14ac:dyDescent="0.25">
      <c r="A2433" s="187"/>
      <c r="B2433" s="606"/>
      <c r="C2433" s="393"/>
      <c r="D2433" s="273"/>
      <c r="E2433" s="273"/>
      <c r="F2433" s="328"/>
      <c r="G2433" s="274"/>
      <c r="I2433" s="208"/>
      <c r="J2433" s="208"/>
      <c r="K2433" s="208"/>
      <c r="L2433" s="208"/>
      <c r="M2433" s="208"/>
      <c r="N2433" s="208"/>
      <c r="O2433" s="208"/>
      <c r="P2433" s="208"/>
      <c r="Q2433" s="208"/>
      <c r="R2433" s="208"/>
      <c r="S2433" s="208"/>
      <c r="T2433" s="208"/>
      <c r="U2433" s="208"/>
      <c r="V2433" s="227"/>
      <c r="W2433" s="271"/>
      <c r="X2433" s="271"/>
      <c r="Y2433" s="227"/>
      <c r="Z2433" s="208"/>
      <c r="AA2433" s="320"/>
      <c r="AB2433" s="214"/>
      <c r="AC2433" s="214"/>
      <c r="AD2433" s="214"/>
      <c r="AE2433" s="214"/>
      <c r="AF2433" s="214"/>
      <c r="AG2433" s="214"/>
      <c r="AH2433" s="113"/>
      <c r="AI2433" s="113"/>
      <c r="AJ2433" s="113"/>
      <c r="AK2433" s="113"/>
      <c r="AL2433" s="113"/>
      <c r="AM2433" s="113"/>
      <c r="AN2433" s="113"/>
      <c r="AO2433" s="113"/>
      <c r="AP2433" s="113"/>
      <c r="AQ2433" s="113"/>
      <c r="AR2433" s="113"/>
      <c r="AS2433" s="113"/>
      <c r="AT2433" s="113"/>
      <c r="AU2433" s="113"/>
      <c r="AV2433" s="113"/>
      <c r="AW2433" s="113"/>
      <c r="AX2433" s="113"/>
      <c r="AY2433" s="113"/>
      <c r="AZ2433" s="113"/>
      <c r="BA2433" s="113"/>
      <c r="BB2433" s="113"/>
      <c r="BC2433" s="113"/>
      <c r="BD2433" s="113"/>
      <c r="BE2433" s="113"/>
      <c r="BF2433" s="113"/>
      <c r="BG2433" s="113"/>
      <c r="BH2433" s="113"/>
      <c r="BI2433" s="113"/>
      <c r="BJ2433" s="113"/>
      <c r="BK2433" s="113"/>
      <c r="BL2433" s="113"/>
      <c r="BM2433" s="113"/>
      <c r="BN2433" s="113"/>
      <c r="BO2433" s="113"/>
      <c r="BP2433" s="113"/>
      <c r="BQ2433" s="113"/>
      <c r="BR2433" s="113"/>
      <c r="BS2433" s="113"/>
      <c r="BT2433" s="113"/>
      <c r="BU2433" s="113"/>
      <c r="BV2433" s="113"/>
      <c r="BW2433" s="113"/>
      <c r="BX2433" s="113"/>
      <c r="BY2433" s="113"/>
      <c r="BZ2433" s="113"/>
      <c r="CA2433" s="113"/>
      <c r="CB2433" s="113"/>
      <c r="CC2433" s="113"/>
      <c r="CD2433" s="113"/>
      <c r="CE2433" s="113"/>
      <c r="CF2433" s="113"/>
      <c r="CG2433" s="113"/>
      <c r="CH2433" s="113"/>
      <c r="CI2433" s="113"/>
      <c r="CJ2433" s="113"/>
      <c r="CK2433" s="113"/>
      <c r="CL2433" s="113"/>
      <c r="CM2433" s="113"/>
      <c r="CN2433" s="113"/>
      <c r="CO2433" s="113"/>
      <c r="CP2433" s="113"/>
      <c r="CQ2433" s="113"/>
      <c r="CR2433" s="113"/>
      <c r="CS2433" s="113"/>
      <c r="CT2433" s="113"/>
      <c r="CU2433" s="113"/>
      <c r="CV2433" s="113"/>
      <c r="CW2433" s="113"/>
      <c r="CX2433" s="113"/>
      <c r="CY2433" s="113"/>
      <c r="CZ2433" s="113"/>
      <c r="DA2433" s="113"/>
      <c r="DB2433" s="113"/>
      <c r="DC2433" s="113"/>
      <c r="DD2433" s="113"/>
      <c r="DE2433" s="113"/>
      <c r="DF2433" s="113"/>
      <c r="DG2433" s="113"/>
      <c r="DH2433" s="113"/>
      <c r="DI2433" s="113"/>
      <c r="DJ2433" s="113"/>
      <c r="DK2433" s="113"/>
      <c r="DL2433" s="113"/>
      <c r="DM2433" s="113"/>
      <c r="DN2433" s="113"/>
      <c r="DO2433" s="113"/>
      <c r="DP2433" s="113"/>
      <c r="DQ2433" s="113"/>
      <c r="DR2433" s="113"/>
    </row>
    <row r="2434" spans="1:122" s="327" customFormat="1" x14ac:dyDescent="0.25">
      <c r="A2434" s="187"/>
      <c r="B2434" s="606"/>
      <c r="C2434" s="393"/>
      <c r="D2434" s="273"/>
      <c r="E2434" s="273"/>
      <c r="F2434" s="328"/>
      <c r="G2434" s="274"/>
      <c r="I2434" s="208"/>
      <c r="J2434" s="208"/>
      <c r="K2434" s="208"/>
      <c r="L2434" s="208"/>
      <c r="M2434" s="208"/>
      <c r="N2434" s="208"/>
      <c r="O2434" s="208"/>
      <c r="P2434" s="208"/>
      <c r="Q2434" s="208"/>
      <c r="R2434" s="208"/>
      <c r="S2434" s="208"/>
      <c r="T2434" s="208"/>
      <c r="U2434" s="208"/>
      <c r="V2434" s="227"/>
      <c r="W2434" s="271"/>
      <c r="X2434" s="271"/>
      <c r="Y2434" s="227"/>
      <c r="Z2434" s="208"/>
      <c r="AA2434" s="320"/>
      <c r="AB2434" s="214"/>
      <c r="AC2434" s="214"/>
      <c r="AD2434" s="214"/>
      <c r="AE2434" s="214"/>
      <c r="AF2434" s="214"/>
      <c r="AG2434" s="214"/>
      <c r="AH2434" s="113"/>
      <c r="AI2434" s="113"/>
      <c r="AJ2434" s="113"/>
      <c r="AK2434" s="113"/>
      <c r="AL2434" s="113"/>
      <c r="AM2434" s="113"/>
      <c r="AN2434" s="113"/>
      <c r="AO2434" s="113"/>
      <c r="AP2434" s="113"/>
      <c r="AQ2434" s="113"/>
      <c r="AR2434" s="113"/>
      <c r="AS2434" s="113"/>
      <c r="AT2434" s="113"/>
      <c r="AU2434" s="113"/>
      <c r="AV2434" s="113"/>
      <c r="AW2434" s="113"/>
      <c r="AX2434" s="113"/>
      <c r="AY2434" s="113"/>
      <c r="AZ2434" s="113"/>
      <c r="BA2434" s="113"/>
      <c r="BB2434" s="113"/>
      <c r="BC2434" s="113"/>
      <c r="BD2434" s="113"/>
      <c r="BE2434" s="113"/>
      <c r="BF2434" s="113"/>
      <c r="BG2434" s="113"/>
      <c r="BH2434" s="113"/>
      <c r="BI2434" s="113"/>
      <c r="BJ2434" s="113"/>
      <c r="BK2434" s="113"/>
      <c r="BL2434" s="113"/>
      <c r="BM2434" s="113"/>
      <c r="BN2434" s="113"/>
      <c r="BO2434" s="113"/>
      <c r="BP2434" s="113"/>
      <c r="BQ2434" s="113"/>
      <c r="BR2434" s="113"/>
      <c r="BS2434" s="113"/>
      <c r="BT2434" s="113"/>
      <c r="BU2434" s="113"/>
      <c r="BV2434" s="113"/>
      <c r="BW2434" s="113"/>
      <c r="BX2434" s="113"/>
      <c r="BY2434" s="113"/>
      <c r="BZ2434" s="113"/>
      <c r="CA2434" s="113"/>
      <c r="CB2434" s="113"/>
      <c r="CC2434" s="113"/>
      <c r="CD2434" s="113"/>
      <c r="CE2434" s="113"/>
      <c r="CF2434" s="113"/>
      <c r="CG2434" s="113"/>
      <c r="CH2434" s="113"/>
      <c r="CI2434" s="113"/>
      <c r="CJ2434" s="113"/>
      <c r="CK2434" s="113"/>
      <c r="CL2434" s="113"/>
      <c r="CM2434" s="113"/>
      <c r="CN2434" s="113"/>
      <c r="CO2434" s="113"/>
      <c r="CP2434" s="113"/>
      <c r="CQ2434" s="113"/>
      <c r="CR2434" s="113"/>
      <c r="CS2434" s="113"/>
      <c r="CT2434" s="113"/>
      <c r="CU2434" s="113"/>
      <c r="CV2434" s="113"/>
      <c r="CW2434" s="113"/>
      <c r="CX2434" s="113"/>
      <c r="CY2434" s="113"/>
      <c r="CZ2434" s="113"/>
      <c r="DA2434" s="113"/>
      <c r="DB2434" s="113"/>
      <c r="DC2434" s="113"/>
      <c r="DD2434" s="113"/>
      <c r="DE2434" s="113"/>
      <c r="DF2434" s="113"/>
      <c r="DG2434" s="113"/>
      <c r="DH2434" s="113"/>
      <c r="DI2434" s="113"/>
      <c r="DJ2434" s="113"/>
      <c r="DK2434" s="113"/>
      <c r="DL2434" s="113"/>
      <c r="DM2434" s="113"/>
      <c r="DN2434" s="113"/>
      <c r="DO2434" s="113"/>
      <c r="DP2434" s="113"/>
      <c r="DQ2434" s="113"/>
      <c r="DR2434" s="113"/>
    </row>
    <row r="2435" spans="1:122" s="327" customFormat="1" x14ac:dyDescent="0.25">
      <c r="A2435" s="187"/>
      <c r="B2435" s="606"/>
      <c r="C2435" s="393"/>
      <c r="D2435" s="273"/>
      <c r="E2435" s="273"/>
      <c r="F2435" s="328"/>
      <c r="G2435" s="274"/>
      <c r="I2435" s="208"/>
      <c r="J2435" s="208"/>
      <c r="K2435" s="208"/>
      <c r="L2435" s="208"/>
      <c r="M2435" s="208"/>
      <c r="N2435" s="208"/>
      <c r="O2435" s="208"/>
      <c r="P2435" s="208"/>
      <c r="Q2435" s="208"/>
      <c r="R2435" s="208"/>
      <c r="S2435" s="208"/>
      <c r="T2435" s="208"/>
      <c r="U2435" s="208"/>
      <c r="V2435" s="227"/>
      <c r="W2435" s="271"/>
      <c r="X2435" s="271"/>
      <c r="Y2435" s="227"/>
      <c r="Z2435" s="208"/>
      <c r="AA2435" s="320"/>
      <c r="AB2435" s="214"/>
      <c r="AC2435" s="214"/>
      <c r="AD2435" s="214"/>
      <c r="AE2435" s="214"/>
      <c r="AF2435" s="214"/>
      <c r="AG2435" s="214"/>
      <c r="AH2435" s="113"/>
      <c r="AI2435" s="113"/>
      <c r="AJ2435" s="113"/>
      <c r="AK2435" s="113"/>
      <c r="AL2435" s="113"/>
      <c r="AM2435" s="113"/>
      <c r="AN2435" s="113"/>
      <c r="AO2435" s="113"/>
      <c r="AP2435" s="113"/>
      <c r="AQ2435" s="113"/>
      <c r="AR2435" s="113"/>
      <c r="AS2435" s="113"/>
      <c r="AT2435" s="113"/>
      <c r="AU2435" s="113"/>
      <c r="AV2435" s="113"/>
      <c r="AW2435" s="113"/>
      <c r="AX2435" s="113"/>
      <c r="AY2435" s="113"/>
      <c r="AZ2435" s="113"/>
      <c r="BA2435" s="113"/>
      <c r="BB2435" s="113"/>
      <c r="BC2435" s="113"/>
      <c r="BD2435" s="113"/>
      <c r="BE2435" s="113"/>
      <c r="BF2435" s="113"/>
      <c r="BG2435" s="113"/>
      <c r="BH2435" s="113"/>
      <c r="BI2435" s="113"/>
      <c r="BJ2435" s="113"/>
      <c r="BK2435" s="113"/>
      <c r="BL2435" s="113"/>
      <c r="BM2435" s="113"/>
      <c r="BN2435" s="113"/>
      <c r="BO2435" s="113"/>
      <c r="BP2435" s="113"/>
      <c r="BQ2435" s="113"/>
      <c r="BR2435" s="113"/>
      <c r="BS2435" s="113"/>
      <c r="BT2435" s="113"/>
      <c r="BU2435" s="113"/>
      <c r="BV2435" s="113"/>
      <c r="BW2435" s="113"/>
      <c r="BX2435" s="113"/>
      <c r="BY2435" s="113"/>
      <c r="BZ2435" s="113"/>
      <c r="CA2435" s="113"/>
      <c r="CB2435" s="113"/>
      <c r="CC2435" s="113"/>
      <c r="CD2435" s="113"/>
      <c r="CE2435" s="113"/>
      <c r="CF2435" s="113"/>
      <c r="CG2435" s="113"/>
      <c r="CH2435" s="113"/>
      <c r="CI2435" s="113"/>
      <c r="CJ2435" s="113"/>
      <c r="CK2435" s="113"/>
      <c r="CL2435" s="113"/>
      <c r="CM2435" s="113"/>
      <c r="CN2435" s="113"/>
      <c r="CO2435" s="113"/>
      <c r="CP2435" s="113"/>
      <c r="CQ2435" s="113"/>
      <c r="CR2435" s="113"/>
      <c r="CS2435" s="113"/>
      <c r="CT2435" s="113"/>
      <c r="CU2435" s="113"/>
      <c r="CV2435" s="113"/>
      <c r="CW2435" s="113"/>
      <c r="CX2435" s="113"/>
      <c r="CY2435" s="113"/>
      <c r="CZ2435" s="113"/>
      <c r="DA2435" s="113"/>
      <c r="DB2435" s="113"/>
      <c r="DC2435" s="113"/>
      <c r="DD2435" s="113"/>
      <c r="DE2435" s="113"/>
      <c r="DF2435" s="113"/>
      <c r="DG2435" s="113"/>
      <c r="DH2435" s="113"/>
      <c r="DI2435" s="113"/>
      <c r="DJ2435" s="113"/>
      <c r="DK2435" s="113"/>
      <c r="DL2435" s="113"/>
      <c r="DM2435" s="113"/>
      <c r="DN2435" s="113"/>
      <c r="DO2435" s="113"/>
      <c r="DP2435" s="113"/>
      <c r="DQ2435" s="113"/>
      <c r="DR2435" s="113"/>
    </row>
    <row r="2436" spans="1:122" s="327" customFormat="1" x14ac:dyDescent="0.25">
      <c r="A2436" s="187"/>
      <c r="B2436" s="606"/>
      <c r="C2436" s="393"/>
      <c r="D2436" s="273"/>
      <c r="E2436" s="273"/>
      <c r="F2436" s="328"/>
      <c r="G2436" s="274"/>
      <c r="I2436" s="208"/>
      <c r="J2436" s="208"/>
      <c r="K2436" s="208"/>
      <c r="L2436" s="208"/>
      <c r="M2436" s="208"/>
      <c r="N2436" s="208"/>
      <c r="O2436" s="208"/>
      <c r="P2436" s="208"/>
      <c r="Q2436" s="208"/>
      <c r="R2436" s="208"/>
      <c r="S2436" s="208"/>
      <c r="T2436" s="208"/>
      <c r="U2436" s="208"/>
      <c r="V2436" s="227"/>
      <c r="W2436" s="271"/>
      <c r="X2436" s="271"/>
      <c r="Y2436" s="227"/>
      <c r="Z2436" s="208"/>
      <c r="AA2436" s="320"/>
      <c r="AB2436" s="214"/>
      <c r="AC2436" s="214"/>
      <c r="AD2436" s="214"/>
      <c r="AE2436" s="214"/>
      <c r="AF2436" s="214"/>
      <c r="AG2436" s="214"/>
      <c r="AH2436" s="113"/>
      <c r="AI2436" s="113"/>
      <c r="AJ2436" s="113"/>
      <c r="AK2436" s="113"/>
      <c r="AL2436" s="113"/>
      <c r="AM2436" s="113"/>
      <c r="AN2436" s="113"/>
      <c r="AO2436" s="113"/>
      <c r="AP2436" s="113"/>
      <c r="AQ2436" s="113"/>
      <c r="AR2436" s="113"/>
      <c r="AS2436" s="113"/>
      <c r="AT2436" s="113"/>
      <c r="AU2436" s="113"/>
      <c r="AV2436" s="113"/>
      <c r="AW2436" s="113"/>
      <c r="AX2436" s="113"/>
      <c r="AY2436" s="113"/>
      <c r="AZ2436" s="113"/>
      <c r="BA2436" s="113"/>
      <c r="BB2436" s="113"/>
      <c r="BC2436" s="113"/>
      <c r="BD2436" s="113"/>
      <c r="BE2436" s="113"/>
      <c r="BF2436" s="113"/>
      <c r="BG2436" s="113"/>
      <c r="BH2436" s="113"/>
      <c r="BI2436" s="113"/>
      <c r="BJ2436" s="113"/>
      <c r="BK2436" s="113"/>
      <c r="BL2436" s="113"/>
      <c r="BM2436" s="113"/>
      <c r="BN2436" s="113"/>
      <c r="BO2436" s="113"/>
      <c r="BP2436" s="113"/>
      <c r="BQ2436" s="113"/>
      <c r="BR2436" s="113"/>
      <c r="BS2436" s="113"/>
      <c r="BT2436" s="113"/>
      <c r="BU2436" s="113"/>
      <c r="BV2436" s="113"/>
      <c r="BW2436" s="113"/>
      <c r="BX2436" s="113"/>
      <c r="BY2436" s="113"/>
      <c r="BZ2436" s="113"/>
      <c r="CA2436" s="113"/>
      <c r="CB2436" s="113"/>
      <c r="CC2436" s="113"/>
      <c r="CD2436" s="113"/>
      <c r="CE2436" s="113"/>
      <c r="CF2436" s="113"/>
      <c r="CG2436" s="113"/>
      <c r="CH2436" s="113"/>
      <c r="CI2436" s="113"/>
      <c r="CJ2436" s="113"/>
      <c r="CK2436" s="113"/>
      <c r="CL2436" s="113"/>
      <c r="CM2436" s="113"/>
      <c r="CN2436" s="113"/>
      <c r="CO2436" s="113"/>
      <c r="CP2436" s="113"/>
      <c r="CQ2436" s="113"/>
      <c r="CR2436" s="113"/>
      <c r="CS2436" s="113"/>
      <c r="CT2436" s="113"/>
      <c r="CU2436" s="113"/>
      <c r="CV2436" s="113"/>
      <c r="CW2436" s="113"/>
      <c r="CX2436" s="113"/>
      <c r="CY2436" s="113"/>
      <c r="CZ2436" s="113"/>
      <c r="DA2436" s="113"/>
      <c r="DB2436" s="113"/>
      <c r="DC2436" s="113"/>
      <c r="DD2436" s="113"/>
      <c r="DE2436" s="113"/>
      <c r="DF2436" s="113"/>
      <c r="DG2436" s="113"/>
      <c r="DH2436" s="113"/>
      <c r="DI2436" s="113"/>
      <c r="DJ2436" s="113"/>
      <c r="DK2436" s="113"/>
      <c r="DL2436" s="113"/>
      <c r="DM2436" s="113"/>
      <c r="DN2436" s="113"/>
      <c r="DO2436" s="113"/>
      <c r="DP2436" s="113"/>
      <c r="DQ2436" s="113"/>
      <c r="DR2436" s="113"/>
    </row>
    <row r="2437" spans="1:122" s="327" customFormat="1" x14ac:dyDescent="0.25">
      <c r="A2437" s="187"/>
      <c r="B2437" s="606"/>
      <c r="C2437" s="393"/>
      <c r="D2437" s="273"/>
      <c r="E2437" s="273"/>
      <c r="F2437" s="328"/>
      <c r="G2437" s="274"/>
      <c r="I2437" s="208"/>
      <c r="J2437" s="208"/>
      <c r="K2437" s="208"/>
      <c r="L2437" s="208"/>
      <c r="M2437" s="208"/>
      <c r="N2437" s="208"/>
      <c r="O2437" s="208"/>
      <c r="P2437" s="208"/>
      <c r="Q2437" s="208"/>
      <c r="R2437" s="208"/>
      <c r="S2437" s="208"/>
      <c r="T2437" s="208"/>
      <c r="U2437" s="208"/>
      <c r="V2437" s="227"/>
      <c r="W2437" s="271"/>
      <c r="X2437" s="271"/>
      <c r="Y2437" s="227"/>
      <c r="Z2437" s="208"/>
      <c r="AA2437" s="320"/>
      <c r="AB2437" s="214"/>
      <c r="AC2437" s="214"/>
      <c r="AD2437" s="214"/>
      <c r="AE2437" s="214"/>
      <c r="AF2437" s="214"/>
      <c r="AG2437" s="214"/>
      <c r="AH2437" s="113"/>
      <c r="AI2437" s="113"/>
      <c r="AJ2437" s="113"/>
      <c r="AK2437" s="113"/>
      <c r="AL2437" s="113"/>
      <c r="AM2437" s="113"/>
      <c r="AN2437" s="113"/>
      <c r="AO2437" s="113"/>
      <c r="AP2437" s="113"/>
      <c r="AQ2437" s="113"/>
      <c r="AR2437" s="113"/>
      <c r="AS2437" s="113"/>
      <c r="AT2437" s="113"/>
      <c r="AU2437" s="113"/>
      <c r="AV2437" s="113"/>
      <c r="AW2437" s="113"/>
      <c r="AX2437" s="113"/>
      <c r="AY2437" s="113"/>
      <c r="AZ2437" s="113"/>
      <c r="BA2437" s="113"/>
      <c r="BB2437" s="113"/>
      <c r="BC2437" s="113"/>
      <c r="BD2437" s="113"/>
      <c r="BE2437" s="113"/>
      <c r="BF2437" s="113"/>
      <c r="BG2437" s="113"/>
      <c r="BH2437" s="113"/>
      <c r="BI2437" s="113"/>
      <c r="BJ2437" s="113"/>
      <c r="BK2437" s="113"/>
      <c r="BL2437" s="113"/>
      <c r="BM2437" s="113"/>
      <c r="BN2437" s="113"/>
      <c r="BO2437" s="113"/>
      <c r="BP2437" s="113"/>
      <c r="BQ2437" s="113"/>
      <c r="BR2437" s="113"/>
      <c r="BS2437" s="113"/>
      <c r="BT2437" s="113"/>
      <c r="BU2437" s="113"/>
      <c r="BV2437" s="113"/>
      <c r="BW2437" s="113"/>
      <c r="BX2437" s="113"/>
      <c r="BY2437" s="113"/>
      <c r="BZ2437" s="113"/>
      <c r="CA2437" s="113"/>
      <c r="CB2437" s="113"/>
      <c r="CC2437" s="113"/>
      <c r="CD2437" s="113"/>
      <c r="CE2437" s="113"/>
      <c r="CF2437" s="113"/>
      <c r="CG2437" s="113"/>
      <c r="CH2437" s="113"/>
      <c r="CI2437" s="113"/>
      <c r="CJ2437" s="113"/>
      <c r="CK2437" s="113"/>
      <c r="CL2437" s="113"/>
      <c r="CM2437" s="113"/>
      <c r="CN2437" s="113"/>
      <c r="CO2437" s="113"/>
      <c r="CP2437" s="113"/>
      <c r="CQ2437" s="113"/>
      <c r="CR2437" s="113"/>
      <c r="CS2437" s="113"/>
      <c r="CT2437" s="113"/>
      <c r="CU2437" s="113"/>
      <c r="CV2437" s="113"/>
      <c r="CW2437" s="113"/>
      <c r="CX2437" s="113"/>
      <c r="CY2437" s="113"/>
      <c r="CZ2437" s="113"/>
      <c r="DA2437" s="113"/>
      <c r="DB2437" s="113"/>
      <c r="DC2437" s="113"/>
      <c r="DD2437" s="113"/>
      <c r="DE2437" s="113"/>
      <c r="DF2437" s="113"/>
      <c r="DG2437" s="113"/>
      <c r="DH2437" s="113"/>
      <c r="DI2437" s="113"/>
      <c r="DJ2437" s="113"/>
      <c r="DK2437" s="113"/>
      <c r="DL2437" s="113"/>
      <c r="DM2437" s="113"/>
      <c r="DN2437" s="113"/>
      <c r="DO2437" s="113"/>
      <c r="DP2437" s="113"/>
      <c r="DQ2437" s="113"/>
      <c r="DR2437" s="113"/>
    </row>
    <row r="2438" spans="1:122" s="327" customFormat="1" x14ac:dyDescent="0.25">
      <c r="A2438" s="187"/>
      <c r="B2438" s="606"/>
      <c r="C2438" s="393"/>
      <c r="D2438" s="273"/>
      <c r="E2438" s="273"/>
      <c r="F2438" s="328"/>
      <c r="G2438" s="274"/>
      <c r="I2438" s="208"/>
      <c r="J2438" s="208"/>
      <c r="K2438" s="208"/>
      <c r="L2438" s="208"/>
      <c r="M2438" s="208"/>
      <c r="N2438" s="208"/>
      <c r="O2438" s="208"/>
      <c r="P2438" s="208"/>
      <c r="Q2438" s="208"/>
      <c r="R2438" s="208"/>
      <c r="S2438" s="208"/>
      <c r="T2438" s="208"/>
      <c r="U2438" s="208"/>
      <c r="V2438" s="227"/>
      <c r="W2438" s="271"/>
      <c r="X2438" s="271"/>
      <c r="Y2438" s="227"/>
      <c r="Z2438" s="208"/>
      <c r="AA2438" s="320"/>
      <c r="AB2438" s="214"/>
      <c r="AC2438" s="214"/>
      <c r="AD2438" s="214"/>
      <c r="AE2438" s="214"/>
      <c r="AF2438" s="214"/>
      <c r="AG2438" s="214"/>
      <c r="AH2438" s="113"/>
      <c r="AI2438" s="113"/>
      <c r="AJ2438" s="113"/>
      <c r="AK2438" s="113"/>
      <c r="AL2438" s="113"/>
      <c r="AM2438" s="113"/>
      <c r="AN2438" s="113"/>
      <c r="AO2438" s="113"/>
      <c r="AP2438" s="113"/>
      <c r="AQ2438" s="113"/>
      <c r="AR2438" s="113"/>
      <c r="AS2438" s="113"/>
      <c r="AT2438" s="113"/>
      <c r="AU2438" s="113"/>
      <c r="AV2438" s="113"/>
      <c r="AW2438" s="113"/>
      <c r="AX2438" s="113"/>
      <c r="AY2438" s="113"/>
      <c r="AZ2438" s="113"/>
      <c r="BA2438" s="113"/>
      <c r="BB2438" s="113"/>
      <c r="BC2438" s="113"/>
      <c r="BD2438" s="113"/>
      <c r="BE2438" s="113"/>
      <c r="BF2438" s="113"/>
      <c r="BG2438" s="113"/>
      <c r="BH2438" s="113"/>
      <c r="BI2438" s="113"/>
      <c r="BJ2438" s="113"/>
      <c r="BK2438" s="113"/>
      <c r="BL2438" s="113"/>
      <c r="BM2438" s="113"/>
      <c r="BN2438" s="113"/>
      <c r="BO2438" s="113"/>
      <c r="BP2438" s="113"/>
      <c r="BQ2438" s="113"/>
      <c r="BR2438" s="113"/>
      <c r="BS2438" s="113"/>
      <c r="BT2438" s="113"/>
      <c r="BU2438" s="113"/>
      <c r="BV2438" s="113"/>
      <c r="BW2438" s="113"/>
      <c r="BX2438" s="113"/>
      <c r="BY2438" s="113"/>
      <c r="BZ2438" s="113"/>
      <c r="CA2438" s="113"/>
      <c r="CB2438" s="113"/>
      <c r="CC2438" s="113"/>
      <c r="CD2438" s="113"/>
      <c r="CE2438" s="113"/>
      <c r="CF2438" s="113"/>
      <c r="CG2438" s="113"/>
      <c r="CH2438" s="113"/>
      <c r="CI2438" s="113"/>
      <c r="CJ2438" s="113"/>
      <c r="CK2438" s="113"/>
      <c r="CL2438" s="113"/>
      <c r="CM2438" s="113"/>
      <c r="CN2438" s="113"/>
      <c r="CO2438" s="113"/>
      <c r="CP2438" s="113"/>
      <c r="CQ2438" s="113"/>
      <c r="CR2438" s="113"/>
      <c r="CS2438" s="113"/>
      <c r="CT2438" s="113"/>
      <c r="CU2438" s="113"/>
      <c r="CV2438" s="113"/>
      <c r="CW2438" s="113"/>
      <c r="CX2438" s="113"/>
      <c r="CY2438" s="113"/>
      <c r="CZ2438" s="113"/>
      <c r="DA2438" s="113"/>
      <c r="DB2438" s="113"/>
      <c r="DC2438" s="113"/>
      <c r="DD2438" s="113"/>
      <c r="DE2438" s="113"/>
      <c r="DF2438" s="113"/>
      <c r="DG2438" s="113"/>
      <c r="DH2438" s="113"/>
      <c r="DI2438" s="113"/>
      <c r="DJ2438" s="113"/>
      <c r="DK2438" s="113"/>
      <c r="DL2438" s="113"/>
      <c r="DM2438" s="113"/>
      <c r="DN2438" s="113"/>
      <c r="DO2438" s="113"/>
      <c r="DP2438" s="113"/>
      <c r="DQ2438" s="113"/>
      <c r="DR2438" s="113"/>
    </row>
    <row r="2599" spans="1:122" s="327" customFormat="1" x14ac:dyDescent="0.25">
      <c r="A2599" s="187"/>
      <c r="B2599" s="606"/>
      <c r="C2599" s="393"/>
      <c r="D2599" s="273"/>
      <c r="E2599" s="273"/>
      <c r="F2599" s="328"/>
      <c r="G2599" s="274"/>
      <c r="I2599" s="208"/>
      <c r="J2599" s="208"/>
      <c r="K2599" s="208"/>
      <c r="L2599" s="208"/>
      <c r="M2599" s="208"/>
      <c r="N2599" s="208"/>
      <c r="O2599" s="208"/>
      <c r="P2599" s="208"/>
      <c r="Q2599" s="208"/>
      <c r="R2599" s="208"/>
      <c r="S2599" s="208"/>
      <c r="T2599" s="208"/>
      <c r="U2599" s="208"/>
      <c r="V2599" s="227"/>
      <c r="W2599" s="271"/>
      <c r="X2599" s="271"/>
      <c r="Y2599" s="227"/>
      <c r="Z2599" s="208"/>
      <c r="AA2599" s="320"/>
      <c r="AB2599" s="214"/>
      <c r="AC2599" s="214"/>
      <c r="AD2599" s="214"/>
      <c r="AE2599" s="214"/>
      <c r="AF2599" s="214"/>
      <c r="AG2599" s="214"/>
      <c r="AH2599" s="113"/>
      <c r="AI2599" s="113"/>
      <c r="AJ2599" s="113"/>
      <c r="AK2599" s="113"/>
      <c r="AL2599" s="113"/>
      <c r="AM2599" s="113"/>
      <c r="AN2599" s="113"/>
      <c r="AO2599" s="113"/>
      <c r="AP2599" s="113"/>
      <c r="AQ2599" s="113"/>
      <c r="AR2599" s="113"/>
      <c r="AS2599" s="113"/>
      <c r="AT2599" s="113"/>
      <c r="AU2599" s="113"/>
      <c r="AV2599" s="113"/>
      <c r="AW2599" s="113"/>
      <c r="AX2599" s="113"/>
      <c r="AY2599" s="113"/>
      <c r="AZ2599" s="113"/>
      <c r="BA2599" s="113"/>
      <c r="BB2599" s="113"/>
      <c r="BC2599" s="113"/>
      <c r="BD2599" s="113"/>
      <c r="BE2599" s="113"/>
      <c r="BF2599" s="113"/>
      <c r="BG2599" s="113"/>
      <c r="BH2599" s="113"/>
      <c r="BI2599" s="113"/>
      <c r="BJ2599" s="113"/>
      <c r="BK2599" s="113"/>
      <c r="BL2599" s="113"/>
      <c r="BM2599" s="113"/>
      <c r="BN2599" s="113"/>
      <c r="BO2599" s="113"/>
      <c r="BP2599" s="113"/>
      <c r="BQ2599" s="113"/>
      <c r="BR2599" s="113"/>
      <c r="BS2599" s="113"/>
      <c r="BT2599" s="113"/>
      <c r="BU2599" s="113"/>
      <c r="BV2599" s="113"/>
      <c r="BW2599" s="113"/>
      <c r="BX2599" s="113"/>
      <c r="BY2599" s="113"/>
      <c r="BZ2599" s="113"/>
      <c r="CA2599" s="113"/>
      <c r="CB2599" s="113"/>
      <c r="CC2599" s="113"/>
      <c r="CD2599" s="113"/>
      <c r="CE2599" s="113"/>
      <c r="CF2599" s="113"/>
      <c r="CG2599" s="113"/>
      <c r="CH2599" s="113"/>
      <c r="CI2599" s="113"/>
      <c r="CJ2599" s="113"/>
      <c r="CK2599" s="113"/>
      <c r="CL2599" s="113"/>
      <c r="CM2599" s="113"/>
      <c r="CN2599" s="113"/>
      <c r="CO2599" s="113"/>
      <c r="CP2599" s="113"/>
      <c r="CQ2599" s="113"/>
      <c r="CR2599" s="113"/>
      <c r="CS2599" s="113"/>
      <c r="CT2599" s="113"/>
      <c r="CU2599" s="113"/>
      <c r="CV2599" s="113"/>
      <c r="CW2599" s="113"/>
      <c r="CX2599" s="113"/>
      <c r="CY2599" s="113"/>
      <c r="CZ2599" s="113"/>
      <c r="DA2599" s="113"/>
      <c r="DB2599" s="113"/>
      <c r="DC2599" s="113"/>
      <c r="DD2599" s="113"/>
      <c r="DE2599" s="113"/>
      <c r="DF2599" s="113"/>
      <c r="DG2599" s="113"/>
      <c r="DH2599" s="113"/>
      <c r="DI2599" s="113"/>
      <c r="DJ2599" s="113"/>
      <c r="DK2599" s="113"/>
      <c r="DL2599" s="113"/>
      <c r="DM2599" s="113"/>
      <c r="DN2599" s="113"/>
      <c r="DO2599" s="113"/>
      <c r="DP2599" s="113"/>
      <c r="DQ2599" s="113"/>
      <c r="DR2599" s="113"/>
    </row>
    <row r="2600" spans="1:122" s="327" customFormat="1" x14ac:dyDescent="0.25">
      <c r="A2600" s="187"/>
      <c r="B2600" s="606"/>
      <c r="C2600" s="393"/>
      <c r="D2600" s="273"/>
      <c r="E2600" s="273"/>
      <c r="F2600" s="328"/>
      <c r="G2600" s="274"/>
      <c r="I2600" s="208"/>
      <c r="J2600" s="208"/>
      <c r="K2600" s="208"/>
      <c r="L2600" s="208"/>
      <c r="M2600" s="208"/>
      <c r="N2600" s="208"/>
      <c r="O2600" s="208"/>
      <c r="P2600" s="208"/>
      <c r="Q2600" s="208"/>
      <c r="R2600" s="208"/>
      <c r="S2600" s="208"/>
      <c r="T2600" s="208"/>
      <c r="U2600" s="208"/>
      <c r="V2600" s="227"/>
      <c r="W2600" s="271"/>
      <c r="X2600" s="271"/>
      <c r="Y2600" s="227"/>
      <c r="Z2600" s="208"/>
      <c r="AA2600" s="320"/>
      <c r="AB2600" s="214"/>
      <c r="AC2600" s="214"/>
      <c r="AD2600" s="214"/>
      <c r="AE2600" s="214"/>
      <c r="AF2600" s="214"/>
      <c r="AG2600" s="214"/>
      <c r="AH2600" s="113"/>
      <c r="AI2600" s="113"/>
      <c r="AJ2600" s="113"/>
      <c r="AK2600" s="113"/>
      <c r="AL2600" s="113"/>
      <c r="AM2600" s="113"/>
      <c r="AN2600" s="113"/>
      <c r="AO2600" s="113"/>
      <c r="AP2600" s="113"/>
      <c r="AQ2600" s="113"/>
      <c r="AR2600" s="113"/>
      <c r="AS2600" s="113"/>
      <c r="AT2600" s="113"/>
      <c r="AU2600" s="113"/>
      <c r="AV2600" s="113"/>
      <c r="AW2600" s="113"/>
      <c r="AX2600" s="113"/>
      <c r="AY2600" s="113"/>
      <c r="AZ2600" s="113"/>
      <c r="BA2600" s="113"/>
      <c r="BB2600" s="113"/>
      <c r="BC2600" s="113"/>
      <c r="BD2600" s="113"/>
      <c r="BE2600" s="113"/>
      <c r="BF2600" s="113"/>
      <c r="BG2600" s="113"/>
      <c r="BH2600" s="113"/>
      <c r="BI2600" s="113"/>
      <c r="BJ2600" s="113"/>
      <c r="BK2600" s="113"/>
      <c r="BL2600" s="113"/>
      <c r="BM2600" s="113"/>
      <c r="BN2600" s="113"/>
      <c r="BO2600" s="113"/>
      <c r="BP2600" s="113"/>
      <c r="BQ2600" s="113"/>
      <c r="BR2600" s="113"/>
      <c r="BS2600" s="113"/>
      <c r="BT2600" s="113"/>
      <c r="BU2600" s="113"/>
      <c r="BV2600" s="113"/>
      <c r="BW2600" s="113"/>
      <c r="BX2600" s="113"/>
      <c r="BY2600" s="113"/>
      <c r="BZ2600" s="113"/>
      <c r="CA2600" s="113"/>
      <c r="CB2600" s="113"/>
      <c r="CC2600" s="113"/>
      <c r="CD2600" s="113"/>
      <c r="CE2600" s="113"/>
      <c r="CF2600" s="113"/>
      <c r="CG2600" s="113"/>
      <c r="CH2600" s="113"/>
      <c r="CI2600" s="113"/>
      <c r="CJ2600" s="113"/>
      <c r="CK2600" s="113"/>
      <c r="CL2600" s="113"/>
      <c r="CM2600" s="113"/>
      <c r="CN2600" s="113"/>
      <c r="CO2600" s="113"/>
      <c r="CP2600" s="113"/>
      <c r="CQ2600" s="113"/>
      <c r="CR2600" s="113"/>
      <c r="CS2600" s="113"/>
      <c r="CT2600" s="113"/>
      <c r="CU2600" s="113"/>
      <c r="CV2600" s="113"/>
      <c r="CW2600" s="113"/>
      <c r="CX2600" s="113"/>
      <c r="CY2600" s="113"/>
      <c r="CZ2600" s="113"/>
      <c r="DA2600" s="113"/>
      <c r="DB2600" s="113"/>
      <c r="DC2600" s="113"/>
      <c r="DD2600" s="113"/>
      <c r="DE2600" s="113"/>
      <c r="DF2600" s="113"/>
      <c r="DG2600" s="113"/>
      <c r="DH2600" s="113"/>
      <c r="DI2600" s="113"/>
      <c r="DJ2600" s="113"/>
      <c r="DK2600" s="113"/>
      <c r="DL2600" s="113"/>
      <c r="DM2600" s="113"/>
      <c r="DN2600" s="113"/>
      <c r="DO2600" s="113"/>
      <c r="DP2600" s="113"/>
      <c r="DQ2600" s="113"/>
      <c r="DR2600" s="113"/>
    </row>
    <row r="2601" spans="1:122" s="327" customFormat="1" x14ac:dyDescent="0.25">
      <c r="A2601" s="187"/>
      <c r="B2601" s="606"/>
      <c r="C2601" s="393"/>
      <c r="D2601" s="273"/>
      <c r="E2601" s="273"/>
      <c r="F2601" s="328"/>
      <c r="G2601" s="274"/>
      <c r="I2601" s="208"/>
      <c r="J2601" s="208"/>
      <c r="K2601" s="208"/>
      <c r="L2601" s="208"/>
      <c r="M2601" s="208"/>
      <c r="N2601" s="208"/>
      <c r="O2601" s="208"/>
      <c r="P2601" s="208"/>
      <c r="Q2601" s="208"/>
      <c r="R2601" s="208"/>
      <c r="S2601" s="208"/>
      <c r="T2601" s="208"/>
      <c r="U2601" s="208"/>
      <c r="V2601" s="227"/>
      <c r="W2601" s="271"/>
      <c r="X2601" s="271"/>
      <c r="Y2601" s="227"/>
      <c r="Z2601" s="208"/>
      <c r="AA2601" s="320"/>
      <c r="AB2601" s="214"/>
      <c r="AC2601" s="214"/>
      <c r="AD2601" s="214"/>
      <c r="AE2601" s="214"/>
      <c r="AF2601" s="214"/>
      <c r="AG2601" s="214"/>
      <c r="AH2601" s="113"/>
      <c r="AI2601" s="113"/>
      <c r="AJ2601" s="113"/>
      <c r="AK2601" s="113"/>
      <c r="AL2601" s="113"/>
      <c r="AM2601" s="113"/>
      <c r="AN2601" s="113"/>
      <c r="AO2601" s="113"/>
      <c r="AP2601" s="113"/>
      <c r="AQ2601" s="113"/>
      <c r="AR2601" s="113"/>
      <c r="AS2601" s="113"/>
      <c r="AT2601" s="113"/>
      <c r="AU2601" s="113"/>
      <c r="AV2601" s="113"/>
      <c r="AW2601" s="113"/>
      <c r="AX2601" s="113"/>
      <c r="AY2601" s="113"/>
      <c r="AZ2601" s="113"/>
      <c r="BA2601" s="113"/>
      <c r="BB2601" s="113"/>
      <c r="BC2601" s="113"/>
      <c r="BD2601" s="113"/>
      <c r="BE2601" s="113"/>
      <c r="BF2601" s="113"/>
      <c r="BG2601" s="113"/>
      <c r="BH2601" s="113"/>
      <c r="BI2601" s="113"/>
      <c r="BJ2601" s="113"/>
      <c r="BK2601" s="113"/>
      <c r="BL2601" s="113"/>
      <c r="BM2601" s="113"/>
      <c r="BN2601" s="113"/>
      <c r="BO2601" s="113"/>
      <c r="BP2601" s="113"/>
      <c r="BQ2601" s="113"/>
      <c r="BR2601" s="113"/>
      <c r="BS2601" s="113"/>
      <c r="BT2601" s="113"/>
      <c r="BU2601" s="113"/>
      <c r="BV2601" s="113"/>
      <c r="BW2601" s="113"/>
      <c r="BX2601" s="113"/>
      <c r="BY2601" s="113"/>
      <c r="BZ2601" s="113"/>
      <c r="CA2601" s="113"/>
      <c r="CB2601" s="113"/>
      <c r="CC2601" s="113"/>
      <c r="CD2601" s="113"/>
      <c r="CE2601" s="113"/>
      <c r="CF2601" s="113"/>
      <c r="CG2601" s="113"/>
      <c r="CH2601" s="113"/>
      <c r="CI2601" s="113"/>
      <c r="CJ2601" s="113"/>
      <c r="CK2601" s="113"/>
      <c r="CL2601" s="113"/>
      <c r="CM2601" s="113"/>
      <c r="CN2601" s="113"/>
      <c r="CO2601" s="113"/>
      <c r="CP2601" s="113"/>
      <c r="CQ2601" s="113"/>
      <c r="CR2601" s="113"/>
      <c r="CS2601" s="113"/>
      <c r="CT2601" s="113"/>
      <c r="CU2601" s="113"/>
      <c r="CV2601" s="113"/>
      <c r="CW2601" s="113"/>
      <c r="CX2601" s="113"/>
      <c r="CY2601" s="113"/>
      <c r="CZ2601" s="113"/>
      <c r="DA2601" s="113"/>
      <c r="DB2601" s="113"/>
      <c r="DC2601" s="113"/>
      <c r="DD2601" s="113"/>
      <c r="DE2601" s="113"/>
      <c r="DF2601" s="113"/>
      <c r="DG2601" s="113"/>
      <c r="DH2601" s="113"/>
      <c r="DI2601" s="113"/>
      <c r="DJ2601" s="113"/>
      <c r="DK2601" s="113"/>
      <c r="DL2601" s="113"/>
      <c r="DM2601" s="113"/>
      <c r="DN2601" s="113"/>
      <c r="DO2601" s="113"/>
      <c r="DP2601" s="113"/>
      <c r="DQ2601" s="113"/>
      <c r="DR2601" s="113"/>
    </row>
    <row r="2602" spans="1:122" s="327" customFormat="1" x14ac:dyDescent="0.25">
      <c r="A2602" s="187"/>
      <c r="B2602" s="606"/>
      <c r="C2602" s="393"/>
      <c r="D2602" s="273"/>
      <c r="E2602" s="273"/>
      <c r="F2602" s="328"/>
      <c r="G2602" s="274"/>
      <c r="I2602" s="208"/>
      <c r="J2602" s="208"/>
      <c r="K2602" s="208"/>
      <c r="L2602" s="208"/>
      <c r="M2602" s="208"/>
      <c r="N2602" s="208"/>
      <c r="O2602" s="208"/>
      <c r="P2602" s="208"/>
      <c r="Q2602" s="208"/>
      <c r="R2602" s="208"/>
      <c r="S2602" s="208"/>
      <c r="T2602" s="208"/>
      <c r="U2602" s="208"/>
      <c r="V2602" s="227"/>
      <c r="W2602" s="271"/>
      <c r="X2602" s="271"/>
      <c r="Y2602" s="227"/>
      <c r="Z2602" s="208"/>
      <c r="AA2602" s="320"/>
      <c r="AB2602" s="214"/>
      <c r="AC2602" s="214"/>
      <c r="AD2602" s="214"/>
      <c r="AE2602" s="214"/>
      <c r="AF2602" s="214"/>
      <c r="AG2602" s="214"/>
      <c r="AH2602" s="113"/>
      <c r="AI2602" s="113"/>
      <c r="AJ2602" s="113"/>
      <c r="AK2602" s="113"/>
      <c r="AL2602" s="113"/>
      <c r="AM2602" s="113"/>
      <c r="AN2602" s="113"/>
      <c r="AO2602" s="113"/>
      <c r="AP2602" s="113"/>
      <c r="AQ2602" s="113"/>
      <c r="AR2602" s="113"/>
      <c r="AS2602" s="113"/>
      <c r="AT2602" s="113"/>
      <c r="AU2602" s="113"/>
      <c r="AV2602" s="113"/>
      <c r="AW2602" s="113"/>
      <c r="AX2602" s="113"/>
      <c r="AY2602" s="113"/>
      <c r="AZ2602" s="113"/>
      <c r="BA2602" s="113"/>
      <c r="BB2602" s="113"/>
      <c r="BC2602" s="113"/>
      <c r="BD2602" s="113"/>
      <c r="BE2602" s="113"/>
      <c r="BF2602" s="113"/>
      <c r="BG2602" s="113"/>
      <c r="BH2602" s="113"/>
      <c r="BI2602" s="113"/>
      <c r="BJ2602" s="113"/>
      <c r="BK2602" s="113"/>
      <c r="BL2602" s="113"/>
      <c r="BM2602" s="113"/>
      <c r="BN2602" s="113"/>
      <c r="BO2602" s="113"/>
      <c r="BP2602" s="113"/>
      <c r="BQ2602" s="113"/>
      <c r="BR2602" s="113"/>
      <c r="BS2602" s="113"/>
      <c r="BT2602" s="113"/>
      <c r="BU2602" s="113"/>
      <c r="BV2602" s="113"/>
      <c r="BW2602" s="113"/>
      <c r="BX2602" s="113"/>
      <c r="BY2602" s="113"/>
      <c r="BZ2602" s="113"/>
      <c r="CA2602" s="113"/>
      <c r="CB2602" s="113"/>
      <c r="CC2602" s="113"/>
      <c r="CD2602" s="113"/>
      <c r="CE2602" s="113"/>
      <c r="CF2602" s="113"/>
      <c r="CG2602" s="113"/>
      <c r="CH2602" s="113"/>
      <c r="CI2602" s="113"/>
      <c r="CJ2602" s="113"/>
      <c r="CK2602" s="113"/>
      <c r="CL2602" s="113"/>
      <c r="CM2602" s="113"/>
      <c r="CN2602" s="113"/>
      <c r="CO2602" s="113"/>
      <c r="CP2602" s="113"/>
      <c r="CQ2602" s="113"/>
      <c r="CR2602" s="113"/>
      <c r="CS2602" s="113"/>
      <c r="CT2602" s="113"/>
      <c r="CU2602" s="113"/>
      <c r="CV2602" s="113"/>
      <c r="CW2602" s="113"/>
      <c r="CX2602" s="113"/>
      <c r="CY2602" s="113"/>
      <c r="CZ2602" s="113"/>
      <c r="DA2602" s="113"/>
      <c r="DB2602" s="113"/>
      <c r="DC2602" s="113"/>
      <c r="DD2602" s="113"/>
      <c r="DE2602" s="113"/>
      <c r="DF2602" s="113"/>
      <c r="DG2602" s="113"/>
      <c r="DH2602" s="113"/>
      <c r="DI2602" s="113"/>
      <c r="DJ2602" s="113"/>
      <c r="DK2602" s="113"/>
      <c r="DL2602" s="113"/>
      <c r="DM2602" s="113"/>
      <c r="DN2602" s="113"/>
      <c r="DO2602" s="113"/>
      <c r="DP2602" s="113"/>
      <c r="DQ2602" s="113"/>
      <c r="DR2602" s="113"/>
    </row>
    <row r="2603" spans="1:122" s="327" customFormat="1" x14ac:dyDescent="0.25">
      <c r="A2603" s="187"/>
      <c r="B2603" s="606"/>
      <c r="C2603" s="393"/>
      <c r="D2603" s="273"/>
      <c r="E2603" s="273"/>
      <c r="F2603" s="328"/>
      <c r="G2603" s="274"/>
      <c r="I2603" s="208"/>
      <c r="J2603" s="208"/>
      <c r="K2603" s="208"/>
      <c r="L2603" s="208"/>
      <c r="M2603" s="208"/>
      <c r="N2603" s="208"/>
      <c r="O2603" s="208"/>
      <c r="P2603" s="208"/>
      <c r="Q2603" s="208"/>
      <c r="R2603" s="208"/>
      <c r="S2603" s="208"/>
      <c r="T2603" s="208"/>
      <c r="U2603" s="208"/>
      <c r="V2603" s="227"/>
      <c r="W2603" s="271"/>
      <c r="X2603" s="271"/>
      <c r="Y2603" s="227"/>
      <c r="Z2603" s="208"/>
      <c r="AA2603" s="320"/>
      <c r="AB2603" s="214"/>
      <c r="AC2603" s="214"/>
      <c r="AD2603" s="214"/>
      <c r="AE2603" s="214"/>
      <c r="AF2603" s="214"/>
      <c r="AG2603" s="214"/>
      <c r="AH2603" s="113"/>
      <c r="AI2603" s="113"/>
      <c r="AJ2603" s="113"/>
      <c r="AK2603" s="113"/>
      <c r="AL2603" s="113"/>
      <c r="AM2603" s="113"/>
      <c r="AN2603" s="113"/>
      <c r="AO2603" s="113"/>
      <c r="AP2603" s="113"/>
      <c r="AQ2603" s="113"/>
      <c r="AR2603" s="113"/>
      <c r="AS2603" s="113"/>
      <c r="AT2603" s="113"/>
      <c r="AU2603" s="113"/>
      <c r="AV2603" s="113"/>
      <c r="AW2603" s="113"/>
      <c r="AX2603" s="113"/>
      <c r="AY2603" s="113"/>
      <c r="AZ2603" s="113"/>
      <c r="BA2603" s="113"/>
      <c r="BB2603" s="113"/>
      <c r="BC2603" s="113"/>
      <c r="BD2603" s="113"/>
      <c r="BE2603" s="113"/>
      <c r="BF2603" s="113"/>
      <c r="BG2603" s="113"/>
      <c r="BH2603" s="113"/>
      <c r="BI2603" s="113"/>
      <c r="BJ2603" s="113"/>
      <c r="BK2603" s="113"/>
      <c r="BL2603" s="113"/>
      <c r="BM2603" s="113"/>
      <c r="BN2603" s="113"/>
      <c r="BO2603" s="113"/>
      <c r="BP2603" s="113"/>
      <c r="BQ2603" s="113"/>
      <c r="BR2603" s="113"/>
      <c r="BS2603" s="113"/>
      <c r="BT2603" s="113"/>
      <c r="BU2603" s="113"/>
      <c r="BV2603" s="113"/>
      <c r="BW2603" s="113"/>
      <c r="BX2603" s="113"/>
      <c r="BY2603" s="113"/>
      <c r="BZ2603" s="113"/>
      <c r="CA2603" s="113"/>
      <c r="CB2603" s="113"/>
      <c r="CC2603" s="113"/>
      <c r="CD2603" s="113"/>
      <c r="CE2603" s="113"/>
      <c r="CF2603" s="113"/>
      <c r="CG2603" s="113"/>
      <c r="CH2603" s="113"/>
      <c r="CI2603" s="113"/>
      <c r="CJ2603" s="113"/>
      <c r="CK2603" s="113"/>
      <c r="CL2603" s="113"/>
      <c r="CM2603" s="113"/>
      <c r="CN2603" s="113"/>
      <c r="CO2603" s="113"/>
      <c r="CP2603" s="113"/>
      <c r="CQ2603" s="113"/>
      <c r="CR2603" s="113"/>
      <c r="CS2603" s="113"/>
      <c r="CT2603" s="113"/>
      <c r="CU2603" s="113"/>
      <c r="CV2603" s="113"/>
      <c r="CW2603" s="113"/>
      <c r="CX2603" s="113"/>
      <c r="CY2603" s="113"/>
      <c r="CZ2603" s="113"/>
      <c r="DA2603" s="113"/>
      <c r="DB2603" s="113"/>
      <c r="DC2603" s="113"/>
      <c r="DD2603" s="113"/>
      <c r="DE2603" s="113"/>
      <c r="DF2603" s="113"/>
      <c r="DG2603" s="113"/>
      <c r="DH2603" s="113"/>
      <c r="DI2603" s="113"/>
      <c r="DJ2603" s="113"/>
      <c r="DK2603" s="113"/>
      <c r="DL2603" s="113"/>
      <c r="DM2603" s="113"/>
      <c r="DN2603" s="113"/>
      <c r="DO2603" s="113"/>
      <c r="DP2603" s="113"/>
      <c r="DQ2603" s="113"/>
      <c r="DR2603" s="113"/>
    </row>
    <row r="2604" spans="1:122" s="327" customFormat="1" x14ac:dyDescent="0.25">
      <c r="A2604" s="187"/>
      <c r="B2604" s="606"/>
      <c r="C2604" s="393"/>
      <c r="D2604" s="273"/>
      <c r="E2604" s="273"/>
      <c r="F2604" s="328"/>
      <c r="G2604" s="274"/>
      <c r="I2604" s="208"/>
      <c r="J2604" s="208"/>
      <c r="K2604" s="208"/>
      <c r="L2604" s="208"/>
      <c r="M2604" s="208"/>
      <c r="N2604" s="208"/>
      <c r="O2604" s="208"/>
      <c r="P2604" s="208"/>
      <c r="Q2604" s="208"/>
      <c r="R2604" s="208"/>
      <c r="S2604" s="208"/>
      <c r="T2604" s="208"/>
      <c r="U2604" s="208"/>
      <c r="V2604" s="227"/>
      <c r="W2604" s="271"/>
      <c r="X2604" s="271"/>
      <c r="Y2604" s="227"/>
      <c r="Z2604" s="208"/>
      <c r="AA2604" s="320"/>
      <c r="AB2604" s="214"/>
      <c r="AC2604" s="214"/>
      <c r="AD2604" s="214"/>
      <c r="AE2604" s="214"/>
      <c r="AF2604" s="214"/>
      <c r="AG2604" s="214"/>
      <c r="AH2604" s="113"/>
      <c r="AI2604" s="113"/>
      <c r="AJ2604" s="113"/>
      <c r="AK2604" s="113"/>
      <c r="AL2604" s="113"/>
      <c r="AM2604" s="113"/>
      <c r="AN2604" s="113"/>
      <c r="AO2604" s="113"/>
      <c r="AP2604" s="113"/>
      <c r="AQ2604" s="113"/>
      <c r="AR2604" s="113"/>
      <c r="AS2604" s="113"/>
      <c r="AT2604" s="113"/>
      <c r="AU2604" s="113"/>
      <c r="AV2604" s="113"/>
      <c r="AW2604" s="113"/>
      <c r="AX2604" s="113"/>
      <c r="AY2604" s="113"/>
      <c r="AZ2604" s="113"/>
      <c r="BA2604" s="113"/>
      <c r="BB2604" s="113"/>
      <c r="BC2604" s="113"/>
      <c r="BD2604" s="113"/>
      <c r="BE2604" s="113"/>
      <c r="BF2604" s="113"/>
      <c r="BG2604" s="113"/>
      <c r="BH2604" s="113"/>
      <c r="BI2604" s="113"/>
      <c r="BJ2604" s="113"/>
      <c r="BK2604" s="113"/>
      <c r="BL2604" s="113"/>
      <c r="BM2604" s="113"/>
      <c r="BN2604" s="113"/>
      <c r="BO2604" s="113"/>
      <c r="BP2604" s="113"/>
      <c r="BQ2604" s="113"/>
      <c r="BR2604" s="113"/>
      <c r="BS2604" s="113"/>
      <c r="BT2604" s="113"/>
      <c r="BU2604" s="113"/>
      <c r="BV2604" s="113"/>
      <c r="BW2604" s="113"/>
      <c r="BX2604" s="113"/>
      <c r="BY2604" s="113"/>
      <c r="BZ2604" s="113"/>
      <c r="CA2604" s="113"/>
      <c r="CB2604" s="113"/>
      <c r="CC2604" s="113"/>
      <c r="CD2604" s="113"/>
      <c r="CE2604" s="113"/>
      <c r="CF2604" s="113"/>
      <c r="CG2604" s="113"/>
      <c r="CH2604" s="113"/>
      <c r="CI2604" s="113"/>
      <c r="CJ2604" s="113"/>
      <c r="CK2604" s="113"/>
      <c r="CL2604" s="113"/>
      <c r="CM2604" s="113"/>
      <c r="CN2604" s="113"/>
      <c r="CO2604" s="113"/>
      <c r="CP2604" s="113"/>
      <c r="CQ2604" s="113"/>
      <c r="CR2604" s="113"/>
      <c r="CS2604" s="113"/>
      <c r="CT2604" s="113"/>
      <c r="CU2604" s="113"/>
      <c r="CV2604" s="113"/>
      <c r="CW2604" s="113"/>
      <c r="CX2604" s="113"/>
      <c r="CY2604" s="113"/>
      <c r="CZ2604" s="113"/>
      <c r="DA2604" s="113"/>
      <c r="DB2604" s="113"/>
      <c r="DC2604" s="113"/>
      <c r="DD2604" s="113"/>
      <c r="DE2604" s="113"/>
      <c r="DF2604" s="113"/>
      <c r="DG2604" s="113"/>
      <c r="DH2604" s="113"/>
      <c r="DI2604" s="113"/>
      <c r="DJ2604" s="113"/>
      <c r="DK2604" s="113"/>
      <c r="DL2604" s="113"/>
      <c r="DM2604" s="113"/>
      <c r="DN2604" s="113"/>
      <c r="DO2604" s="113"/>
      <c r="DP2604" s="113"/>
      <c r="DQ2604" s="113"/>
      <c r="DR2604" s="113"/>
    </row>
    <row r="2605" spans="1:122" s="327" customFormat="1" x14ac:dyDescent="0.25">
      <c r="A2605" s="187"/>
      <c r="B2605" s="606"/>
      <c r="C2605" s="393"/>
      <c r="D2605" s="273"/>
      <c r="E2605" s="273"/>
      <c r="F2605" s="328"/>
      <c r="G2605" s="274"/>
      <c r="I2605" s="208"/>
      <c r="J2605" s="208"/>
      <c r="K2605" s="208"/>
      <c r="L2605" s="208"/>
      <c r="M2605" s="208"/>
      <c r="N2605" s="208"/>
      <c r="O2605" s="208"/>
      <c r="P2605" s="208"/>
      <c r="Q2605" s="208"/>
      <c r="R2605" s="208"/>
      <c r="S2605" s="208"/>
      <c r="T2605" s="208"/>
      <c r="U2605" s="208"/>
      <c r="V2605" s="227"/>
      <c r="W2605" s="271"/>
      <c r="X2605" s="271"/>
      <c r="Y2605" s="227"/>
      <c r="Z2605" s="208"/>
      <c r="AA2605" s="320"/>
      <c r="AB2605" s="214"/>
      <c r="AC2605" s="214"/>
      <c r="AD2605" s="214"/>
      <c r="AE2605" s="214"/>
      <c r="AF2605" s="214"/>
      <c r="AG2605" s="214"/>
      <c r="AH2605" s="113"/>
      <c r="AI2605" s="113"/>
      <c r="AJ2605" s="113"/>
      <c r="AK2605" s="113"/>
      <c r="AL2605" s="113"/>
      <c r="AM2605" s="113"/>
      <c r="AN2605" s="113"/>
      <c r="AO2605" s="113"/>
      <c r="AP2605" s="113"/>
      <c r="AQ2605" s="113"/>
      <c r="AR2605" s="113"/>
      <c r="AS2605" s="113"/>
      <c r="AT2605" s="113"/>
      <c r="AU2605" s="113"/>
      <c r="AV2605" s="113"/>
      <c r="AW2605" s="113"/>
      <c r="AX2605" s="113"/>
      <c r="AY2605" s="113"/>
      <c r="AZ2605" s="113"/>
      <c r="BA2605" s="113"/>
      <c r="BB2605" s="113"/>
      <c r="BC2605" s="113"/>
      <c r="BD2605" s="113"/>
      <c r="BE2605" s="113"/>
      <c r="BF2605" s="113"/>
      <c r="BG2605" s="113"/>
      <c r="BH2605" s="113"/>
      <c r="BI2605" s="113"/>
      <c r="BJ2605" s="113"/>
      <c r="BK2605" s="113"/>
      <c r="BL2605" s="113"/>
      <c r="BM2605" s="113"/>
      <c r="BN2605" s="113"/>
      <c r="BO2605" s="113"/>
      <c r="BP2605" s="113"/>
      <c r="BQ2605" s="113"/>
      <c r="BR2605" s="113"/>
      <c r="BS2605" s="113"/>
      <c r="BT2605" s="113"/>
      <c r="BU2605" s="113"/>
      <c r="BV2605" s="113"/>
      <c r="BW2605" s="113"/>
      <c r="BX2605" s="113"/>
      <c r="BY2605" s="113"/>
      <c r="BZ2605" s="113"/>
      <c r="CA2605" s="113"/>
      <c r="CB2605" s="113"/>
      <c r="CC2605" s="113"/>
      <c r="CD2605" s="113"/>
      <c r="CE2605" s="113"/>
      <c r="CF2605" s="113"/>
      <c r="CG2605" s="113"/>
      <c r="CH2605" s="113"/>
      <c r="CI2605" s="113"/>
      <c r="CJ2605" s="113"/>
      <c r="CK2605" s="113"/>
      <c r="CL2605" s="113"/>
      <c r="CM2605" s="113"/>
      <c r="CN2605" s="113"/>
      <c r="CO2605" s="113"/>
      <c r="CP2605" s="113"/>
      <c r="CQ2605" s="113"/>
      <c r="CR2605" s="113"/>
      <c r="CS2605" s="113"/>
      <c r="CT2605" s="113"/>
      <c r="CU2605" s="113"/>
      <c r="CV2605" s="113"/>
      <c r="CW2605" s="113"/>
      <c r="CX2605" s="113"/>
      <c r="CY2605" s="113"/>
      <c r="CZ2605" s="113"/>
      <c r="DA2605" s="113"/>
      <c r="DB2605" s="113"/>
      <c r="DC2605" s="113"/>
      <c r="DD2605" s="113"/>
      <c r="DE2605" s="113"/>
      <c r="DF2605" s="113"/>
      <c r="DG2605" s="113"/>
      <c r="DH2605" s="113"/>
      <c r="DI2605" s="113"/>
      <c r="DJ2605" s="113"/>
      <c r="DK2605" s="113"/>
      <c r="DL2605" s="113"/>
      <c r="DM2605" s="113"/>
      <c r="DN2605" s="113"/>
      <c r="DO2605" s="113"/>
      <c r="DP2605" s="113"/>
      <c r="DQ2605" s="113"/>
      <c r="DR2605" s="113"/>
    </row>
    <row r="2606" spans="1:122" s="327" customFormat="1" x14ac:dyDescent="0.25">
      <c r="A2606" s="187"/>
      <c r="B2606" s="606"/>
      <c r="C2606" s="393"/>
      <c r="D2606" s="273"/>
      <c r="E2606" s="273"/>
      <c r="F2606" s="328"/>
      <c r="G2606" s="274"/>
      <c r="I2606" s="208"/>
      <c r="J2606" s="208"/>
      <c r="K2606" s="208"/>
      <c r="L2606" s="208"/>
      <c r="M2606" s="208"/>
      <c r="N2606" s="208"/>
      <c r="O2606" s="208"/>
      <c r="P2606" s="208"/>
      <c r="Q2606" s="208"/>
      <c r="R2606" s="208"/>
      <c r="S2606" s="208"/>
      <c r="T2606" s="208"/>
      <c r="U2606" s="208"/>
      <c r="V2606" s="227"/>
      <c r="W2606" s="271"/>
      <c r="X2606" s="271"/>
      <c r="Y2606" s="227"/>
      <c r="Z2606" s="208"/>
      <c r="AA2606" s="320"/>
      <c r="AB2606" s="214"/>
      <c r="AC2606" s="214"/>
      <c r="AD2606" s="214"/>
      <c r="AE2606" s="214"/>
      <c r="AF2606" s="214"/>
      <c r="AG2606" s="214"/>
      <c r="AH2606" s="113"/>
      <c r="AI2606" s="113"/>
      <c r="AJ2606" s="113"/>
      <c r="AK2606" s="113"/>
      <c r="AL2606" s="113"/>
      <c r="AM2606" s="113"/>
      <c r="AN2606" s="113"/>
      <c r="AO2606" s="113"/>
      <c r="AP2606" s="113"/>
      <c r="AQ2606" s="113"/>
      <c r="AR2606" s="113"/>
      <c r="AS2606" s="113"/>
      <c r="AT2606" s="113"/>
      <c r="AU2606" s="113"/>
      <c r="AV2606" s="113"/>
      <c r="AW2606" s="113"/>
      <c r="AX2606" s="113"/>
      <c r="AY2606" s="113"/>
      <c r="AZ2606" s="113"/>
      <c r="BA2606" s="113"/>
      <c r="BB2606" s="113"/>
      <c r="BC2606" s="113"/>
      <c r="BD2606" s="113"/>
      <c r="BE2606" s="113"/>
      <c r="BF2606" s="113"/>
      <c r="BG2606" s="113"/>
      <c r="BH2606" s="113"/>
      <c r="BI2606" s="113"/>
      <c r="BJ2606" s="113"/>
      <c r="BK2606" s="113"/>
      <c r="BL2606" s="113"/>
      <c r="BM2606" s="113"/>
      <c r="BN2606" s="113"/>
      <c r="BO2606" s="113"/>
      <c r="BP2606" s="113"/>
      <c r="BQ2606" s="113"/>
      <c r="BR2606" s="113"/>
      <c r="BS2606" s="113"/>
      <c r="BT2606" s="113"/>
      <c r="BU2606" s="113"/>
      <c r="BV2606" s="113"/>
      <c r="BW2606" s="113"/>
      <c r="BX2606" s="113"/>
      <c r="BY2606" s="113"/>
      <c r="BZ2606" s="113"/>
      <c r="CA2606" s="113"/>
      <c r="CB2606" s="113"/>
      <c r="CC2606" s="113"/>
      <c r="CD2606" s="113"/>
      <c r="CE2606" s="113"/>
      <c r="CF2606" s="113"/>
      <c r="CG2606" s="113"/>
      <c r="CH2606" s="113"/>
      <c r="CI2606" s="113"/>
      <c r="CJ2606" s="113"/>
      <c r="CK2606" s="113"/>
      <c r="CL2606" s="113"/>
      <c r="CM2606" s="113"/>
      <c r="CN2606" s="113"/>
      <c r="CO2606" s="113"/>
      <c r="CP2606" s="113"/>
      <c r="CQ2606" s="113"/>
      <c r="CR2606" s="113"/>
      <c r="CS2606" s="113"/>
      <c r="CT2606" s="113"/>
      <c r="CU2606" s="113"/>
      <c r="CV2606" s="113"/>
      <c r="CW2606" s="113"/>
      <c r="CX2606" s="113"/>
      <c r="CY2606" s="113"/>
      <c r="CZ2606" s="113"/>
      <c r="DA2606" s="113"/>
      <c r="DB2606" s="113"/>
      <c r="DC2606" s="113"/>
      <c r="DD2606" s="113"/>
      <c r="DE2606" s="113"/>
      <c r="DF2606" s="113"/>
      <c r="DG2606" s="113"/>
      <c r="DH2606" s="113"/>
      <c r="DI2606" s="113"/>
      <c r="DJ2606" s="113"/>
      <c r="DK2606" s="113"/>
      <c r="DL2606" s="113"/>
      <c r="DM2606" s="113"/>
      <c r="DN2606" s="113"/>
      <c r="DO2606" s="113"/>
      <c r="DP2606" s="113"/>
      <c r="DQ2606" s="113"/>
      <c r="DR2606" s="113"/>
    </row>
    <row r="2607" spans="1:122" s="327" customFormat="1" x14ac:dyDescent="0.25">
      <c r="A2607" s="187"/>
      <c r="B2607" s="606"/>
      <c r="C2607" s="393"/>
      <c r="D2607" s="273"/>
      <c r="E2607" s="273"/>
      <c r="F2607" s="328"/>
      <c r="G2607" s="274"/>
      <c r="I2607" s="208"/>
      <c r="J2607" s="208"/>
      <c r="K2607" s="208"/>
      <c r="L2607" s="208"/>
      <c r="M2607" s="208"/>
      <c r="N2607" s="208"/>
      <c r="O2607" s="208"/>
      <c r="P2607" s="208"/>
      <c r="Q2607" s="208"/>
      <c r="R2607" s="208"/>
      <c r="S2607" s="208"/>
      <c r="T2607" s="208"/>
      <c r="U2607" s="208"/>
      <c r="V2607" s="227"/>
      <c r="W2607" s="271"/>
      <c r="X2607" s="271"/>
      <c r="Y2607" s="227"/>
      <c r="Z2607" s="208"/>
      <c r="AA2607" s="320"/>
      <c r="AB2607" s="214"/>
      <c r="AC2607" s="214"/>
      <c r="AD2607" s="214"/>
      <c r="AE2607" s="214"/>
      <c r="AF2607" s="214"/>
      <c r="AG2607" s="214"/>
      <c r="AH2607" s="113"/>
      <c r="AI2607" s="113"/>
      <c r="AJ2607" s="113"/>
      <c r="AK2607" s="113"/>
      <c r="AL2607" s="113"/>
      <c r="AM2607" s="113"/>
      <c r="AN2607" s="113"/>
      <c r="AO2607" s="113"/>
      <c r="AP2607" s="113"/>
      <c r="AQ2607" s="113"/>
      <c r="AR2607" s="113"/>
      <c r="AS2607" s="113"/>
      <c r="AT2607" s="113"/>
      <c r="AU2607" s="113"/>
      <c r="AV2607" s="113"/>
      <c r="AW2607" s="113"/>
      <c r="AX2607" s="113"/>
      <c r="AY2607" s="113"/>
      <c r="AZ2607" s="113"/>
      <c r="BA2607" s="113"/>
      <c r="BB2607" s="113"/>
      <c r="BC2607" s="113"/>
      <c r="BD2607" s="113"/>
      <c r="BE2607" s="113"/>
      <c r="BF2607" s="113"/>
      <c r="BG2607" s="113"/>
      <c r="BH2607" s="113"/>
      <c r="BI2607" s="113"/>
      <c r="BJ2607" s="113"/>
      <c r="BK2607" s="113"/>
      <c r="BL2607" s="113"/>
      <c r="BM2607" s="113"/>
      <c r="BN2607" s="113"/>
      <c r="BO2607" s="113"/>
      <c r="BP2607" s="113"/>
      <c r="BQ2607" s="113"/>
      <c r="BR2607" s="113"/>
      <c r="BS2607" s="113"/>
      <c r="BT2607" s="113"/>
      <c r="BU2607" s="113"/>
      <c r="BV2607" s="113"/>
      <c r="BW2607" s="113"/>
      <c r="BX2607" s="113"/>
      <c r="BY2607" s="113"/>
      <c r="BZ2607" s="113"/>
      <c r="CA2607" s="113"/>
      <c r="CB2607" s="113"/>
      <c r="CC2607" s="113"/>
      <c r="CD2607" s="113"/>
      <c r="CE2607" s="113"/>
      <c r="CF2607" s="113"/>
      <c r="CG2607" s="113"/>
      <c r="CH2607" s="113"/>
      <c r="CI2607" s="113"/>
      <c r="CJ2607" s="113"/>
      <c r="CK2607" s="113"/>
      <c r="CL2607" s="113"/>
      <c r="CM2607" s="113"/>
      <c r="CN2607" s="113"/>
      <c r="CO2607" s="113"/>
      <c r="CP2607" s="113"/>
      <c r="CQ2607" s="113"/>
      <c r="CR2607" s="113"/>
      <c r="CS2607" s="113"/>
      <c r="CT2607" s="113"/>
      <c r="CU2607" s="113"/>
      <c r="CV2607" s="113"/>
      <c r="CW2607" s="113"/>
      <c r="CX2607" s="113"/>
      <c r="CY2607" s="113"/>
      <c r="CZ2607" s="113"/>
      <c r="DA2607" s="113"/>
      <c r="DB2607" s="113"/>
      <c r="DC2607" s="113"/>
      <c r="DD2607" s="113"/>
      <c r="DE2607" s="113"/>
      <c r="DF2607" s="113"/>
      <c r="DG2607" s="113"/>
      <c r="DH2607" s="113"/>
      <c r="DI2607" s="113"/>
      <c r="DJ2607" s="113"/>
      <c r="DK2607" s="113"/>
      <c r="DL2607" s="113"/>
      <c r="DM2607" s="113"/>
      <c r="DN2607" s="113"/>
      <c r="DO2607" s="113"/>
      <c r="DP2607" s="113"/>
      <c r="DQ2607" s="113"/>
      <c r="DR2607" s="113"/>
    </row>
    <row r="2608" spans="1:122" s="327" customFormat="1" x14ac:dyDescent="0.25">
      <c r="A2608" s="187"/>
      <c r="B2608" s="606"/>
      <c r="C2608" s="393"/>
      <c r="D2608" s="273"/>
      <c r="E2608" s="273"/>
      <c r="F2608" s="328"/>
      <c r="G2608" s="274"/>
      <c r="I2608" s="208"/>
      <c r="J2608" s="208"/>
      <c r="K2608" s="208"/>
      <c r="L2608" s="208"/>
      <c r="M2608" s="208"/>
      <c r="N2608" s="208"/>
      <c r="O2608" s="208"/>
      <c r="P2608" s="208"/>
      <c r="Q2608" s="208"/>
      <c r="R2608" s="208"/>
      <c r="S2608" s="208"/>
      <c r="T2608" s="208"/>
      <c r="U2608" s="208"/>
      <c r="V2608" s="227"/>
      <c r="W2608" s="271"/>
      <c r="X2608" s="271"/>
      <c r="Y2608" s="227"/>
      <c r="Z2608" s="208"/>
      <c r="AA2608" s="320"/>
      <c r="AB2608" s="214"/>
      <c r="AC2608" s="214"/>
      <c r="AD2608" s="214"/>
      <c r="AE2608" s="214"/>
      <c r="AF2608" s="214"/>
      <c r="AG2608" s="214"/>
      <c r="AH2608" s="113"/>
      <c r="AI2608" s="113"/>
      <c r="AJ2608" s="113"/>
      <c r="AK2608" s="113"/>
      <c r="AL2608" s="113"/>
      <c r="AM2608" s="113"/>
      <c r="AN2608" s="113"/>
      <c r="AO2608" s="113"/>
      <c r="AP2608" s="113"/>
      <c r="AQ2608" s="113"/>
      <c r="AR2608" s="113"/>
      <c r="AS2608" s="113"/>
      <c r="AT2608" s="113"/>
      <c r="AU2608" s="113"/>
      <c r="AV2608" s="113"/>
      <c r="AW2608" s="113"/>
      <c r="AX2608" s="113"/>
      <c r="AY2608" s="113"/>
      <c r="AZ2608" s="113"/>
      <c r="BA2608" s="113"/>
      <c r="BB2608" s="113"/>
      <c r="BC2608" s="113"/>
      <c r="BD2608" s="113"/>
      <c r="BE2608" s="113"/>
      <c r="BF2608" s="113"/>
      <c r="BG2608" s="113"/>
      <c r="BH2608" s="113"/>
      <c r="BI2608" s="113"/>
      <c r="BJ2608" s="113"/>
      <c r="BK2608" s="113"/>
      <c r="BL2608" s="113"/>
      <c r="BM2608" s="113"/>
      <c r="BN2608" s="113"/>
      <c r="BO2608" s="113"/>
      <c r="BP2608" s="113"/>
      <c r="BQ2608" s="113"/>
      <c r="BR2608" s="113"/>
      <c r="BS2608" s="113"/>
      <c r="BT2608" s="113"/>
      <c r="BU2608" s="113"/>
      <c r="BV2608" s="113"/>
      <c r="BW2608" s="113"/>
      <c r="BX2608" s="113"/>
      <c r="BY2608" s="113"/>
      <c r="BZ2608" s="113"/>
      <c r="CA2608" s="113"/>
      <c r="CB2608" s="113"/>
      <c r="CC2608" s="113"/>
      <c r="CD2608" s="113"/>
      <c r="CE2608" s="113"/>
      <c r="CF2608" s="113"/>
      <c r="CG2608" s="113"/>
      <c r="CH2608" s="113"/>
      <c r="CI2608" s="113"/>
      <c r="CJ2608" s="113"/>
      <c r="CK2608" s="113"/>
      <c r="CL2608" s="113"/>
      <c r="CM2608" s="113"/>
      <c r="CN2608" s="113"/>
      <c r="CO2608" s="113"/>
      <c r="CP2608" s="113"/>
      <c r="CQ2608" s="113"/>
      <c r="CR2608" s="113"/>
      <c r="CS2608" s="113"/>
      <c r="CT2608" s="113"/>
      <c r="CU2608" s="113"/>
      <c r="CV2608" s="113"/>
      <c r="CW2608" s="113"/>
      <c r="CX2608" s="113"/>
      <c r="CY2608" s="113"/>
      <c r="CZ2608" s="113"/>
      <c r="DA2608" s="113"/>
      <c r="DB2608" s="113"/>
      <c r="DC2608" s="113"/>
      <c r="DD2608" s="113"/>
      <c r="DE2608" s="113"/>
      <c r="DF2608" s="113"/>
      <c r="DG2608" s="113"/>
      <c r="DH2608" s="113"/>
      <c r="DI2608" s="113"/>
      <c r="DJ2608" s="113"/>
      <c r="DK2608" s="113"/>
      <c r="DL2608" s="113"/>
      <c r="DM2608" s="113"/>
      <c r="DN2608" s="113"/>
      <c r="DO2608" s="113"/>
      <c r="DP2608" s="113"/>
      <c r="DQ2608" s="113"/>
      <c r="DR2608" s="113"/>
    </row>
    <row r="2609" spans="1:122" s="327" customFormat="1" x14ac:dyDescent="0.25">
      <c r="A2609" s="187"/>
      <c r="B2609" s="606"/>
      <c r="C2609" s="393"/>
      <c r="D2609" s="273"/>
      <c r="E2609" s="273"/>
      <c r="F2609" s="328"/>
      <c r="G2609" s="274"/>
      <c r="I2609" s="208"/>
      <c r="J2609" s="208"/>
      <c r="K2609" s="208"/>
      <c r="L2609" s="208"/>
      <c r="M2609" s="208"/>
      <c r="N2609" s="208"/>
      <c r="O2609" s="208"/>
      <c r="P2609" s="208"/>
      <c r="Q2609" s="208"/>
      <c r="R2609" s="208"/>
      <c r="S2609" s="208"/>
      <c r="T2609" s="208"/>
      <c r="U2609" s="208"/>
      <c r="V2609" s="227"/>
      <c r="W2609" s="271"/>
      <c r="X2609" s="271"/>
      <c r="Y2609" s="227"/>
      <c r="Z2609" s="208"/>
      <c r="AA2609" s="320"/>
      <c r="AB2609" s="214"/>
      <c r="AC2609" s="214"/>
      <c r="AD2609" s="214"/>
      <c r="AE2609" s="214"/>
      <c r="AF2609" s="214"/>
      <c r="AG2609" s="214"/>
      <c r="AH2609" s="113"/>
      <c r="AI2609" s="113"/>
      <c r="AJ2609" s="113"/>
      <c r="AK2609" s="113"/>
      <c r="AL2609" s="113"/>
      <c r="AM2609" s="113"/>
      <c r="AN2609" s="113"/>
      <c r="AO2609" s="113"/>
      <c r="AP2609" s="113"/>
      <c r="AQ2609" s="113"/>
      <c r="AR2609" s="113"/>
      <c r="AS2609" s="113"/>
      <c r="AT2609" s="113"/>
      <c r="AU2609" s="113"/>
      <c r="AV2609" s="113"/>
      <c r="AW2609" s="113"/>
      <c r="AX2609" s="113"/>
      <c r="AY2609" s="113"/>
      <c r="AZ2609" s="113"/>
      <c r="BA2609" s="113"/>
      <c r="BB2609" s="113"/>
      <c r="BC2609" s="113"/>
      <c r="BD2609" s="113"/>
      <c r="BE2609" s="113"/>
      <c r="BF2609" s="113"/>
      <c r="BG2609" s="113"/>
      <c r="BH2609" s="113"/>
      <c r="BI2609" s="113"/>
      <c r="BJ2609" s="113"/>
      <c r="BK2609" s="113"/>
      <c r="BL2609" s="113"/>
      <c r="BM2609" s="113"/>
      <c r="BN2609" s="113"/>
      <c r="BO2609" s="113"/>
      <c r="BP2609" s="113"/>
      <c r="BQ2609" s="113"/>
      <c r="BR2609" s="113"/>
      <c r="BS2609" s="113"/>
      <c r="BT2609" s="113"/>
      <c r="BU2609" s="113"/>
      <c r="BV2609" s="113"/>
      <c r="BW2609" s="113"/>
      <c r="BX2609" s="113"/>
      <c r="BY2609" s="113"/>
      <c r="BZ2609" s="113"/>
      <c r="CA2609" s="113"/>
      <c r="CB2609" s="113"/>
      <c r="CC2609" s="113"/>
      <c r="CD2609" s="113"/>
      <c r="CE2609" s="113"/>
      <c r="CF2609" s="113"/>
      <c r="CG2609" s="113"/>
      <c r="CH2609" s="113"/>
      <c r="CI2609" s="113"/>
      <c r="CJ2609" s="113"/>
      <c r="CK2609" s="113"/>
      <c r="CL2609" s="113"/>
      <c r="CM2609" s="113"/>
      <c r="CN2609" s="113"/>
      <c r="CO2609" s="113"/>
      <c r="CP2609" s="113"/>
      <c r="CQ2609" s="113"/>
      <c r="CR2609" s="113"/>
      <c r="CS2609" s="113"/>
      <c r="CT2609" s="113"/>
      <c r="CU2609" s="113"/>
      <c r="CV2609" s="113"/>
      <c r="CW2609" s="113"/>
      <c r="CX2609" s="113"/>
      <c r="CY2609" s="113"/>
      <c r="CZ2609" s="113"/>
      <c r="DA2609" s="113"/>
      <c r="DB2609" s="113"/>
      <c r="DC2609" s="113"/>
      <c r="DD2609" s="113"/>
      <c r="DE2609" s="113"/>
      <c r="DF2609" s="113"/>
      <c r="DG2609" s="113"/>
      <c r="DH2609" s="113"/>
      <c r="DI2609" s="113"/>
      <c r="DJ2609" s="113"/>
      <c r="DK2609" s="113"/>
      <c r="DL2609" s="113"/>
      <c r="DM2609" s="113"/>
      <c r="DN2609" s="113"/>
      <c r="DO2609" s="113"/>
      <c r="DP2609" s="113"/>
      <c r="DQ2609" s="113"/>
      <c r="DR2609" s="113"/>
    </row>
    <row r="2610" spans="1:122" s="327" customFormat="1" x14ac:dyDescent="0.25">
      <c r="A2610" s="187"/>
      <c r="B2610" s="606"/>
      <c r="C2610" s="393"/>
      <c r="D2610" s="273"/>
      <c r="E2610" s="273"/>
      <c r="F2610" s="328"/>
      <c r="G2610" s="274"/>
      <c r="I2610" s="208"/>
      <c r="J2610" s="208"/>
      <c r="K2610" s="208"/>
      <c r="L2610" s="208"/>
      <c r="M2610" s="208"/>
      <c r="N2610" s="208"/>
      <c r="O2610" s="208"/>
      <c r="P2610" s="208"/>
      <c r="Q2610" s="208"/>
      <c r="R2610" s="208"/>
      <c r="S2610" s="208"/>
      <c r="T2610" s="208"/>
      <c r="U2610" s="208"/>
      <c r="V2610" s="227"/>
      <c r="W2610" s="271"/>
      <c r="X2610" s="271"/>
      <c r="Y2610" s="227"/>
      <c r="Z2610" s="208"/>
      <c r="AA2610" s="320"/>
      <c r="AB2610" s="214"/>
      <c r="AC2610" s="214"/>
      <c r="AD2610" s="214"/>
      <c r="AE2610" s="214"/>
      <c r="AF2610" s="214"/>
      <c r="AG2610" s="214"/>
      <c r="AH2610" s="113"/>
      <c r="AI2610" s="113"/>
      <c r="AJ2610" s="113"/>
      <c r="AK2610" s="113"/>
      <c r="AL2610" s="113"/>
      <c r="AM2610" s="113"/>
      <c r="AN2610" s="113"/>
      <c r="AO2610" s="113"/>
      <c r="AP2610" s="113"/>
      <c r="AQ2610" s="113"/>
      <c r="AR2610" s="113"/>
      <c r="AS2610" s="113"/>
      <c r="AT2610" s="113"/>
      <c r="AU2610" s="113"/>
      <c r="AV2610" s="113"/>
      <c r="AW2610" s="113"/>
      <c r="AX2610" s="113"/>
      <c r="AY2610" s="113"/>
      <c r="AZ2610" s="113"/>
      <c r="BA2610" s="113"/>
      <c r="BB2610" s="113"/>
      <c r="BC2610" s="113"/>
      <c r="BD2610" s="113"/>
      <c r="BE2610" s="113"/>
      <c r="BF2610" s="113"/>
      <c r="BG2610" s="113"/>
      <c r="BH2610" s="113"/>
      <c r="BI2610" s="113"/>
      <c r="BJ2610" s="113"/>
      <c r="BK2610" s="113"/>
      <c r="BL2610" s="113"/>
      <c r="BM2610" s="113"/>
      <c r="BN2610" s="113"/>
      <c r="BO2610" s="113"/>
      <c r="BP2610" s="113"/>
      <c r="BQ2610" s="113"/>
      <c r="BR2610" s="113"/>
      <c r="BS2610" s="113"/>
      <c r="BT2610" s="113"/>
      <c r="BU2610" s="113"/>
      <c r="BV2610" s="113"/>
      <c r="BW2610" s="113"/>
      <c r="BX2610" s="113"/>
      <c r="BY2610" s="113"/>
      <c r="BZ2610" s="113"/>
      <c r="CA2610" s="113"/>
      <c r="CB2610" s="113"/>
      <c r="CC2610" s="113"/>
      <c r="CD2610" s="113"/>
      <c r="CE2610" s="113"/>
      <c r="CF2610" s="113"/>
      <c r="CG2610" s="113"/>
      <c r="CH2610" s="113"/>
      <c r="CI2610" s="113"/>
      <c r="CJ2610" s="113"/>
      <c r="CK2610" s="113"/>
      <c r="CL2610" s="113"/>
      <c r="CM2610" s="113"/>
      <c r="CN2610" s="113"/>
      <c r="CO2610" s="113"/>
      <c r="CP2610" s="113"/>
      <c r="CQ2610" s="113"/>
      <c r="CR2610" s="113"/>
      <c r="CS2610" s="113"/>
      <c r="CT2610" s="113"/>
      <c r="CU2610" s="113"/>
      <c r="CV2610" s="113"/>
      <c r="CW2610" s="113"/>
      <c r="CX2610" s="113"/>
      <c r="CY2610" s="113"/>
      <c r="CZ2610" s="113"/>
      <c r="DA2610" s="113"/>
      <c r="DB2610" s="113"/>
      <c r="DC2610" s="113"/>
      <c r="DD2610" s="113"/>
      <c r="DE2610" s="113"/>
      <c r="DF2610" s="113"/>
      <c r="DG2610" s="113"/>
      <c r="DH2610" s="113"/>
      <c r="DI2610" s="113"/>
      <c r="DJ2610" s="113"/>
      <c r="DK2610" s="113"/>
      <c r="DL2610" s="113"/>
      <c r="DM2610" s="113"/>
      <c r="DN2610" s="113"/>
      <c r="DO2610" s="113"/>
      <c r="DP2610" s="113"/>
      <c r="DQ2610" s="113"/>
      <c r="DR2610" s="113"/>
    </row>
    <row r="2611" spans="1:122" s="327" customFormat="1" x14ac:dyDescent="0.25">
      <c r="A2611" s="187"/>
      <c r="B2611" s="606"/>
      <c r="C2611" s="393"/>
      <c r="D2611" s="273"/>
      <c r="E2611" s="273"/>
      <c r="F2611" s="328"/>
      <c r="G2611" s="274"/>
      <c r="I2611" s="208"/>
      <c r="J2611" s="208"/>
      <c r="K2611" s="208"/>
      <c r="L2611" s="208"/>
      <c r="M2611" s="208"/>
      <c r="N2611" s="208"/>
      <c r="O2611" s="208"/>
      <c r="P2611" s="208"/>
      <c r="Q2611" s="208"/>
      <c r="R2611" s="208"/>
      <c r="S2611" s="208"/>
      <c r="T2611" s="208"/>
      <c r="U2611" s="208"/>
      <c r="V2611" s="227"/>
      <c r="W2611" s="271"/>
      <c r="X2611" s="271"/>
      <c r="Y2611" s="227"/>
      <c r="Z2611" s="208"/>
      <c r="AA2611" s="320"/>
      <c r="AB2611" s="214"/>
      <c r="AC2611" s="214"/>
      <c r="AD2611" s="214"/>
      <c r="AE2611" s="214"/>
      <c r="AF2611" s="214"/>
      <c r="AG2611" s="214"/>
      <c r="AH2611" s="113"/>
      <c r="AI2611" s="113"/>
      <c r="AJ2611" s="113"/>
      <c r="AK2611" s="113"/>
      <c r="AL2611" s="113"/>
      <c r="AM2611" s="113"/>
      <c r="AN2611" s="113"/>
      <c r="AO2611" s="113"/>
      <c r="AP2611" s="113"/>
      <c r="AQ2611" s="113"/>
      <c r="AR2611" s="113"/>
      <c r="AS2611" s="113"/>
      <c r="AT2611" s="113"/>
      <c r="AU2611" s="113"/>
      <c r="AV2611" s="113"/>
      <c r="AW2611" s="113"/>
      <c r="AX2611" s="113"/>
      <c r="AY2611" s="113"/>
      <c r="AZ2611" s="113"/>
      <c r="BA2611" s="113"/>
      <c r="BB2611" s="113"/>
      <c r="BC2611" s="113"/>
      <c r="BD2611" s="113"/>
      <c r="BE2611" s="113"/>
      <c r="BF2611" s="113"/>
      <c r="BG2611" s="113"/>
      <c r="BH2611" s="113"/>
      <c r="BI2611" s="113"/>
      <c r="BJ2611" s="113"/>
      <c r="BK2611" s="113"/>
      <c r="BL2611" s="113"/>
      <c r="BM2611" s="113"/>
      <c r="BN2611" s="113"/>
      <c r="BO2611" s="113"/>
      <c r="BP2611" s="113"/>
      <c r="BQ2611" s="113"/>
      <c r="BR2611" s="113"/>
      <c r="BS2611" s="113"/>
      <c r="BT2611" s="113"/>
      <c r="BU2611" s="113"/>
      <c r="BV2611" s="113"/>
      <c r="BW2611" s="113"/>
      <c r="BX2611" s="113"/>
      <c r="BY2611" s="113"/>
      <c r="BZ2611" s="113"/>
      <c r="CA2611" s="113"/>
      <c r="CB2611" s="113"/>
      <c r="CC2611" s="113"/>
      <c r="CD2611" s="113"/>
      <c r="CE2611" s="113"/>
      <c r="CF2611" s="113"/>
      <c r="CG2611" s="113"/>
      <c r="CH2611" s="113"/>
      <c r="CI2611" s="113"/>
      <c r="CJ2611" s="113"/>
      <c r="CK2611" s="113"/>
      <c r="CL2611" s="113"/>
      <c r="CM2611" s="113"/>
      <c r="CN2611" s="113"/>
      <c r="CO2611" s="113"/>
      <c r="CP2611" s="113"/>
      <c r="CQ2611" s="113"/>
      <c r="CR2611" s="113"/>
      <c r="CS2611" s="113"/>
      <c r="CT2611" s="113"/>
      <c r="CU2611" s="113"/>
      <c r="CV2611" s="113"/>
      <c r="CW2611" s="113"/>
      <c r="CX2611" s="113"/>
      <c r="CY2611" s="113"/>
      <c r="CZ2611" s="113"/>
      <c r="DA2611" s="113"/>
      <c r="DB2611" s="113"/>
      <c r="DC2611" s="113"/>
      <c r="DD2611" s="113"/>
      <c r="DE2611" s="113"/>
      <c r="DF2611" s="113"/>
      <c r="DG2611" s="113"/>
      <c r="DH2611" s="113"/>
      <c r="DI2611" s="113"/>
      <c r="DJ2611" s="113"/>
      <c r="DK2611" s="113"/>
      <c r="DL2611" s="113"/>
      <c r="DM2611" s="113"/>
      <c r="DN2611" s="113"/>
      <c r="DO2611" s="113"/>
      <c r="DP2611" s="113"/>
      <c r="DQ2611" s="113"/>
      <c r="DR2611" s="113"/>
    </row>
    <row r="2612" spans="1:122" s="327" customFormat="1" x14ac:dyDescent="0.25">
      <c r="A2612" s="187"/>
      <c r="B2612" s="606"/>
      <c r="C2612" s="393"/>
      <c r="D2612" s="273"/>
      <c r="E2612" s="273"/>
      <c r="F2612" s="328"/>
      <c r="G2612" s="274"/>
      <c r="I2612" s="208"/>
      <c r="J2612" s="208"/>
      <c r="K2612" s="208"/>
      <c r="L2612" s="208"/>
      <c r="M2612" s="208"/>
      <c r="N2612" s="208"/>
      <c r="O2612" s="208"/>
      <c r="P2612" s="208"/>
      <c r="Q2612" s="208"/>
      <c r="R2612" s="208"/>
      <c r="S2612" s="208"/>
      <c r="T2612" s="208"/>
      <c r="U2612" s="208"/>
      <c r="V2612" s="227"/>
      <c r="W2612" s="271"/>
      <c r="X2612" s="271"/>
      <c r="Y2612" s="227"/>
      <c r="Z2612" s="208"/>
      <c r="AA2612" s="320"/>
      <c r="AB2612" s="214"/>
      <c r="AC2612" s="214"/>
      <c r="AD2612" s="214"/>
      <c r="AE2612" s="214"/>
      <c r="AF2612" s="214"/>
      <c r="AG2612" s="214"/>
      <c r="AH2612" s="113"/>
      <c r="AI2612" s="113"/>
      <c r="AJ2612" s="113"/>
      <c r="AK2612" s="113"/>
      <c r="AL2612" s="113"/>
      <c r="AM2612" s="113"/>
      <c r="AN2612" s="113"/>
      <c r="AO2612" s="113"/>
      <c r="AP2612" s="113"/>
      <c r="AQ2612" s="113"/>
      <c r="AR2612" s="113"/>
      <c r="AS2612" s="113"/>
      <c r="AT2612" s="113"/>
      <c r="AU2612" s="113"/>
      <c r="AV2612" s="113"/>
      <c r="AW2612" s="113"/>
      <c r="AX2612" s="113"/>
      <c r="AY2612" s="113"/>
      <c r="AZ2612" s="113"/>
      <c r="BA2612" s="113"/>
      <c r="BB2612" s="113"/>
      <c r="BC2612" s="113"/>
      <c r="BD2612" s="113"/>
      <c r="BE2612" s="113"/>
      <c r="BF2612" s="113"/>
      <c r="BG2612" s="113"/>
      <c r="BH2612" s="113"/>
      <c r="BI2612" s="113"/>
      <c r="BJ2612" s="113"/>
      <c r="BK2612" s="113"/>
      <c r="BL2612" s="113"/>
      <c r="BM2612" s="113"/>
      <c r="BN2612" s="113"/>
      <c r="BO2612" s="113"/>
      <c r="BP2612" s="113"/>
      <c r="BQ2612" s="113"/>
      <c r="BR2612" s="113"/>
      <c r="BS2612" s="113"/>
      <c r="BT2612" s="113"/>
      <c r="BU2612" s="113"/>
      <c r="BV2612" s="113"/>
      <c r="BW2612" s="113"/>
      <c r="BX2612" s="113"/>
      <c r="BY2612" s="113"/>
      <c r="BZ2612" s="113"/>
      <c r="CA2612" s="113"/>
      <c r="CB2612" s="113"/>
      <c r="CC2612" s="113"/>
      <c r="CD2612" s="113"/>
      <c r="CE2612" s="113"/>
      <c r="CF2612" s="113"/>
      <c r="CG2612" s="113"/>
      <c r="CH2612" s="113"/>
      <c r="CI2612" s="113"/>
      <c r="CJ2612" s="113"/>
      <c r="CK2612" s="113"/>
      <c r="CL2612" s="113"/>
      <c r="CM2612" s="113"/>
      <c r="CN2612" s="113"/>
      <c r="CO2612" s="113"/>
      <c r="CP2612" s="113"/>
      <c r="CQ2612" s="113"/>
      <c r="CR2612" s="113"/>
      <c r="CS2612" s="113"/>
      <c r="CT2612" s="113"/>
      <c r="CU2612" s="113"/>
      <c r="CV2612" s="113"/>
      <c r="CW2612" s="113"/>
      <c r="CX2612" s="113"/>
      <c r="CY2612" s="113"/>
      <c r="CZ2612" s="113"/>
      <c r="DA2612" s="113"/>
      <c r="DB2612" s="113"/>
      <c r="DC2612" s="113"/>
      <c r="DD2612" s="113"/>
      <c r="DE2612" s="113"/>
      <c r="DF2612" s="113"/>
      <c r="DG2612" s="113"/>
      <c r="DH2612" s="113"/>
      <c r="DI2612" s="113"/>
      <c r="DJ2612" s="113"/>
      <c r="DK2612" s="113"/>
      <c r="DL2612" s="113"/>
      <c r="DM2612" s="113"/>
      <c r="DN2612" s="113"/>
      <c r="DO2612" s="113"/>
      <c r="DP2612" s="113"/>
      <c r="DQ2612" s="113"/>
      <c r="DR2612" s="113"/>
    </row>
    <row r="2613" spans="1:122" s="327" customFormat="1" x14ac:dyDescent="0.25">
      <c r="A2613" s="187"/>
      <c r="B2613" s="606"/>
      <c r="C2613" s="393"/>
      <c r="D2613" s="273"/>
      <c r="E2613" s="273"/>
      <c r="F2613" s="328"/>
      <c r="G2613" s="274"/>
      <c r="I2613" s="208"/>
      <c r="J2613" s="208"/>
      <c r="K2613" s="208"/>
      <c r="L2613" s="208"/>
      <c r="M2613" s="208"/>
      <c r="N2613" s="208"/>
      <c r="O2613" s="208"/>
      <c r="P2613" s="208"/>
      <c r="Q2613" s="208"/>
      <c r="R2613" s="208"/>
      <c r="S2613" s="208"/>
      <c r="T2613" s="208"/>
      <c r="U2613" s="208"/>
      <c r="V2613" s="227"/>
      <c r="W2613" s="271"/>
      <c r="X2613" s="271"/>
      <c r="Y2613" s="227"/>
      <c r="Z2613" s="208"/>
      <c r="AA2613" s="320"/>
      <c r="AB2613" s="214"/>
      <c r="AC2613" s="214"/>
      <c r="AD2613" s="214"/>
      <c r="AE2613" s="214"/>
      <c r="AF2613" s="214"/>
      <c r="AG2613" s="214"/>
      <c r="AH2613" s="113"/>
      <c r="AI2613" s="113"/>
      <c r="AJ2613" s="113"/>
      <c r="AK2613" s="113"/>
      <c r="AL2613" s="113"/>
      <c r="AM2613" s="113"/>
      <c r="AN2613" s="113"/>
      <c r="AO2613" s="113"/>
      <c r="AP2613" s="113"/>
      <c r="AQ2613" s="113"/>
      <c r="AR2613" s="113"/>
      <c r="AS2613" s="113"/>
      <c r="AT2613" s="113"/>
      <c r="AU2613" s="113"/>
      <c r="AV2613" s="113"/>
      <c r="AW2613" s="113"/>
      <c r="AX2613" s="113"/>
      <c r="AY2613" s="113"/>
      <c r="AZ2613" s="113"/>
      <c r="BA2613" s="113"/>
      <c r="BB2613" s="113"/>
      <c r="BC2613" s="113"/>
      <c r="BD2613" s="113"/>
      <c r="BE2613" s="113"/>
      <c r="BF2613" s="113"/>
      <c r="BG2613" s="113"/>
      <c r="BH2613" s="113"/>
      <c r="BI2613" s="113"/>
      <c r="BJ2613" s="113"/>
      <c r="BK2613" s="113"/>
      <c r="BL2613" s="113"/>
      <c r="BM2613" s="113"/>
      <c r="BN2613" s="113"/>
      <c r="BO2613" s="113"/>
      <c r="BP2613" s="113"/>
      <c r="BQ2613" s="113"/>
      <c r="BR2613" s="113"/>
      <c r="BS2613" s="113"/>
      <c r="BT2613" s="113"/>
      <c r="BU2613" s="113"/>
      <c r="BV2613" s="113"/>
      <c r="BW2613" s="113"/>
      <c r="BX2613" s="113"/>
      <c r="BY2613" s="113"/>
      <c r="BZ2613" s="113"/>
      <c r="CA2613" s="113"/>
      <c r="CB2613" s="113"/>
      <c r="CC2613" s="113"/>
      <c r="CD2613" s="113"/>
      <c r="CE2613" s="113"/>
      <c r="CF2613" s="113"/>
      <c r="CG2613" s="113"/>
      <c r="CH2613" s="113"/>
      <c r="CI2613" s="113"/>
      <c r="CJ2613" s="113"/>
      <c r="CK2613" s="113"/>
      <c r="CL2613" s="113"/>
      <c r="CM2613" s="113"/>
      <c r="CN2613" s="113"/>
      <c r="CO2613" s="113"/>
      <c r="CP2613" s="113"/>
      <c r="CQ2613" s="113"/>
      <c r="CR2613" s="113"/>
      <c r="CS2613" s="113"/>
      <c r="CT2613" s="113"/>
      <c r="CU2613" s="113"/>
      <c r="CV2613" s="113"/>
      <c r="CW2613" s="113"/>
      <c r="CX2613" s="113"/>
      <c r="CY2613" s="113"/>
      <c r="CZ2613" s="113"/>
      <c r="DA2613" s="113"/>
      <c r="DB2613" s="113"/>
      <c r="DC2613" s="113"/>
      <c r="DD2613" s="113"/>
      <c r="DE2613" s="113"/>
      <c r="DF2613" s="113"/>
      <c r="DG2613" s="113"/>
      <c r="DH2613" s="113"/>
      <c r="DI2613" s="113"/>
      <c r="DJ2613" s="113"/>
      <c r="DK2613" s="113"/>
      <c r="DL2613" s="113"/>
      <c r="DM2613" s="113"/>
      <c r="DN2613" s="113"/>
      <c r="DO2613" s="113"/>
      <c r="DP2613" s="113"/>
      <c r="DQ2613" s="113"/>
      <c r="DR2613" s="113"/>
    </row>
    <row r="2614" spans="1:122" s="327" customFormat="1" x14ac:dyDescent="0.25">
      <c r="A2614" s="187"/>
      <c r="B2614" s="606"/>
      <c r="C2614" s="393"/>
      <c r="D2614" s="273"/>
      <c r="E2614" s="273"/>
      <c r="F2614" s="328"/>
      <c r="G2614" s="274"/>
      <c r="I2614" s="208"/>
      <c r="J2614" s="208"/>
      <c r="K2614" s="208"/>
      <c r="L2614" s="208"/>
      <c r="M2614" s="208"/>
      <c r="N2614" s="208"/>
      <c r="O2614" s="208"/>
      <c r="P2614" s="208"/>
      <c r="Q2614" s="208"/>
      <c r="R2614" s="208"/>
      <c r="S2614" s="208"/>
      <c r="T2614" s="208"/>
      <c r="U2614" s="208"/>
      <c r="V2614" s="227"/>
      <c r="W2614" s="271"/>
      <c r="X2614" s="271"/>
      <c r="Y2614" s="227"/>
      <c r="Z2614" s="208"/>
      <c r="AA2614" s="320"/>
      <c r="AB2614" s="214"/>
      <c r="AC2614" s="214"/>
      <c r="AD2614" s="214"/>
      <c r="AE2614" s="214"/>
      <c r="AF2614" s="214"/>
      <c r="AG2614" s="214"/>
      <c r="AH2614" s="113"/>
      <c r="AI2614" s="113"/>
      <c r="AJ2614" s="113"/>
      <c r="AK2614" s="113"/>
      <c r="AL2614" s="113"/>
      <c r="AM2614" s="113"/>
      <c r="AN2614" s="113"/>
      <c r="AO2614" s="113"/>
      <c r="AP2614" s="113"/>
      <c r="AQ2614" s="113"/>
      <c r="AR2614" s="113"/>
      <c r="AS2614" s="113"/>
      <c r="AT2614" s="113"/>
      <c r="AU2614" s="113"/>
      <c r="AV2614" s="113"/>
      <c r="AW2614" s="113"/>
      <c r="AX2614" s="113"/>
      <c r="AY2614" s="113"/>
      <c r="AZ2614" s="113"/>
      <c r="BA2614" s="113"/>
      <c r="BB2614" s="113"/>
      <c r="BC2614" s="113"/>
      <c r="BD2614" s="113"/>
      <c r="BE2614" s="113"/>
      <c r="BF2614" s="113"/>
      <c r="BG2614" s="113"/>
      <c r="BH2614" s="113"/>
      <c r="BI2614" s="113"/>
      <c r="BJ2614" s="113"/>
      <c r="BK2614" s="113"/>
      <c r="BL2614" s="113"/>
      <c r="BM2614" s="113"/>
      <c r="BN2614" s="113"/>
      <c r="BO2614" s="113"/>
      <c r="BP2614" s="113"/>
      <c r="BQ2614" s="113"/>
      <c r="BR2614" s="113"/>
      <c r="BS2614" s="113"/>
      <c r="BT2614" s="113"/>
      <c r="BU2614" s="113"/>
      <c r="BV2614" s="113"/>
      <c r="BW2614" s="113"/>
      <c r="BX2614" s="113"/>
      <c r="BY2614" s="113"/>
      <c r="BZ2614" s="113"/>
      <c r="CA2614" s="113"/>
      <c r="CB2614" s="113"/>
      <c r="CC2614" s="113"/>
      <c r="CD2614" s="113"/>
      <c r="CE2614" s="113"/>
      <c r="CF2614" s="113"/>
      <c r="CG2614" s="113"/>
      <c r="CH2614" s="113"/>
      <c r="CI2614" s="113"/>
      <c r="CJ2614" s="113"/>
      <c r="CK2614" s="113"/>
      <c r="CL2614" s="113"/>
      <c r="CM2614" s="113"/>
      <c r="CN2614" s="113"/>
      <c r="CO2614" s="113"/>
      <c r="CP2614" s="113"/>
      <c r="CQ2614" s="113"/>
      <c r="CR2614" s="113"/>
      <c r="CS2614" s="113"/>
      <c r="CT2614" s="113"/>
      <c r="CU2614" s="113"/>
      <c r="CV2614" s="113"/>
      <c r="CW2614" s="113"/>
      <c r="CX2614" s="113"/>
      <c r="CY2614" s="113"/>
      <c r="CZ2614" s="113"/>
      <c r="DA2614" s="113"/>
      <c r="DB2614" s="113"/>
      <c r="DC2614" s="113"/>
      <c r="DD2614" s="113"/>
      <c r="DE2614" s="113"/>
      <c r="DF2614" s="113"/>
      <c r="DG2614" s="113"/>
      <c r="DH2614" s="113"/>
      <c r="DI2614" s="113"/>
      <c r="DJ2614" s="113"/>
      <c r="DK2614" s="113"/>
      <c r="DL2614" s="113"/>
      <c r="DM2614" s="113"/>
      <c r="DN2614" s="113"/>
      <c r="DO2614" s="113"/>
      <c r="DP2614" s="113"/>
      <c r="DQ2614" s="113"/>
      <c r="DR2614" s="113"/>
    </row>
    <row r="2615" spans="1:122" s="327" customFormat="1" x14ac:dyDescent="0.25">
      <c r="A2615" s="187"/>
      <c r="B2615" s="606"/>
      <c r="C2615" s="393"/>
      <c r="D2615" s="273"/>
      <c r="E2615" s="273"/>
      <c r="F2615" s="328"/>
      <c r="G2615" s="274"/>
      <c r="I2615" s="208"/>
      <c r="J2615" s="208"/>
      <c r="K2615" s="208"/>
      <c r="L2615" s="208"/>
      <c r="M2615" s="208"/>
      <c r="N2615" s="208"/>
      <c r="O2615" s="208"/>
      <c r="P2615" s="208"/>
      <c r="Q2615" s="208"/>
      <c r="R2615" s="208"/>
      <c r="S2615" s="208"/>
      <c r="T2615" s="208"/>
      <c r="U2615" s="208"/>
      <c r="V2615" s="227"/>
      <c r="W2615" s="271"/>
      <c r="X2615" s="271"/>
      <c r="Y2615" s="227"/>
      <c r="Z2615" s="208"/>
      <c r="AA2615" s="320"/>
      <c r="AB2615" s="214"/>
      <c r="AC2615" s="214"/>
      <c r="AD2615" s="214"/>
      <c r="AE2615" s="214"/>
      <c r="AF2615" s="214"/>
      <c r="AG2615" s="214"/>
      <c r="AH2615" s="113"/>
      <c r="AI2615" s="113"/>
      <c r="AJ2615" s="113"/>
      <c r="AK2615" s="113"/>
      <c r="AL2615" s="113"/>
      <c r="AM2615" s="113"/>
      <c r="AN2615" s="113"/>
      <c r="AO2615" s="113"/>
      <c r="AP2615" s="113"/>
      <c r="AQ2615" s="113"/>
      <c r="AR2615" s="113"/>
      <c r="AS2615" s="113"/>
      <c r="AT2615" s="113"/>
      <c r="AU2615" s="113"/>
      <c r="AV2615" s="113"/>
      <c r="AW2615" s="113"/>
      <c r="AX2615" s="113"/>
      <c r="AY2615" s="113"/>
      <c r="AZ2615" s="113"/>
      <c r="BA2615" s="113"/>
      <c r="BB2615" s="113"/>
      <c r="BC2615" s="113"/>
      <c r="BD2615" s="113"/>
      <c r="BE2615" s="113"/>
      <c r="BF2615" s="113"/>
      <c r="BG2615" s="113"/>
      <c r="BH2615" s="113"/>
      <c r="BI2615" s="113"/>
      <c r="BJ2615" s="113"/>
      <c r="BK2615" s="113"/>
      <c r="BL2615" s="113"/>
      <c r="BM2615" s="113"/>
      <c r="BN2615" s="113"/>
      <c r="BO2615" s="113"/>
      <c r="BP2615" s="113"/>
      <c r="BQ2615" s="113"/>
      <c r="BR2615" s="113"/>
      <c r="BS2615" s="113"/>
      <c r="BT2615" s="113"/>
      <c r="BU2615" s="113"/>
      <c r="BV2615" s="113"/>
      <c r="BW2615" s="113"/>
      <c r="BX2615" s="113"/>
      <c r="BY2615" s="113"/>
      <c r="BZ2615" s="113"/>
      <c r="CA2615" s="113"/>
      <c r="CB2615" s="113"/>
      <c r="CC2615" s="113"/>
      <c r="CD2615" s="113"/>
      <c r="CE2615" s="113"/>
      <c r="CF2615" s="113"/>
      <c r="CG2615" s="113"/>
      <c r="CH2615" s="113"/>
      <c r="CI2615" s="113"/>
      <c r="CJ2615" s="113"/>
      <c r="CK2615" s="113"/>
      <c r="CL2615" s="113"/>
      <c r="CM2615" s="113"/>
      <c r="CN2615" s="113"/>
      <c r="CO2615" s="113"/>
      <c r="CP2615" s="113"/>
      <c r="CQ2615" s="113"/>
      <c r="CR2615" s="113"/>
      <c r="CS2615" s="113"/>
      <c r="CT2615" s="113"/>
      <c r="CU2615" s="113"/>
      <c r="CV2615" s="113"/>
      <c r="CW2615" s="113"/>
      <c r="CX2615" s="113"/>
      <c r="CY2615" s="113"/>
      <c r="CZ2615" s="113"/>
      <c r="DA2615" s="113"/>
      <c r="DB2615" s="113"/>
      <c r="DC2615" s="113"/>
      <c r="DD2615" s="113"/>
      <c r="DE2615" s="113"/>
      <c r="DF2615" s="113"/>
      <c r="DG2615" s="113"/>
      <c r="DH2615" s="113"/>
      <c r="DI2615" s="113"/>
      <c r="DJ2615" s="113"/>
      <c r="DK2615" s="113"/>
      <c r="DL2615" s="113"/>
      <c r="DM2615" s="113"/>
      <c r="DN2615" s="113"/>
      <c r="DO2615" s="113"/>
      <c r="DP2615" s="113"/>
      <c r="DQ2615" s="113"/>
      <c r="DR2615" s="113"/>
    </row>
    <row r="2619" spans="1:122" s="327" customFormat="1" x14ac:dyDescent="0.25">
      <c r="A2619" s="187"/>
      <c r="B2619" s="606"/>
      <c r="C2619" s="393"/>
      <c r="D2619" s="273"/>
      <c r="E2619" s="273"/>
      <c r="F2619" s="328"/>
      <c r="G2619" s="274"/>
      <c r="I2619" s="208"/>
      <c r="J2619" s="208"/>
      <c r="K2619" s="208"/>
      <c r="L2619" s="208"/>
      <c r="M2619" s="208"/>
      <c r="N2619" s="208"/>
      <c r="O2619" s="208"/>
      <c r="P2619" s="208"/>
      <c r="Q2619" s="208"/>
      <c r="R2619" s="208"/>
      <c r="S2619" s="208"/>
      <c r="T2619" s="208"/>
      <c r="U2619" s="208"/>
      <c r="V2619" s="227"/>
      <c r="W2619" s="271"/>
      <c r="X2619" s="271"/>
      <c r="Y2619" s="227"/>
      <c r="Z2619" s="208"/>
      <c r="AA2619" s="320"/>
      <c r="AB2619" s="214"/>
      <c r="AC2619" s="214"/>
      <c r="AD2619" s="214"/>
      <c r="AE2619" s="214"/>
      <c r="AF2619" s="214"/>
      <c r="AG2619" s="214"/>
      <c r="AH2619" s="113"/>
      <c r="AI2619" s="113"/>
      <c r="AJ2619" s="113"/>
      <c r="AK2619" s="113"/>
      <c r="AL2619" s="113"/>
      <c r="AM2619" s="113"/>
      <c r="AN2619" s="113"/>
      <c r="AO2619" s="113"/>
      <c r="AP2619" s="113"/>
      <c r="AQ2619" s="113"/>
      <c r="AR2619" s="113"/>
      <c r="AS2619" s="113"/>
      <c r="AT2619" s="113"/>
      <c r="AU2619" s="113"/>
      <c r="AV2619" s="113"/>
      <c r="AW2619" s="113"/>
      <c r="AX2619" s="113"/>
      <c r="AY2619" s="113"/>
      <c r="AZ2619" s="113"/>
      <c r="BA2619" s="113"/>
      <c r="BB2619" s="113"/>
      <c r="BC2619" s="113"/>
      <c r="BD2619" s="113"/>
      <c r="BE2619" s="113"/>
      <c r="BF2619" s="113"/>
      <c r="BG2619" s="113"/>
      <c r="BH2619" s="113"/>
      <c r="BI2619" s="113"/>
      <c r="BJ2619" s="113"/>
      <c r="BK2619" s="113"/>
      <c r="BL2619" s="113"/>
      <c r="BM2619" s="113"/>
      <c r="BN2619" s="113"/>
      <c r="BO2619" s="113"/>
      <c r="BP2619" s="113"/>
      <c r="BQ2619" s="113"/>
      <c r="BR2619" s="113"/>
      <c r="BS2619" s="113"/>
      <c r="BT2619" s="113"/>
      <c r="BU2619" s="113"/>
      <c r="BV2619" s="113"/>
      <c r="BW2619" s="113"/>
      <c r="BX2619" s="113"/>
      <c r="BY2619" s="113"/>
      <c r="BZ2619" s="113"/>
      <c r="CA2619" s="113"/>
      <c r="CB2619" s="113"/>
      <c r="CC2619" s="113"/>
      <c r="CD2619" s="113"/>
      <c r="CE2619" s="113"/>
      <c r="CF2619" s="113"/>
      <c r="CG2619" s="113"/>
      <c r="CH2619" s="113"/>
      <c r="CI2619" s="113"/>
      <c r="CJ2619" s="113"/>
      <c r="CK2619" s="113"/>
      <c r="CL2619" s="113"/>
      <c r="CM2619" s="113"/>
      <c r="CN2619" s="113"/>
      <c r="CO2619" s="113"/>
      <c r="CP2619" s="113"/>
      <c r="CQ2619" s="113"/>
      <c r="CR2619" s="113"/>
      <c r="CS2619" s="113"/>
      <c r="CT2619" s="113"/>
      <c r="CU2619" s="113"/>
      <c r="CV2619" s="113"/>
      <c r="CW2619" s="113"/>
      <c r="CX2619" s="113"/>
      <c r="CY2619" s="113"/>
      <c r="CZ2619" s="113"/>
      <c r="DA2619" s="113"/>
      <c r="DB2619" s="113"/>
      <c r="DC2619" s="113"/>
      <c r="DD2619" s="113"/>
      <c r="DE2619" s="113"/>
      <c r="DF2619" s="113"/>
      <c r="DG2619" s="113"/>
      <c r="DH2619" s="113"/>
      <c r="DI2619" s="113"/>
      <c r="DJ2619" s="113"/>
      <c r="DK2619" s="113"/>
      <c r="DL2619" s="113"/>
      <c r="DM2619" s="113"/>
      <c r="DN2619" s="113"/>
      <c r="DO2619" s="113"/>
      <c r="DP2619" s="113"/>
      <c r="DQ2619" s="113"/>
      <c r="DR2619" s="113"/>
    </row>
    <row r="2620" spans="1:122" s="327" customFormat="1" x14ac:dyDescent="0.25">
      <c r="A2620" s="187"/>
      <c r="B2620" s="606"/>
      <c r="C2620" s="393"/>
      <c r="D2620" s="273"/>
      <c r="E2620" s="273"/>
      <c r="F2620" s="328"/>
      <c r="G2620" s="274"/>
      <c r="I2620" s="208"/>
      <c r="J2620" s="208"/>
      <c r="K2620" s="208"/>
      <c r="L2620" s="208"/>
      <c r="M2620" s="208"/>
      <c r="N2620" s="208"/>
      <c r="O2620" s="208"/>
      <c r="P2620" s="208"/>
      <c r="Q2620" s="208"/>
      <c r="R2620" s="208"/>
      <c r="S2620" s="208"/>
      <c r="T2620" s="208"/>
      <c r="U2620" s="208"/>
      <c r="V2620" s="227"/>
      <c r="W2620" s="271"/>
      <c r="X2620" s="271"/>
      <c r="Y2620" s="227"/>
      <c r="Z2620" s="208"/>
      <c r="AA2620" s="320"/>
      <c r="AB2620" s="214"/>
      <c r="AC2620" s="214"/>
      <c r="AD2620" s="214"/>
      <c r="AE2620" s="214"/>
      <c r="AF2620" s="214"/>
      <c r="AG2620" s="214"/>
      <c r="AH2620" s="113"/>
      <c r="AI2620" s="113"/>
      <c r="AJ2620" s="113"/>
      <c r="AK2620" s="113"/>
      <c r="AL2620" s="113"/>
      <c r="AM2620" s="113"/>
      <c r="AN2620" s="113"/>
      <c r="AO2620" s="113"/>
      <c r="AP2620" s="113"/>
      <c r="AQ2620" s="113"/>
      <c r="AR2620" s="113"/>
      <c r="AS2620" s="113"/>
      <c r="AT2620" s="113"/>
      <c r="AU2620" s="113"/>
      <c r="AV2620" s="113"/>
      <c r="AW2620" s="113"/>
      <c r="AX2620" s="113"/>
      <c r="AY2620" s="113"/>
      <c r="AZ2620" s="113"/>
      <c r="BA2620" s="113"/>
      <c r="BB2620" s="113"/>
      <c r="BC2620" s="113"/>
      <c r="BD2620" s="113"/>
      <c r="BE2620" s="113"/>
      <c r="BF2620" s="113"/>
      <c r="BG2620" s="113"/>
      <c r="BH2620" s="113"/>
      <c r="BI2620" s="113"/>
      <c r="BJ2620" s="113"/>
      <c r="BK2620" s="113"/>
      <c r="BL2620" s="113"/>
      <c r="BM2620" s="113"/>
      <c r="BN2620" s="113"/>
      <c r="BO2620" s="113"/>
      <c r="BP2620" s="113"/>
      <c r="BQ2620" s="113"/>
      <c r="BR2620" s="113"/>
      <c r="BS2620" s="113"/>
      <c r="BT2620" s="113"/>
      <c r="BU2620" s="113"/>
      <c r="BV2620" s="113"/>
      <c r="BW2620" s="113"/>
      <c r="BX2620" s="113"/>
      <c r="BY2620" s="113"/>
      <c r="BZ2620" s="113"/>
      <c r="CA2620" s="113"/>
      <c r="CB2620" s="113"/>
      <c r="CC2620" s="113"/>
      <c r="CD2620" s="113"/>
      <c r="CE2620" s="113"/>
      <c r="CF2620" s="113"/>
      <c r="CG2620" s="113"/>
      <c r="CH2620" s="113"/>
      <c r="CI2620" s="113"/>
      <c r="CJ2620" s="113"/>
      <c r="CK2620" s="113"/>
      <c r="CL2620" s="113"/>
      <c r="CM2620" s="113"/>
      <c r="CN2620" s="113"/>
      <c r="CO2620" s="113"/>
      <c r="CP2620" s="113"/>
      <c r="CQ2620" s="113"/>
      <c r="CR2620" s="113"/>
      <c r="CS2620" s="113"/>
      <c r="CT2620" s="113"/>
      <c r="CU2620" s="113"/>
      <c r="CV2620" s="113"/>
      <c r="CW2620" s="113"/>
      <c r="CX2620" s="113"/>
      <c r="CY2620" s="113"/>
      <c r="CZ2620" s="113"/>
      <c r="DA2620" s="113"/>
      <c r="DB2620" s="113"/>
      <c r="DC2620" s="113"/>
      <c r="DD2620" s="113"/>
      <c r="DE2620" s="113"/>
      <c r="DF2620" s="113"/>
      <c r="DG2620" s="113"/>
      <c r="DH2620" s="113"/>
      <c r="DI2620" s="113"/>
      <c r="DJ2620" s="113"/>
      <c r="DK2620" s="113"/>
      <c r="DL2620" s="113"/>
      <c r="DM2620" s="113"/>
      <c r="DN2620" s="113"/>
      <c r="DO2620" s="113"/>
      <c r="DP2620" s="113"/>
      <c r="DQ2620" s="113"/>
      <c r="DR2620" s="113"/>
    </row>
    <row r="2621" spans="1:122" s="327" customFormat="1" x14ac:dyDescent="0.25">
      <c r="A2621" s="187"/>
      <c r="B2621" s="606"/>
      <c r="C2621" s="393"/>
      <c r="D2621" s="273"/>
      <c r="E2621" s="273"/>
      <c r="F2621" s="328"/>
      <c r="G2621" s="274"/>
      <c r="I2621" s="208"/>
      <c r="J2621" s="208"/>
      <c r="K2621" s="208"/>
      <c r="L2621" s="208"/>
      <c r="M2621" s="208"/>
      <c r="N2621" s="208"/>
      <c r="O2621" s="208"/>
      <c r="P2621" s="208"/>
      <c r="Q2621" s="208"/>
      <c r="R2621" s="208"/>
      <c r="S2621" s="208"/>
      <c r="T2621" s="208"/>
      <c r="U2621" s="208"/>
      <c r="V2621" s="227"/>
      <c r="W2621" s="271"/>
      <c r="X2621" s="271"/>
      <c r="Y2621" s="227"/>
      <c r="Z2621" s="208"/>
      <c r="AA2621" s="320"/>
      <c r="AB2621" s="214"/>
      <c r="AC2621" s="214"/>
      <c r="AD2621" s="214"/>
      <c r="AE2621" s="214"/>
      <c r="AF2621" s="214"/>
      <c r="AG2621" s="214"/>
      <c r="AH2621" s="113"/>
      <c r="AI2621" s="113"/>
      <c r="AJ2621" s="113"/>
      <c r="AK2621" s="113"/>
      <c r="AL2621" s="113"/>
      <c r="AM2621" s="113"/>
      <c r="AN2621" s="113"/>
      <c r="AO2621" s="113"/>
      <c r="AP2621" s="113"/>
      <c r="AQ2621" s="113"/>
      <c r="AR2621" s="113"/>
      <c r="AS2621" s="113"/>
      <c r="AT2621" s="113"/>
      <c r="AU2621" s="113"/>
      <c r="AV2621" s="113"/>
      <c r="AW2621" s="113"/>
      <c r="AX2621" s="113"/>
      <c r="AY2621" s="113"/>
      <c r="AZ2621" s="113"/>
      <c r="BA2621" s="113"/>
      <c r="BB2621" s="113"/>
      <c r="BC2621" s="113"/>
      <c r="BD2621" s="113"/>
      <c r="BE2621" s="113"/>
      <c r="BF2621" s="113"/>
      <c r="BG2621" s="113"/>
      <c r="BH2621" s="113"/>
      <c r="BI2621" s="113"/>
      <c r="BJ2621" s="113"/>
      <c r="BK2621" s="113"/>
      <c r="BL2621" s="113"/>
      <c r="BM2621" s="113"/>
      <c r="BN2621" s="113"/>
      <c r="BO2621" s="113"/>
      <c r="BP2621" s="113"/>
      <c r="BQ2621" s="113"/>
      <c r="BR2621" s="113"/>
      <c r="BS2621" s="113"/>
      <c r="BT2621" s="113"/>
      <c r="BU2621" s="113"/>
      <c r="BV2621" s="113"/>
      <c r="BW2621" s="113"/>
      <c r="BX2621" s="113"/>
      <c r="BY2621" s="113"/>
      <c r="BZ2621" s="113"/>
      <c r="CA2621" s="113"/>
      <c r="CB2621" s="113"/>
      <c r="CC2621" s="113"/>
      <c r="CD2621" s="113"/>
      <c r="CE2621" s="113"/>
      <c r="CF2621" s="113"/>
      <c r="CG2621" s="113"/>
      <c r="CH2621" s="113"/>
      <c r="CI2621" s="113"/>
      <c r="CJ2621" s="113"/>
      <c r="CK2621" s="113"/>
      <c r="CL2621" s="113"/>
      <c r="CM2621" s="113"/>
      <c r="CN2621" s="113"/>
      <c r="CO2621" s="113"/>
      <c r="CP2621" s="113"/>
      <c r="CQ2621" s="113"/>
      <c r="CR2621" s="113"/>
      <c r="CS2621" s="113"/>
      <c r="CT2621" s="113"/>
      <c r="CU2621" s="113"/>
      <c r="CV2621" s="113"/>
      <c r="CW2621" s="113"/>
      <c r="CX2621" s="113"/>
      <c r="CY2621" s="113"/>
      <c r="CZ2621" s="113"/>
      <c r="DA2621" s="113"/>
      <c r="DB2621" s="113"/>
      <c r="DC2621" s="113"/>
      <c r="DD2621" s="113"/>
      <c r="DE2621" s="113"/>
      <c r="DF2621" s="113"/>
      <c r="DG2621" s="113"/>
      <c r="DH2621" s="113"/>
      <c r="DI2621" s="113"/>
      <c r="DJ2621" s="113"/>
      <c r="DK2621" s="113"/>
      <c r="DL2621" s="113"/>
      <c r="DM2621" s="113"/>
      <c r="DN2621" s="113"/>
      <c r="DO2621" s="113"/>
      <c r="DP2621" s="113"/>
      <c r="DQ2621" s="113"/>
      <c r="DR2621" s="113"/>
    </row>
    <row r="2622" spans="1:122" s="327" customFormat="1" x14ac:dyDescent="0.25">
      <c r="A2622" s="187"/>
      <c r="B2622" s="606"/>
      <c r="C2622" s="393"/>
      <c r="D2622" s="273"/>
      <c r="E2622" s="273"/>
      <c r="F2622" s="328"/>
      <c r="G2622" s="274"/>
      <c r="I2622" s="208"/>
      <c r="J2622" s="208"/>
      <c r="K2622" s="208"/>
      <c r="L2622" s="208"/>
      <c r="M2622" s="208"/>
      <c r="N2622" s="208"/>
      <c r="O2622" s="208"/>
      <c r="P2622" s="208"/>
      <c r="Q2622" s="208"/>
      <c r="R2622" s="208"/>
      <c r="S2622" s="208"/>
      <c r="T2622" s="208"/>
      <c r="U2622" s="208"/>
      <c r="V2622" s="227"/>
      <c r="W2622" s="271"/>
      <c r="X2622" s="271"/>
      <c r="Y2622" s="227"/>
      <c r="Z2622" s="208"/>
      <c r="AA2622" s="320"/>
      <c r="AB2622" s="214"/>
      <c r="AC2622" s="214"/>
      <c r="AD2622" s="214"/>
      <c r="AE2622" s="214"/>
      <c r="AF2622" s="214"/>
      <c r="AG2622" s="214"/>
      <c r="AH2622" s="113"/>
      <c r="AI2622" s="113"/>
      <c r="AJ2622" s="113"/>
      <c r="AK2622" s="113"/>
      <c r="AL2622" s="113"/>
      <c r="AM2622" s="113"/>
      <c r="AN2622" s="113"/>
      <c r="AO2622" s="113"/>
      <c r="AP2622" s="113"/>
      <c r="AQ2622" s="113"/>
      <c r="AR2622" s="113"/>
      <c r="AS2622" s="113"/>
      <c r="AT2622" s="113"/>
      <c r="AU2622" s="113"/>
      <c r="AV2622" s="113"/>
      <c r="AW2622" s="113"/>
      <c r="AX2622" s="113"/>
      <c r="AY2622" s="113"/>
      <c r="AZ2622" s="113"/>
      <c r="BA2622" s="113"/>
      <c r="BB2622" s="113"/>
      <c r="BC2622" s="113"/>
      <c r="BD2622" s="113"/>
      <c r="BE2622" s="113"/>
      <c r="BF2622" s="113"/>
      <c r="BG2622" s="113"/>
      <c r="BH2622" s="113"/>
      <c r="BI2622" s="113"/>
      <c r="BJ2622" s="113"/>
      <c r="BK2622" s="113"/>
      <c r="BL2622" s="113"/>
      <c r="BM2622" s="113"/>
      <c r="BN2622" s="113"/>
      <c r="BO2622" s="113"/>
      <c r="BP2622" s="113"/>
      <c r="BQ2622" s="113"/>
      <c r="BR2622" s="113"/>
      <c r="BS2622" s="113"/>
      <c r="BT2622" s="113"/>
      <c r="BU2622" s="113"/>
      <c r="BV2622" s="113"/>
      <c r="BW2622" s="113"/>
      <c r="BX2622" s="113"/>
      <c r="BY2622" s="113"/>
      <c r="BZ2622" s="113"/>
      <c r="CA2622" s="113"/>
      <c r="CB2622" s="113"/>
      <c r="CC2622" s="113"/>
      <c r="CD2622" s="113"/>
      <c r="CE2622" s="113"/>
      <c r="CF2622" s="113"/>
      <c r="CG2622" s="113"/>
      <c r="CH2622" s="113"/>
      <c r="CI2622" s="113"/>
      <c r="CJ2622" s="113"/>
      <c r="CK2622" s="113"/>
      <c r="CL2622" s="113"/>
      <c r="CM2622" s="113"/>
      <c r="CN2622" s="113"/>
      <c r="CO2622" s="113"/>
      <c r="CP2622" s="113"/>
      <c r="CQ2622" s="113"/>
      <c r="CR2622" s="113"/>
      <c r="CS2622" s="113"/>
      <c r="CT2622" s="113"/>
      <c r="CU2622" s="113"/>
      <c r="CV2622" s="113"/>
      <c r="CW2622" s="113"/>
      <c r="CX2622" s="113"/>
      <c r="CY2622" s="113"/>
      <c r="CZ2622" s="113"/>
      <c r="DA2622" s="113"/>
      <c r="DB2622" s="113"/>
      <c r="DC2622" s="113"/>
      <c r="DD2622" s="113"/>
      <c r="DE2622" s="113"/>
      <c r="DF2622" s="113"/>
      <c r="DG2622" s="113"/>
      <c r="DH2622" s="113"/>
      <c r="DI2622" s="113"/>
      <c r="DJ2622" s="113"/>
      <c r="DK2622" s="113"/>
      <c r="DL2622" s="113"/>
      <c r="DM2622" s="113"/>
      <c r="DN2622" s="113"/>
      <c r="DO2622" s="113"/>
      <c r="DP2622" s="113"/>
      <c r="DQ2622" s="113"/>
      <c r="DR2622" s="113"/>
    </row>
    <row r="2623" spans="1:122" s="327" customFormat="1" x14ac:dyDescent="0.25">
      <c r="A2623" s="187"/>
      <c r="B2623" s="606"/>
      <c r="C2623" s="393"/>
      <c r="D2623" s="273"/>
      <c r="E2623" s="273"/>
      <c r="F2623" s="328"/>
      <c r="G2623" s="274"/>
      <c r="I2623" s="208"/>
      <c r="J2623" s="208"/>
      <c r="K2623" s="208"/>
      <c r="L2623" s="208"/>
      <c r="M2623" s="208"/>
      <c r="N2623" s="208"/>
      <c r="O2623" s="208"/>
      <c r="P2623" s="208"/>
      <c r="Q2623" s="208"/>
      <c r="R2623" s="208"/>
      <c r="S2623" s="208"/>
      <c r="T2623" s="208"/>
      <c r="U2623" s="208"/>
      <c r="V2623" s="227"/>
      <c r="W2623" s="271"/>
      <c r="X2623" s="271"/>
      <c r="Y2623" s="227"/>
      <c r="Z2623" s="208"/>
      <c r="AA2623" s="320"/>
      <c r="AB2623" s="214"/>
      <c r="AC2623" s="214"/>
      <c r="AD2623" s="214"/>
      <c r="AE2623" s="214"/>
      <c r="AF2623" s="214"/>
      <c r="AG2623" s="214"/>
      <c r="AH2623" s="113"/>
      <c r="AI2623" s="113"/>
      <c r="AJ2623" s="113"/>
      <c r="AK2623" s="113"/>
      <c r="AL2623" s="113"/>
      <c r="AM2623" s="113"/>
      <c r="AN2623" s="113"/>
      <c r="AO2623" s="113"/>
      <c r="AP2623" s="113"/>
      <c r="AQ2623" s="113"/>
      <c r="AR2623" s="113"/>
      <c r="AS2623" s="113"/>
      <c r="AT2623" s="113"/>
      <c r="AU2623" s="113"/>
      <c r="AV2623" s="113"/>
      <c r="AW2623" s="113"/>
      <c r="AX2623" s="113"/>
      <c r="AY2623" s="113"/>
      <c r="AZ2623" s="113"/>
      <c r="BA2623" s="113"/>
      <c r="BB2623" s="113"/>
      <c r="BC2623" s="113"/>
      <c r="BD2623" s="113"/>
      <c r="BE2623" s="113"/>
      <c r="BF2623" s="113"/>
      <c r="BG2623" s="113"/>
      <c r="BH2623" s="113"/>
      <c r="BI2623" s="113"/>
      <c r="BJ2623" s="113"/>
      <c r="BK2623" s="113"/>
      <c r="BL2623" s="113"/>
      <c r="BM2623" s="113"/>
      <c r="BN2623" s="113"/>
      <c r="BO2623" s="113"/>
      <c r="BP2623" s="113"/>
      <c r="BQ2623" s="113"/>
      <c r="BR2623" s="113"/>
      <c r="BS2623" s="113"/>
      <c r="BT2623" s="113"/>
      <c r="BU2623" s="113"/>
      <c r="BV2623" s="113"/>
      <c r="BW2623" s="113"/>
      <c r="BX2623" s="113"/>
      <c r="BY2623" s="113"/>
      <c r="BZ2623" s="113"/>
      <c r="CA2623" s="113"/>
      <c r="CB2623" s="113"/>
      <c r="CC2623" s="113"/>
      <c r="CD2623" s="113"/>
      <c r="CE2623" s="113"/>
      <c r="CF2623" s="113"/>
      <c r="CG2623" s="113"/>
      <c r="CH2623" s="113"/>
      <c r="CI2623" s="113"/>
      <c r="CJ2623" s="113"/>
      <c r="CK2623" s="113"/>
      <c r="CL2623" s="113"/>
      <c r="CM2623" s="113"/>
      <c r="CN2623" s="113"/>
      <c r="CO2623" s="113"/>
      <c r="CP2623" s="113"/>
      <c r="CQ2623" s="113"/>
      <c r="CR2623" s="113"/>
      <c r="CS2623" s="113"/>
      <c r="CT2623" s="113"/>
      <c r="CU2623" s="113"/>
      <c r="CV2623" s="113"/>
      <c r="CW2623" s="113"/>
      <c r="CX2623" s="113"/>
      <c r="CY2623" s="113"/>
      <c r="CZ2623" s="113"/>
      <c r="DA2623" s="113"/>
      <c r="DB2623" s="113"/>
      <c r="DC2623" s="113"/>
      <c r="DD2623" s="113"/>
      <c r="DE2623" s="113"/>
      <c r="DF2623" s="113"/>
      <c r="DG2623" s="113"/>
      <c r="DH2623" s="113"/>
      <c r="DI2623" s="113"/>
      <c r="DJ2623" s="113"/>
      <c r="DK2623" s="113"/>
      <c r="DL2623" s="113"/>
      <c r="DM2623" s="113"/>
      <c r="DN2623" s="113"/>
      <c r="DO2623" s="113"/>
      <c r="DP2623" s="113"/>
      <c r="DQ2623" s="113"/>
      <c r="DR2623" s="113"/>
    </row>
    <row r="2624" spans="1:122" s="327" customFormat="1" x14ac:dyDescent="0.25">
      <c r="A2624" s="187"/>
      <c r="B2624" s="606"/>
      <c r="C2624" s="393"/>
      <c r="D2624" s="273"/>
      <c r="E2624" s="273"/>
      <c r="F2624" s="328"/>
      <c r="G2624" s="274"/>
      <c r="I2624" s="208"/>
      <c r="J2624" s="208"/>
      <c r="K2624" s="208"/>
      <c r="L2624" s="208"/>
      <c r="M2624" s="208"/>
      <c r="N2624" s="208"/>
      <c r="O2624" s="208"/>
      <c r="P2624" s="208"/>
      <c r="Q2624" s="208"/>
      <c r="R2624" s="208"/>
      <c r="S2624" s="208"/>
      <c r="T2624" s="208"/>
      <c r="U2624" s="208"/>
      <c r="V2624" s="227"/>
      <c r="W2624" s="271"/>
      <c r="X2624" s="271"/>
      <c r="Y2624" s="227"/>
      <c r="Z2624" s="208"/>
      <c r="AA2624" s="320"/>
      <c r="AB2624" s="214"/>
      <c r="AC2624" s="214"/>
      <c r="AD2624" s="214"/>
      <c r="AE2624" s="214"/>
      <c r="AF2624" s="214"/>
      <c r="AG2624" s="214"/>
      <c r="AH2624" s="113"/>
      <c r="AI2624" s="113"/>
      <c r="AJ2624" s="113"/>
      <c r="AK2624" s="113"/>
      <c r="AL2624" s="113"/>
      <c r="AM2624" s="113"/>
      <c r="AN2624" s="113"/>
      <c r="AO2624" s="113"/>
      <c r="AP2624" s="113"/>
      <c r="AQ2624" s="113"/>
      <c r="AR2624" s="113"/>
      <c r="AS2624" s="113"/>
      <c r="AT2624" s="113"/>
      <c r="AU2624" s="113"/>
      <c r="AV2624" s="113"/>
      <c r="AW2624" s="113"/>
      <c r="AX2624" s="113"/>
      <c r="AY2624" s="113"/>
      <c r="AZ2624" s="113"/>
      <c r="BA2624" s="113"/>
      <c r="BB2624" s="113"/>
      <c r="BC2624" s="113"/>
      <c r="BD2624" s="113"/>
      <c r="BE2624" s="113"/>
      <c r="BF2624" s="113"/>
      <c r="BG2624" s="113"/>
      <c r="BH2624" s="113"/>
      <c r="BI2624" s="113"/>
      <c r="BJ2624" s="113"/>
      <c r="BK2624" s="113"/>
      <c r="BL2624" s="113"/>
      <c r="BM2624" s="113"/>
      <c r="BN2624" s="113"/>
      <c r="BO2624" s="113"/>
      <c r="BP2624" s="113"/>
      <c r="BQ2624" s="113"/>
      <c r="BR2624" s="113"/>
      <c r="BS2624" s="113"/>
      <c r="BT2624" s="113"/>
      <c r="BU2624" s="113"/>
      <c r="BV2624" s="113"/>
      <c r="BW2624" s="113"/>
      <c r="BX2624" s="113"/>
      <c r="BY2624" s="113"/>
      <c r="BZ2624" s="113"/>
      <c r="CA2624" s="113"/>
      <c r="CB2624" s="113"/>
      <c r="CC2624" s="113"/>
      <c r="CD2624" s="113"/>
      <c r="CE2624" s="113"/>
      <c r="CF2624" s="113"/>
      <c r="CG2624" s="113"/>
      <c r="CH2624" s="113"/>
      <c r="CI2624" s="113"/>
      <c r="CJ2624" s="113"/>
      <c r="CK2624" s="113"/>
      <c r="CL2624" s="113"/>
      <c r="CM2624" s="113"/>
      <c r="CN2624" s="113"/>
      <c r="CO2624" s="113"/>
      <c r="CP2624" s="113"/>
      <c r="CQ2624" s="113"/>
      <c r="CR2624" s="113"/>
      <c r="CS2624" s="113"/>
      <c r="CT2624" s="113"/>
      <c r="CU2624" s="113"/>
      <c r="CV2624" s="113"/>
      <c r="CW2624" s="113"/>
      <c r="CX2624" s="113"/>
      <c r="CY2624" s="113"/>
      <c r="CZ2624" s="113"/>
      <c r="DA2624" s="113"/>
      <c r="DB2624" s="113"/>
      <c r="DC2624" s="113"/>
      <c r="DD2624" s="113"/>
      <c r="DE2624" s="113"/>
      <c r="DF2624" s="113"/>
      <c r="DG2624" s="113"/>
      <c r="DH2624" s="113"/>
      <c r="DI2624" s="113"/>
      <c r="DJ2624" s="113"/>
      <c r="DK2624" s="113"/>
      <c r="DL2624" s="113"/>
      <c r="DM2624" s="113"/>
      <c r="DN2624" s="113"/>
      <c r="DO2624" s="113"/>
      <c r="DP2624" s="113"/>
      <c r="DQ2624" s="113"/>
      <c r="DR2624" s="113"/>
    </row>
    <row r="2625" spans="1:122" s="327" customFormat="1" x14ac:dyDescent="0.25">
      <c r="A2625" s="187"/>
      <c r="B2625" s="606"/>
      <c r="C2625" s="393"/>
      <c r="D2625" s="273"/>
      <c r="E2625" s="273"/>
      <c r="F2625" s="328"/>
      <c r="G2625" s="274"/>
      <c r="I2625" s="208"/>
      <c r="J2625" s="208"/>
      <c r="K2625" s="208"/>
      <c r="L2625" s="208"/>
      <c r="M2625" s="208"/>
      <c r="N2625" s="208"/>
      <c r="O2625" s="208"/>
      <c r="P2625" s="208"/>
      <c r="Q2625" s="208"/>
      <c r="R2625" s="208"/>
      <c r="S2625" s="208"/>
      <c r="T2625" s="208"/>
      <c r="U2625" s="208"/>
      <c r="V2625" s="227"/>
      <c r="W2625" s="271"/>
      <c r="X2625" s="271"/>
      <c r="Y2625" s="227"/>
      <c r="Z2625" s="208"/>
      <c r="AA2625" s="320"/>
      <c r="AB2625" s="214"/>
      <c r="AC2625" s="214"/>
      <c r="AD2625" s="214"/>
      <c r="AE2625" s="214"/>
      <c r="AF2625" s="214"/>
      <c r="AG2625" s="214"/>
      <c r="AH2625" s="113"/>
      <c r="AI2625" s="113"/>
      <c r="AJ2625" s="113"/>
      <c r="AK2625" s="113"/>
      <c r="AL2625" s="113"/>
      <c r="AM2625" s="113"/>
      <c r="AN2625" s="113"/>
      <c r="AO2625" s="113"/>
      <c r="AP2625" s="113"/>
      <c r="AQ2625" s="113"/>
      <c r="AR2625" s="113"/>
      <c r="AS2625" s="113"/>
      <c r="AT2625" s="113"/>
      <c r="AU2625" s="113"/>
      <c r="AV2625" s="113"/>
      <c r="AW2625" s="113"/>
      <c r="AX2625" s="113"/>
      <c r="AY2625" s="113"/>
      <c r="AZ2625" s="113"/>
      <c r="BA2625" s="113"/>
      <c r="BB2625" s="113"/>
      <c r="BC2625" s="113"/>
      <c r="BD2625" s="113"/>
      <c r="BE2625" s="113"/>
      <c r="BF2625" s="113"/>
      <c r="BG2625" s="113"/>
      <c r="BH2625" s="113"/>
      <c r="BI2625" s="113"/>
      <c r="BJ2625" s="113"/>
      <c r="BK2625" s="113"/>
      <c r="BL2625" s="113"/>
      <c r="BM2625" s="113"/>
      <c r="BN2625" s="113"/>
      <c r="BO2625" s="113"/>
      <c r="BP2625" s="113"/>
      <c r="BQ2625" s="113"/>
      <c r="BR2625" s="113"/>
      <c r="BS2625" s="113"/>
      <c r="BT2625" s="113"/>
      <c r="BU2625" s="113"/>
      <c r="BV2625" s="113"/>
      <c r="BW2625" s="113"/>
      <c r="BX2625" s="113"/>
      <c r="BY2625" s="113"/>
      <c r="BZ2625" s="113"/>
      <c r="CA2625" s="113"/>
      <c r="CB2625" s="113"/>
      <c r="CC2625" s="113"/>
      <c r="CD2625" s="113"/>
      <c r="CE2625" s="113"/>
      <c r="CF2625" s="113"/>
      <c r="CG2625" s="113"/>
      <c r="CH2625" s="113"/>
      <c r="CI2625" s="113"/>
      <c r="CJ2625" s="113"/>
      <c r="CK2625" s="113"/>
      <c r="CL2625" s="113"/>
      <c r="CM2625" s="113"/>
      <c r="CN2625" s="113"/>
      <c r="CO2625" s="113"/>
      <c r="CP2625" s="113"/>
      <c r="CQ2625" s="113"/>
      <c r="CR2625" s="113"/>
      <c r="CS2625" s="113"/>
      <c r="CT2625" s="113"/>
      <c r="CU2625" s="113"/>
      <c r="CV2625" s="113"/>
      <c r="CW2625" s="113"/>
      <c r="CX2625" s="113"/>
      <c r="CY2625" s="113"/>
      <c r="CZ2625" s="113"/>
      <c r="DA2625" s="113"/>
      <c r="DB2625" s="113"/>
      <c r="DC2625" s="113"/>
      <c r="DD2625" s="113"/>
      <c r="DE2625" s="113"/>
      <c r="DF2625" s="113"/>
      <c r="DG2625" s="113"/>
      <c r="DH2625" s="113"/>
      <c r="DI2625" s="113"/>
      <c r="DJ2625" s="113"/>
      <c r="DK2625" s="113"/>
      <c r="DL2625" s="113"/>
      <c r="DM2625" s="113"/>
      <c r="DN2625" s="113"/>
      <c r="DO2625" s="113"/>
      <c r="DP2625" s="113"/>
      <c r="DQ2625" s="113"/>
      <c r="DR2625" s="113"/>
    </row>
    <row r="2626" spans="1:122" s="327" customFormat="1" x14ac:dyDescent="0.25">
      <c r="A2626" s="187"/>
      <c r="B2626" s="606"/>
      <c r="C2626" s="393"/>
      <c r="D2626" s="273"/>
      <c r="E2626" s="273"/>
      <c r="F2626" s="328"/>
      <c r="G2626" s="274"/>
      <c r="I2626" s="208"/>
      <c r="J2626" s="208"/>
      <c r="K2626" s="208"/>
      <c r="L2626" s="208"/>
      <c r="M2626" s="208"/>
      <c r="N2626" s="208"/>
      <c r="O2626" s="208"/>
      <c r="P2626" s="208"/>
      <c r="Q2626" s="208"/>
      <c r="R2626" s="208"/>
      <c r="S2626" s="208"/>
      <c r="T2626" s="208"/>
      <c r="U2626" s="208"/>
      <c r="V2626" s="227"/>
      <c r="W2626" s="271"/>
      <c r="X2626" s="271"/>
      <c r="Y2626" s="227"/>
      <c r="Z2626" s="208"/>
      <c r="AA2626" s="320"/>
      <c r="AB2626" s="214"/>
      <c r="AC2626" s="214"/>
      <c r="AD2626" s="214"/>
      <c r="AE2626" s="214"/>
      <c r="AF2626" s="214"/>
      <c r="AG2626" s="214"/>
      <c r="AH2626" s="113"/>
      <c r="AI2626" s="113"/>
      <c r="AJ2626" s="113"/>
      <c r="AK2626" s="113"/>
      <c r="AL2626" s="113"/>
      <c r="AM2626" s="113"/>
      <c r="AN2626" s="113"/>
      <c r="AO2626" s="113"/>
      <c r="AP2626" s="113"/>
      <c r="AQ2626" s="113"/>
      <c r="AR2626" s="113"/>
      <c r="AS2626" s="113"/>
      <c r="AT2626" s="113"/>
      <c r="AU2626" s="113"/>
      <c r="AV2626" s="113"/>
      <c r="AW2626" s="113"/>
      <c r="AX2626" s="113"/>
      <c r="AY2626" s="113"/>
      <c r="AZ2626" s="113"/>
      <c r="BA2626" s="113"/>
      <c r="BB2626" s="113"/>
      <c r="BC2626" s="113"/>
      <c r="BD2626" s="113"/>
      <c r="BE2626" s="113"/>
      <c r="BF2626" s="113"/>
      <c r="BG2626" s="113"/>
      <c r="BH2626" s="113"/>
      <c r="BI2626" s="113"/>
      <c r="BJ2626" s="113"/>
      <c r="BK2626" s="113"/>
      <c r="BL2626" s="113"/>
      <c r="BM2626" s="113"/>
      <c r="BN2626" s="113"/>
      <c r="BO2626" s="113"/>
      <c r="BP2626" s="113"/>
      <c r="BQ2626" s="113"/>
      <c r="BR2626" s="113"/>
      <c r="BS2626" s="113"/>
      <c r="BT2626" s="113"/>
      <c r="BU2626" s="113"/>
      <c r="BV2626" s="113"/>
      <c r="BW2626" s="113"/>
      <c r="BX2626" s="113"/>
      <c r="BY2626" s="113"/>
      <c r="BZ2626" s="113"/>
      <c r="CA2626" s="113"/>
      <c r="CB2626" s="113"/>
      <c r="CC2626" s="113"/>
      <c r="CD2626" s="113"/>
      <c r="CE2626" s="113"/>
      <c r="CF2626" s="113"/>
      <c r="CG2626" s="113"/>
      <c r="CH2626" s="113"/>
      <c r="CI2626" s="113"/>
      <c r="CJ2626" s="113"/>
      <c r="CK2626" s="113"/>
      <c r="CL2626" s="113"/>
      <c r="CM2626" s="113"/>
      <c r="CN2626" s="113"/>
      <c r="CO2626" s="113"/>
      <c r="CP2626" s="113"/>
      <c r="CQ2626" s="113"/>
      <c r="CR2626" s="113"/>
      <c r="CS2626" s="113"/>
      <c r="CT2626" s="113"/>
      <c r="CU2626" s="113"/>
      <c r="CV2626" s="113"/>
      <c r="CW2626" s="113"/>
      <c r="CX2626" s="113"/>
      <c r="CY2626" s="113"/>
      <c r="CZ2626" s="113"/>
      <c r="DA2626" s="113"/>
      <c r="DB2626" s="113"/>
      <c r="DC2626" s="113"/>
      <c r="DD2626" s="113"/>
      <c r="DE2626" s="113"/>
      <c r="DF2626" s="113"/>
      <c r="DG2626" s="113"/>
      <c r="DH2626" s="113"/>
      <c r="DI2626" s="113"/>
      <c r="DJ2626" s="113"/>
      <c r="DK2626" s="113"/>
      <c r="DL2626" s="113"/>
      <c r="DM2626" s="113"/>
      <c r="DN2626" s="113"/>
      <c r="DO2626" s="113"/>
      <c r="DP2626" s="113"/>
      <c r="DQ2626" s="113"/>
      <c r="DR2626" s="113"/>
    </row>
    <row r="2627" spans="1:122" s="327" customFormat="1" x14ac:dyDescent="0.25">
      <c r="A2627" s="187"/>
      <c r="B2627" s="606"/>
      <c r="C2627" s="393"/>
      <c r="D2627" s="273"/>
      <c r="E2627" s="273"/>
      <c r="F2627" s="328"/>
      <c r="G2627" s="274"/>
      <c r="I2627" s="208"/>
      <c r="J2627" s="208"/>
      <c r="K2627" s="208"/>
      <c r="L2627" s="208"/>
      <c r="M2627" s="208"/>
      <c r="N2627" s="208"/>
      <c r="O2627" s="208"/>
      <c r="P2627" s="208"/>
      <c r="Q2627" s="208"/>
      <c r="R2627" s="208"/>
      <c r="S2627" s="208"/>
      <c r="T2627" s="208"/>
      <c r="U2627" s="208"/>
      <c r="V2627" s="227"/>
      <c r="W2627" s="271"/>
      <c r="X2627" s="271"/>
      <c r="Y2627" s="227"/>
      <c r="Z2627" s="208"/>
      <c r="AA2627" s="320"/>
      <c r="AB2627" s="214"/>
      <c r="AC2627" s="214"/>
      <c r="AD2627" s="214"/>
      <c r="AE2627" s="214"/>
      <c r="AF2627" s="214"/>
      <c r="AG2627" s="214"/>
      <c r="AH2627" s="113"/>
      <c r="AI2627" s="113"/>
      <c r="AJ2627" s="113"/>
      <c r="AK2627" s="113"/>
      <c r="AL2627" s="113"/>
      <c r="AM2627" s="113"/>
      <c r="AN2627" s="113"/>
      <c r="AO2627" s="113"/>
      <c r="AP2627" s="113"/>
      <c r="AQ2627" s="113"/>
      <c r="AR2627" s="113"/>
      <c r="AS2627" s="113"/>
      <c r="AT2627" s="113"/>
      <c r="AU2627" s="113"/>
      <c r="AV2627" s="113"/>
      <c r="AW2627" s="113"/>
      <c r="AX2627" s="113"/>
      <c r="AY2627" s="113"/>
      <c r="AZ2627" s="113"/>
      <c r="BA2627" s="113"/>
      <c r="BB2627" s="113"/>
      <c r="BC2627" s="113"/>
      <c r="BD2627" s="113"/>
      <c r="BE2627" s="113"/>
      <c r="BF2627" s="113"/>
      <c r="BG2627" s="113"/>
      <c r="BH2627" s="113"/>
      <c r="BI2627" s="113"/>
      <c r="BJ2627" s="113"/>
      <c r="BK2627" s="113"/>
      <c r="BL2627" s="113"/>
      <c r="BM2627" s="113"/>
      <c r="BN2627" s="113"/>
      <c r="BO2627" s="113"/>
      <c r="BP2627" s="113"/>
      <c r="BQ2627" s="113"/>
      <c r="BR2627" s="113"/>
      <c r="BS2627" s="113"/>
      <c r="BT2627" s="113"/>
      <c r="BU2627" s="113"/>
      <c r="BV2627" s="113"/>
      <c r="BW2627" s="113"/>
      <c r="BX2627" s="113"/>
      <c r="BY2627" s="113"/>
      <c r="BZ2627" s="113"/>
      <c r="CA2627" s="113"/>
      <c r="CB2627" s="113"/>
      <c r="CC2627" s="113"/>
      <c r="CD2627" s="113"/>
      <c r="CE2627" s="113"/>
      <c r="CF2627" s="113"/>
      <c r="CG2627" s="113"/>
      <c r="CH2627" s="113"/>
      <c r="CI2627" s="113"/>
      <c r="CJ2627" s="113"/>
      <c r="CK2627" s="113"/>
      <c r="CL2627" s="113"/>
      <c r="CM2627" s="113"/>
      <c r="CN2627" s="113"/>
      <c r="CO2627" s="113"/>
      <c r="CP2627" s="113"/>
      <c r="CQ2627" s="113"/>
      <c r="CR2627" s="113"/>
      <c r="CS2627" s="113"/>
      <c r="CT2627" s="113"/>
      <c r="CU2627" s="113"/>
      <c r="CV2627" s="113"/>
      <c r="CW2627" s="113"/>
      <c r="CX2627" s="113"/>
      <c r="CY2627" s="113"/>
      <c r="CZ2627" s="113"/>
      <c r="DA2627" s="113"/>
      <c r="DB2627" s="113"/>
      <c r="DC2627" s="113"/>
      <c r="DD2627" s="113"/>
      <c r="DE2627" s="113"/>
      <c r="DF2627" s="113"/>
      <c r="DG2627" s="113"/>
      <c r="DH2627" s="113"/>
      <c r="DI2627" s="113"/>
      <c r="DJ2627" s="113"/>
      <c r="DK2627" s="113"/>
      <c r="DL2627" s="113"/>
      <c r="DM2627" s="113"/>
      <c r="DN2627" s="113"/>
      <c r="DO2627" s="113"/>
      <c r="DP2627" s="113"/>
      <c r="DQ2627" s="113"/>
      <c r="DR2627" s="113"/>
    </row>
    <row r="2628" spans="1:122" s="327" customFormat="1" x14ac:dyDescent="0.25">
      <c r="A2628" s="187"/>
      <c r="B2628" s="606"/>
      <c r="C2628" s="393"/>
      <c r="D2628" s="273"/>
      <c r="E2628" s="273"/>
      <c r="F2628" s="328"/>
      <c r="G2628" s="274"/>
      <c r="I2628" s="208"/>
      <c r="J2628" s="208"/>
      <c r="K2628" s="208"/>
      <c r="L2628" s="208"/>
      <c r="M2628" s="208"/>
      <c r="N2628" s="208"/>
      <c r="O2628" s="208"/>
      <c r="P2628" s="208"/>
      <c r="Q2628" s="208"/>
      <c r="R2628" s="208"/>
      <c r="S2628" s="208"/>
      <c r="T2628" s="208"/>
      <c r="U2628" s="208"/>
      <c r="V2628" s="227"/>
      <c r="W2628" s="271"/>
      <c r="X2628" s="271"/>
      <c r="Y2628" s="227"/>
      <c r="Z2628" s="208"/>
      <c r="AA2628" s="320"/>
      <c r="AB2628" s="214"/>
      <c r="AC2628" s="214"/>
      <c r="AD2628" s="214"/>
      <c r="AE2628" s="214"/>
      <c r="AF2628" s="214"/>
      <c r="AG2628" s="214"/>
      <c r="AH2628" s="113"/>
      <c r="AI2628" s="113"/>
      <c r="AJ2628" s="113"/>
      <c r="AK2628" s="113"/>
      <c r="AL2628" s="113"/>
      <c r="AM2628" s="113"/>
      <c r="AN2628" s="113"/>
      <c r="AO2628" s="113"/>
      <c r="AP2628" s="113"/>
      <c r="AQ2628" s="113"/>
      <c r="AR2628" s="113"/>
      <c r="AS2628" s="113"/>
      <c r="AT2628" s="113"/>
      <c r="AU2628" s="113"/>
      <c r="AV2628" s="113"/>
      <c r="AW2628" s="113"/>
      <c r="AX2628" s="113"/>
      <c r="AY2628" s="113"/>
      <c r="AZ2628" s="113"/>
      <c r="BA2628" s="113"/>
      <c r="BB2628" s="113"/>
      <c r="BC2628" s="113"/>
      <c r="BD2628" s="113"/>
      <c r="BE2628" s="113"/>
      <c r="BF2628" s="113"/>
      <c r="BG2628" s="113"/>
      <c r="BH2628" s="113"/>
      <c r="BI2628" s="113"/>
      <c r="BJ2628" s="113"/>
      <c r="BK2628" s="113"/>
      <c r="BL2628" s="113"/>
      <c r="BM2628" s="113"/>
      <c r="BN2628" s="113"/>
      <c r="BO2628" s="113"/>
      <c r="BP2628" s="113"/>
      <c r="BQ2628" s="113"/>
      <c r="BR2628" s="113"/>
      <c r="BS2628" s="113"/>
      <c r="BT2628" s="113"/>
      <c r="BU2628" s="113"/>
      <c r="BV2628" s="113"/>
      <c r="BW2628" s="113"/>
      <c r="BX2628" s="113"/>
      <c r="BY2628" s="113"/>
      <c r="BZ2628" s="113"/>
      <c r="CA2628" s="113"/>
      <c r="CB2628" s="113"/>
      <c r="CC2628" s="113"/>
      <c r="CD2628" s="113"/>
      <c r="CE2628" s="113"/>
      <c r="CF2628" s="113"/>
      <c r="CG2628" s="113"/>
      <c r="CH2628" s="113"/>
      <c r="CI2628" s="113"/>
      <c r="CJ2628" s="113"/>
      <c r="CK2628" s="113"/>
      <c r="CL2628" s="113"/>
      <c r="CM2628" s="113"/>
      <c r="CN2628" s="113"/>
      <c r="CO2628" s="113"/>
      <c r="CP2628" s="113"/>
      <c r="CQ2628" s="113"/>
      <c r="CR2628" s="113"/>
      <c r="CS2628" s="113"/>
      <c r="CT2628" s="113"/>
      <c r="CU2628" s="113"/>
      <c r="CV2628" s="113"/>
      <c r="CW2628" s="113"/>
      <c r="CX2628" s="113"/>
      <c r="CY2628" s="113"/>
      <c r="CZ2628" s="113"/>
      <c r="DA2628" s="113"/>
      <c r="DB2628" s="113"/>
      <c r="DC2628" s="113"/>
      <c r="DD2628" s="113"/>
      <c r="DE2628" s="113"/>
      <c r="DF2628" s="113"/>
      <c r="DG2628" s="113"/>
      <c r="DH2628" s="113"/>
      <c r="DI2628" s="113"/>
      <c r="DJ2628" s="113"/>
      <c r="DK2628" s="113"/>
      <c r="DL2628" s="113"/>
      <c r="DM2628" s="113"/>
      <c r="DN2628" s="113"/>
      <c r="DO2628" s="113"/>
      <c r="DP2628" s="113"/>
      <c r="DQ2628" s="113"/>
      <c r="DR2628" s="113"/>
    </row>
  </sheetData>
  <sortState ref="A6:AA30">
    <sortCondition ref="A6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2390"/>
  <sheetViews>
    <sheetView zoomScale="80" zoomScaleNormal="80" zoomScaleSheetLayoutView="80" workbookViewId="0">
      <selection activeCell="L18" sqref="L18"/>
    </sheetView>
  </sheetViews>
  <sheetFormatPr defaultColWidth="9.140625" defaultRowHeight="12.75" x14ac:dyDescent="0.2"/>
  <cols>
    <col min="1" max="1" width="6.5703125" style="385" customWidth="1"/>
    <col min="2" max="2" width="8" style="283" customWidth="1"/>
    <col min="3" max="3" width="9" style="284" customWidth="1"/>
    <col min="4" max="4" width="33.7109375" style="284" customWidth="1"/>
    <col min="5" max="5" width="9.140625" style="284" hidden="1" customWidth="1"/>
    <col min="6" max="6" width="7.42578125" style="284" hidden="1" customWidth="1"/>
    <col min="7" max="7" width="16.7109375" style="284" hidden="1" customWidth="1"/>
    <col min="8" max="8" width="5.28515625" style="284" customWidth="1"/>
    <col min="9" max="9" width="13.7109375" style="285" customWidth="1"/>
    <col min="10" max="10" width="10.7109375" style="285" customWidth="1"/>
    <col min="11" max="11" width="13.85546875" style="285" customWidth="1"/>
    <col min="12" max="12" width="15.28515625" style="286" customWidth="1"/>
    <col min="13" max="13" width="15.5703125" style="284" customWidth="1"/>
    <col min="14" max="14" width="9.140625" style="284" customWidth="1"/>
    <col min="15" max="16384" width="9.140625" style="284"/>
  </cols>
  <sheetData>
    <row r="1" spans="1:15" ht="15" customHeight="1" x14ac:dyDescent="0.2"/>
    <row r="2" spans="1:15" ht="15" customHeight="1" x14ac:dyDescent="0.25">
      <c r="C2" s="560"/>
      <c r="D2" s="119" t="s">
        <v>1151</v>
      </c>
      <c r="E2" s="119"/>
      <c r="F2" s="119"/>
      <c r="G2" s="119"/>
      <c r="H2" s="561"/>
      <c r="I2" s="562"/>
      <c r="J2" s="562"/>
      <c r="K2" s="563"/>
      <c r="L2" s="564"/>
      <c r="M2" s="565"/>
      <c r="N2" s="565"/>
    </row>
    <row r="3" spans="1:15" ht="25.5" customHeight="1" x14ac:dyDescent="0.25">
      <c r="C3" s="560"/>
      <c r="D3" s="119" t="s">
        <v>3764</v>
      </c>
      <c r="E3" s="566"/>
      <c r="F3" s="566"/>
      <c r="G3" s="566"/>
      <c r="H3" s="567"/>
      <c r="I3" s="285" t="s">
        <v>3533</v>
      </c>
      <c r="K3" s="563"/>
      <c r="L3" s="568" t="s">
        <v>3017</v>
      </c>
    </row>
    <row r="4" spans="1:15" ht="15" customHeight="1" x14ac:dyDescent="0.25">
      <c r="C4" s="560"/>
      <c r="D4" s="119"/>
      <c r="E4" s="566"/>
      <c r="F4" s="566"/>
      <c r="G4" s="566"/>
      <c r="H4" s="567"/>
      <c r="I4" s="569"/>
      <c r="J4" s="569"/>
      <c r="K4" s="563"/>
      <c r="L4" s="570"/>
      <c r="M4" s="283"/>
      <c r="N4" s="283"/>
    </row>
    <row r="5" spans="1:15" ht="31.5" customHeight="1" x14ac:dyDescent="0.2">
      <c r="C5" s="287" t="s">
        <v>0</v>
      </c>
      <c r="D5" s="287" t="s">
        <v>1</v>
      </c>
      <c r="E5" s="287" t="s">
        <v>3018</v>
      </c>
      <c r="F5" s="287"/>
      <c r="G5" s="287"/>
      <c r="H5" s="571"/>
      <c r="I5" s="572" t="s">
        <v>3019</v>
      </c>
      <c r="J5" s="573">
        <v>0.13</v>
      </c>
      <c r="K5" s="574" t="s">
        <v>2945</v>
      </c>
      <c r="L5" s="575" t="s">
        <v>2977</v>
      </c>
      <c r="M5" s="287" t="s">
        <v>1056</v>
      </c>
      <c r="N5" s="576" t="s">
        <v>1207</v>
      </c>
    </row>
    <row r="6" spans="1:15" ht="15" customHeight="1" x14ac:dyDescent="0.2">
      <c r="B6" s="620">
        <v>45303</v>
      </c>
      <c r="C6" s="218">
        <v>98254</v>
      </c>
      <c r="D6" s="655" t="str">
        <f>VLOOKUP(C6,база!A:F,2,FALSE)</f>
        <v>Кильдиярова Инна Владимировна</v>
      </c>
      <c r="E6" s="656"/>
      <c r="F6" s="656"/>
      <c r="G6" s="656"/>
      <c r="H6" s="656"/>
      <c r="I6" s="550">
        <v>41686</v>
      </c>
      <c r="J6" s="548">
        <v>13326</v>
      </c>
      <c r="K6" s="330">
        <v>102506</v>
      </c>
      <c r="L6" s="551">
        <v>-55012</v>
      </c>
      <c r="M6" s="655" t="s">
        <v>3417</v>
      </c>
      <c r="N6" s="655">
        <f>VLOOKUP(C6,база!A:F,5,FALSE)</f>
        <v>0</v>
      </c>
      <c r="O6" s="340"/>
    </row>
    <row r="7" spans="1:15" ht="15" customHeight="1" x14ac:dyDescent="0.2">
      <c r="B7" s="620">
        <v>45303</v>
      </c>
      <c r="C7" s="218">
        <v>2184</v>
      </c>
      <c r="D7" s="655" t="str">
        <f>VLOOKUP(C7,база!A:F,2,FALSE)</f>
        <v>Воронина Ирина Диевна</v>
      </c>
      <c r="E7" s="341"/>
      <c r="F7" s="341"/>
      <c r="G7" s="341"/>
      <c r="H7" s="341"/>
      <c r="I7" s="547">
        <v>36338</v>
      </c>
      <c r="J7" s="548">
        <v>5430</v>
      </c>
      <c r="K7" s="330">
        <v>41768</v>
      </c>
      <c r="L7" s="549">
        <v>-41768</v>
      </c>
      <c r="M7" s="171" t="s">
        <v>3417</v>
      </c>
      <c r="N7" s="655">
        <f>VLOOKUP(C7,база!A:F,5,FALSE)</f>
        <v>0</v>
      </c>
      <c r="O7" s="340"/>
    </row>
    <row r="8" spans="1:15" ht="15" customHeight="1" x14ac:dyDescent="0.2">
      <c r="B8" s="340">
        <v>45308</v>
      </c>
      <c r="C8" s="218">
        <v>145956</v>
      </c>
      <c r="D8" s="655" t="str">
        <f>VLOOKUP(C8,база!A:F,2,FALSE)</f>
        <v>Газетова Ирина Петровна</v>
      </c>
      <c r="E8" s="341"/>
      <c r="F8" s="341"/>
      <c r="G8" s="341"/>
      <c r="H8" s="341"/>
      <c r="I8" s="547">
        <v>25769</v>
      </c>
      <c r="J8" s="548">
        <v>3850</v>
      </c>
      <c r="K8" s="330">
        <v>29619</v>
      </c>
      <c r="L8" s="549">
        <v>-29619</v>
      </c>
      <c r="M8" s="171" t="s">
        <v>3417</v>
      </c>
      <c r="N8" s="655">
        <f>VLOOKUP(C8,база!A:F,5,FALSE)</f>
        <v>0</v>
      </c>
      <c r="O8" s="340"/>
    </row>
    <row r="9" spans="1:15" x14ac:dyDescent="0.2">
      <c r="B9" s="340">
        <v>45308</v>
      </c>
      <c r="C9" s="218">
        <v>2178</v>
      </c>
      <c r="D9" s="655" t="str">
        <f>VLOOKUP(C9,база!A:F,2,FALSE)</f>
        <v>Рябухина Юлия Александровна</v>
      </c>
      <c r="E9" s="341"/>
      <c r="F9" s="341"/>
      <c r="G9" s="341"/>
      <c r="H9" s="341"/>
      <c r="I9" s="547">
        <v>8242.5</v>
      </c>
      <c r="J9" s="548">
        <v>1232</v>
      </c>
      <c r="K9" s="330">
        <v>9474.5</v>
      </c>
      <c r="L9" s="549">
        <v>-9474.5</v>
      </c>
      <c r="M9" s="171" t="s">
        <v>3417</v>
      </c>
      <c r="N9" s="655">
        <f>VLOOKUP(C9,база!A:F,5,FALSE)</f>
        <v>0</v>
      </c>
      <c r="O9" s="340"/>
    </row>
    <row r="10" spans="1:15" x14ac:dyDescent="0.2">
      <c r="B10" s="340">
        <v>45310</v>
      </c>
      <c r="C10" s="218">
        <v>1146</v>
      </c>
      <c r="D10" s="655" t="str">
        <f>VLOOKUP(C10,база!A:F,2,FALSE)</f>
        <v>Левина Юлия Сергеевна</v>
      </c>
      <c r="E10" s="341"/>
      <c r="F10" s="341"/>
      <c r="G10" s="341"/>
      <c r="H10" s="341"/>
      <c r="I10" s="547">
        <v>31092</v>
      </c>
      <c r="J10" s="548">
        <v>4646</v>
      </c>
      <c r="K10" s="330">
        <v>35738</v>
      </c>
      <c r="L10" s="549">
        <v>-35738</v>
      </c>
      <c r="M10" s="171" t="s">
        <v>3417</v>
      </c>
      <c r="N10" s="655">
        <f>VLOOKUP(C10,база!A:F,5,FALSE)</f>
        <v>0</v>
      </c>
      <c r="O10" s="340"/>
    </row>
    <row r="11" spans="1:15" s="658" customFormat="1" x14ac:dyDescent="0.2">
      <c r="A11" s="657"/>
      <c r="B11" s="340">
        <v>45310</v>
      </c>
      <c r="C11" s="173">
        <v>26857</v>
      </c>
      <c r="D11" s="655" t="str">
        <f>VLOOKUP(C11,база!A:F,2,FALSE)</f>
        <v>Левин Вадим Геннадьевич</v>
      </c>
      <c r="E11" s="341"/>
      <c r="F11" s="341"/>
      <c r="G11" s="341"/>
      <c r="H11" s="341"/>
      <c r="I11" s="547">
        <v>31091</v>
      </c>
      <c r="J11" s="548">
        <v>4646</v>
      </c>
      <c r="K11" s="330">
        <v>35737</v>
      </c>
      <c r="L11" s="549">
        <v>-35737</v>
      </c>
      <c r="M11" s="171" t="s">
        <v>3417</v>
      </c>
      <c r="N11" s="655">
        <f>VLOOKUP(C11,база!A:F,5,FALSE)</f>
        <v>0</v>
      </c>
      <c r="O11" s="620"/>
    </row>
    <row r="12" spans="1:15" s="627" customFormat="1" x14ac:dyDescent="0.2">
      <c r="A12" s="624"/>
      <c r="B12" s="628">
        <v>45315</v>
      </c>
      <c r="C12" s="614">
        <v>11060</v>
      </c>
      <c r="D12" s="615" t="str">
        <f>VLOOKUP(C12,база!A:F,2,FALSE)</f>
        <v>Климковский Михаил Емельянович</v>
      </c>
      <c r="E12" s="616"/>
      <c r="F12" s="616"/>
      <c r="G12" s="616"/>
      <c r="H12" s="616"/>
      <c r="I12" s="619">
        <v>52259</v>
      </c>
      <c r="J12" s="617">
        <v>3633</v>
      </c>
      <c r="K12" s="618">
        <v>27946</v>
      </c>
      <c r="L12" s="626">
        <v>-3633</v>
      </c>
      <c r="M12" s="615" t="s">
        <v>3417</v>
      </c>
      <c r="N12" s="615" t="str">
        <f>VLOOKUP(C12,база!A:F,5,FALSE)</f>
        <v xml:space="preserve">рук </v>
      </c>
      <c r="O12" s="628"/>
    </row>
    <row r="13" spans="1:15" x14ac:dyDescent="0.2">
      <c r="B13" s="340">
        <v>45317</v>
      </c>
      <c r="C13" s="218">
        <v>603</v>
      </c>
      <c r="D13" s="655" t="str">
        <f>VLOOKUP(C13,база!A:F,2,FALSE)</f>
        <v>Рарицкая Надежда Владимировна</v>
      </c>
      <c r="E13" s="341"/>
      <c r="F13" s="341"/>
      <c r="G13" s="341"/>
      <c r="H13" s="341"/>
      <c r="I13" s="547">
        <v>26161</v>
      </c>
      <c r="J13" s="548">
        <v>3909</v>
      </c>
      <c r="K13" s="330">
        <v>30070</v>
      </c>
      <c r="L13" s="549">
        <v>-30070</v>
      </c>
      <c r="M13" s="171" t="s">
        <v>3417</v>
      </c>
      <c r="N13" s="655">
        <f>VLOOKUP(C13,база!A:F,5,FALSE)</f>
        <v>0</v>
      </c>
      <c r="O13" s="340"/>
    </row>
    <row r="14" spans="1:15" x14ac:dyDescent="0.2">
      <c r="B14" s="340">
        <v>45320</v>
      </c>
      <c r="C14" s="218">
        <v>35761</v>
      </c>
      <c r="D14" s="655" t="str">
        <f>VLOOKUP(C14,база!A:F,2,FALSE)</f>
        <v>Чувилин Дмитрий Сергеевич</v>
      </c>
      <c r="E14" s="341"/>
      <c r="F14" s="341"/>
      <c r="G14" s="341"/>
      <c r="H14" s="341"/>
      <c r="I14" s="547">
        <v>35704</v>
      </c>
      <c r="J14" s="548">
        <v>5335</v>
      </c>
      <c r="K14" s="330">
        <v>41039</v>
      </c>
      <c r="L14" s="549">
        <v>-41039</v>
      </c>
      <c r="M14" s="171" t="s">
        <v>3417</v>
      </c>
      <c r="N14" s="655">
        <f>VLOOKUP(C14,база!A:F,5,FALSE)</f>
        <v>0</v>
      </c>
      <c r="O14" s="340"/>
    </row>
    <row r="15" spans="1:15" x14ac:dyDescent="0.2">
      <c r="B15" s="340">
        <v>45320</v>
      </c>
      <c r="C15" s="218">
        <v>276943</v>
      </c>
      <c r="D15" s="655" t="str">
        <f>VLOOKUP(C15,база!A:F,2,FALSE)</f>
        <v>Карпухина Екатерина Андреевна</v>
      </c>
      <c r="E15" s="341"/>
      <c r="F15" s="341"/>
      <c r="G15" s="341"/>
      <c r="H15" s="341"/>
      <c r="I15" s="547">
        <v>20123</v>
      </c>
      <c r="J15" s="548">
        <v>3007</v>
      </c>
      <c r="K15" s="330">
        <v>23130</v>
      </c>
      <c r="L15" s="549">
        <v>-23130</v>
      </c>
      <c r="M15" s="171" t="s">
        <v>3417</v>
      </c>
      <c r="N15" s="655">
        <f>VLOOKUP(C15,база!A:F,5,FALSE)</f>
        <v>0</v>
      </c>
      <c r="O15" s="340"/>
    </row>
    <row r="16" spans="1:15" x14ac:dyDescent="0.2">
      <c r="B16" s="340">
        <v>45322</v>
      </c>
      <c r="C16" s="592">
        <v>25514</v>
      </c>
      <c r="D16" s="655" t="str">
        <f>VLOOKUP(C16,база!A:F,2,FALSE)</f>
        <v>Горин Алексей Васильевич</v>
      </c>
      <c r="E16" s="341"/>
      <c r="F16" s="341"/>
      <c r="G16" s="341"/>
      <c r="H16" s="341"/>
      <c r="I16" s="547">
        <v>8704</v>
      </c>
      <c r="J16" s="548">
        <v>1301</v>
      </c>
      <c r="K16" s="644">
        <v>10005</v>
      </c>
      <c r="L16" s="549">
        <v>-10005</v>
      </c>
      <c r="M16" s="171" t="s">
        <v>3417</v>
      </c>
      <c r="N16" s="655">
        <f>VLOOKUP(C16,база!A:F,5,FALSE)</f>
        <v>0</v>
      </c>
      <c r="O16" s="340"/>
    </row>
    <row r="17" spans="1:14" x14ac:dyDescent="0.2">
      <c r="C17" s="341"/>
      <c r="D17" s="577" t="s">
        <v>1058</v>
      </c>
      <c r="E17" s="231"/>
      <c r="F17" s="231"/>
      <c r="G17" s="231"/>
      <c r="H17" s="231"/>
      <c r="I17" s="578">
        <f>SUM(I6:I16)</f>
        <v>317169.5</v>
      </c>
      <c r="J17" s="578">
        <f t="shared" ref="J17:K17" si="0">SUM(J6:J16)</f>
        <v>50315</v>
      </c>
      <c r="K17" s="578">
        <f t="shared" si="0"/>
        <v>387032.5</v>
      </c>
      <c r="L17" s="578">
        <f>SUM(L6:L16)</f>
        <v>-315225.5</v>
      </c>
    </row>
    <row r="18" spans="1:14" s="283" customFormat="1" x14ac:dyDescent="0.2">
      <c r="A18" s="579"/>
      <c r="D18" s="565"/>
      <c r="I18" s="569"/>
      <c r="J18" s="569"/>
      <c r="K18" s="569"/>
      <c r="L18" s="580"/>
    </row>
    <row r="19" spans="1:14" s="283" customFormat="1" ht="16.5" customHeight="1" x14ac:dyDescent="0.25">
      <c r="A19" s="579"/>
      <c r="D19" s="565"/>
      <c r="I19" s="569"/>
      <c r="J19" s="569"/>
      <c r="K19" s="694" t="s">
        <v>3020</v>
      </c>
      <c r="L19" s="695"/>
    </row>
    <row r="20" spans="1:14" s="283" customFormat="1" ht="17.25" customHeight="1" x14ac:dyDescent="0.2">
      <c r="A20" s="579"/>
      <c r="D20" s="565"/>
      <c r="I20" s="569"/>
      <c r="J20" s="569"/>
      <c r="K20" s="574" t="s">
        <v>3027</v>
      </c>
      <c r="L20" s="581" t="s">
        <v>3028</v>
      </c>
    </row>
    <row r="21" spans="1:14" x14ac:dyDescent="0.2">
      <c r="C21" s="218">
        <v>2024</v>
      </c>
      <c r="D21" s="655" t="str">
        <f>VLOOKUP(C21,база!A:F,2,FALSE)</f>
        <v>Филиппов Владимир Петрович</v>
      </c>
      <c r="E21" s="332"/>
      <c r="F21" s="130"/>
      <c r="G21" s="303"/>
      <c r="H21" s="341"/>
      <c r="I21" s="282"/>
      <c r="J21" s="282"/>
      <c r="K21" s="621"/>
      <c r="L21" s="623">
        <v>-1000</v>
      </c>
      <c r="M21" s="171" t="s">
        <v>3417</v>
      </c>
      <c r="N21" s="655">
        <f>VLOOKUP(C21,база!A:F,5,FALSE)</f>
        <v>0</v>
      </c>
    </row>
    <row r="22" spans="1:14" x14ac:dyDescent="0.2">
      <c r="C22" s="218">
        <v>45588</v>
      </c>
      <c r="D22" s="655" t="str">
        <f>VLOOKUP(C22,база!A:F,2,FALSE)</f>
        <v>Давыдова Лилия Газимовна</v>
      </c>
      <c r="E22" s="332"/>
      <c r="F22" s="130"/>
      <c r="G22" s="303"/>
      <c r="H22" s="341"/>
      <c r="I22" s="282"/>
      <c r="J22" s="282"/>
      <c r="K22" s="621"/>
      <c r="L22" s="622">
        <v>-40.5</v>
      </c>
      <c r="M22" s="171" t="s">
        <v>3417</v>
      </c>
      <c r="N22" s="655">
        <f>VLOOKUP(C22,база!A:F,5,FALSE)</f>
        <v>0</v>
      </c>
    </row>
    <row r="23" spans="1:14" x14ac:dyDescent="0.2">
      <c r="C23" s="592">
        <v>175635</v>
      </c>
      <c r="D23" s="655" t="str">
        <f>VLOOKUP(C23,база!A:F,2,FALSE)</f>
        <v>Бердин Владислав Владимирович</v>
      </c>
      <c r="E23" s="332"/>
      <c r="F23" s="130"/>
      <c r="G23" s="303"/>
      <c r="H23" s="341"/>
      <c r="I23" s="282"/>
      <c r="J23" s="282"/>
      <c r="K23" s="552"/>
      <c r="L23" s="282">
        <v>-12348</v>
      </c>
      <c r="M23" s="171" t="s">
        <v>3417</v>
      </c>
      <c r="N23" s="655">
        <f>VLOOKUP(C23,база!A:F,5,FALSE)</f>
        <v>0</v>
      </c>
    </row>
    <row r="24" spans="1:14" s="627" customFormat="1" x14ac:dyDescent="0.2">
      <c r="A24" s="624"/>
      <c r="B24" s="625"/>
      <c r="C24" s="284"/>
      <c r="D24" s="284"/>
      <c r="E24" s="284"/>
      <c r="F24" s="284"/>
      <c r="G24" s="284"/>
      <c r="H24" s="284"/>
      <c r="I24" s="285"/>
      <c r="J24" s="285"/>
      <c r="K24" s="582">
        <f>SUM(K21:K23)</f>
        <v>0</v>
      </c>
      <c r="L24" s="582">
        <f>SUM(L21:L23)</f>
        <v>-13388.5</v>
      </c>
      <c r="M24" s="284"/>
      <c r="N24" s="284"/>
    </row>
    <row r="25" spans="1:14" x14ac:dyDescent="0.2">
      <c r="L25" s="285"/>
    </row>
    <row r="26" spans="1:14" x14ac:dyDescent="0.2">
      <c r="J26" s="583" t="s">
        <v>3191</v>
      </c>
      <c r="K26" s="583">
        <f>K24</f>
        <v>0</v>
      </c>
      <c r="L26" s="582">
        <f>L17+L24</f>
        <v>-328614</v>
      </c>
    </row>
    <row r="34" spans="12:12" x14ac:dyDescent="0.2">
      <c r="L34" s="285"/>
    </row>
    <row r="2381" spans="3:7" x14ac:dyDescent="0.2">
      <c r="C2381" s="584"/>
      <c r="D2381" s="341"/>
      <c r="E2381" s="341"/>
      <c r="F2381" s="341"/>
      <c r="G2381" s="341"/>
    </row>
    <row r="2382" spans="3:7" x14ac:dyDescent="0.2">
      <c r="C2382" s="584"/>
      <c r="D2382" s="341"/>
      <c r="E2382" s="341"/>
      <c r="F2382" s="341"/>
      <c r="G2382" s="341"/>
    </row>
    <row r="2383" spans="3:7" x14ac:dyDescent="0.2">
      <c r="C2383" s="584"/>
      <c r="D2383" s="341"/>
      <c r="E2383" s="341"/>
      <c r="F2383" s="341"/>
      <c r="G2383" s="341"/>
    </row>
    <row r="2384" spans="3:7" x14ac:dyDescent="0.2">
      <c r="C2384" s="584"/>
      <c r="D2384" s="341"/>
      <c r="E2384" s="341"/>
      <c r="F2384" s="341"/>
      <c r="G2384" s="341"/>
    </row>
    <row r="2385" spans="3:7" x14ac:dyDescent="0.2">
      <c r="C2385" s="584"/>
      <c r="D2385" s="341"/>
      <c r="E2385" s="341"/>
      <c r="F2385" s="341"/>
      <c r="G2385" s="341"/>
    </row>
    <row r="2386" spans="3:7" x14ac:dyDescent="0.2">
      <c r="C2386" s="584"/>
      <c r="D2386" s="341"/>
      <c r="E2386" s="341"/>
      <c r="F2386" s="341"/>
      <c r="G2386" s="341"/>
    </row>
    <row r="2387" spans="3:7" x14ac:dyDescent="0.2">
      <c r="C2387" s="584"/>
      <c r="D2387" s="341"/>
      <c r="E2387" s="341"/>
      <c r="F2387" s="341"/>
      <c r="G2387" s="341"/>
    </row>
    <row r="2388" spans="3:7" x14ac:dyDescent="0.2">
      <c r="C2388" s="584"/>
      <c r="D2388" s="341"/>
      <c r="E2388" s="341"/>
      <c r="F2388" s="341"/>
      <c r="G2388" s="341"/>
    </row>
    <row r="2389" spans="3:7" x14ac:dyDescent="0.2">
      <c r="C2389" s="584"/>
      <c r="D2389" s="341"/>
      <c r="E2389" s="341"/>
      <c r="F2389" s="341"/>
      <c r="G2389" s="341"/>
    </row>
    <row r="2390" spans="3:7" x14ac:dyDescent="0.2">
      <c r="C2390" s="584"/>
      <c r="D2390" s="341"/>
      <c r="E2390" s="341"/>
      <c r="F2390" s="341"/>
      <c r="G2390" s="341"/>
    </row>
  </sheetData>
  <sortState ref="C21:L23">
    <sortCondition ref="C21"/>
  </sortState>
  <mergeCells count="1">
    <mergeCell ref="K19:L19"/>
  </mergeCells>
  <pageMargins left="0" right="0" top="0.74803149606299213" bottom="0.74803149606299213" header="0.31496062992125984" footer="0.31496062992125984"/>
  <pageSetup paperSize="9" scale="8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FF0000"/>
    <pageSetUpPr fitToPage="1"/>
  </sheetPr>
  <dimension ref="A1:K164"/>
  <sheetViews>
    <sheetView zoomScale="70" zoomScaleNormal="70" workbookViewId="0">
      <pane xSplit="1" ySplit="3" topLeftCell="B4" activePane="bottomRight" state="frozen"/>
      <selection activeCell="B1003" sqref="B1:B1048576"/>
      <selection pane="topRight" activeCell="B1003" sqref="B1:B1048576"/>
      <selection pane="bottomLeft" activeCell="B1003" sqref="B1:B1048576"/>
      <selection pane="bottomRight" activeCell="E3" sqref="E3"/>
    </sheetView>
  </sheetViews>
  <sheetFormatPr defaultRowHeight="15" x14ac:dyDescent="0.25"/>
  <cols>
    <col min="3" max="3" width="12.85546875" customWidth="1"/>
    <col min="4" max="4" width="33.28515625" style="170" customWidth="1"/>
    <col min="5" max="5" width="47.5703125" style="63" customWidth="1"/>
    <col min="6" max="6" width="19.42578125" customWidth="1"/>
    <col min="8" max="8" width="14.5703125" customWidth="1"/>
    <col min="9" max="9" width="16.28515625" customWidth="1"/>
    <col min="11" max="11" width="11.85546875" customWidth="1"/>
  </cols>
  <sheetData>
    <row r="1" spans="1:9" x14ac:dyDescent="0.25">
      <c r="A1" s="34" t="s">
        <v>3765</v>
      </c>
      <c r="B1" s="36"/>
      <c r="C1" s="37"/>
      <c r="D1" s="169"/>
      <c r="E1" s="61"/>
      <c r="F1" s="35"/>
      <c r="G1" s="33"/>
    </row>
    <row r="2" spans="1:9" ht="15.75" thickBot="1" x14ac:dyDescent="0.3">
      <c r="A2" s="33"/>
      <c r="B2" s="33"/>
      <c r="C2" s="33"/>
      <c r="D2" s="40"/>
      <c r="E2" s="60"/>
      <c r="F2" s="35"/>
      <c r="G2" s="33"/>
    </row>
    <row r="3" spans="1:9" ht="30" customHeight="1" x14ac:dyDescent="0.25">
      <c r="A3" s="33"/>
      <c r="B3" s="220" t="s">
        <v>1059</v>
      </c>
      <c r="C3" s="221" t="s">
        <v>1054</v>
      </c>
      <c r="D3" s="222" t="s">
        <v>1</v>
      </c>
      <c r="E3" s="223" t="s">
        <v>1086</v>
      </c>
      <c r="F3" s="224" t="s">
        <v>1087</v>
      </c>
      <c r="G3" s="225" t="s">
        <v>1088</v>
      </c>
      <c r="H3" s="225" t="s">
        <v>3408</v>
      </c>
      <c r="I3" s="225" t="s">
        <v>3409</v>
      </c>
    </row>
    <row r="4" spans="1:9" ht="40.5" customHeight="1" x14ac:dyDescent="0.25">
      <c r="A4" s="33"/>
      <c r="B4" s="46">
        <v>1</v>
      </c>
      <c r="C4" s="54">
        <v>2582</v>
      </c>
      <c r="D4" s="181" t="str">
        <f>VLOOKUP(C4,база!A:F,2,FALSE)</f>
        <v>Тумба Олег Макариевич</v>
      </c>
      <c r="E4" s="182" t="s">
        <v>3671</v>
      </c>
      <c r="F4" s="45">
        <v>0</v>
      </c>
      <c r="G4" s="57">
        <f>VLOOKUP(C4,база!A:F,5,FALSE)</f>
        <v>0</v>
      </c>
      <c r="H4" s="187"/>
      <c r="I4" s="338"/>
    </row>
    <row r="5" spans="1:9" ht="35.25" customHeight="1" x14ac:dyDescent="0.25">
      <c r="A5" s="33"/>
      <c r="B5" s="46">
        <v>2</v>
      </c>
      <c r="C5" s="54">
        <v>2411</v>
      </c>
      <c r="D5" s="181" t="str">
        <f>VLOOKUP(C5,база!A:F,2,FALSE)</f>
        <v>Резчикова Евгения Ивановна</v>
      </c>
      <c r="E5" s="182" t="s">
        <v>3670</v>
      </c>
      <c r="F5" s="45">
        <v>0</v>
      </c>
      <c r="G5" s="57">
        <f>VLOOKUP(C5,база!A:F,5,FALSE)</f>
        <v>0</v>
      </c>
      <c r="H5" s="187"/>
      <c r="I5" s="338"/>
    </row>
    <row r="6" spans="1:9" ht="36" customHeight="1" x14ac:dyDescent="0.25">
      <c r="A6" s="33"/>
      <c r="B6" s="46">
        <v>3</v>
      </c>
      <c r="C6" s="54">
        <v>2070</v>
      </c>
      <c r="D6" s="181" t="str">
        <f>VLOOKUP(C6,база!A:F,2,FALSE)</f>
        <v>Ельчукова Елена Евгеньевна</v>
      </c>
      <c r="E6" s="182" t="s">
        <v>3560</v>
      </c>
      <c r="F6" s="45">
        <v>-30000</v>
      </c>
      <c r="G6" s="57">
        <f>VLOOKUP(C6,база!A:F,5,FALSE)</f>
        <v>0</v>
      </c>
      <c r="H6" s="187"/>
      <c r="I6" s="338"/>
    </row>
    <row r="7" spans="1:9" ht="33" customHeight="1" x14ac:dyDescent="0.25">
      <c r="A7" s="33"/>
      <c r="B7" s="46">
        <v>4</v>
      </c>
      <c r="C7" s="54">
        <v>1148</v>
      </c>
      <c r="D7" s="181" t="str">
        <f>VLOOKUP(C7,база!A:F,2,FALSE)</f>
        <v>Зайкина Валерия Александровна</v>
      </c>
      <c r="E7" s="182" t="s">
        <v>3560</v>
      </c>
      <c r="F7" s="45">
        <v>0</v>
      </c>
      <c r="G7" s="57">
        <f>VLOOKUP(C7,база!A:F,5,FALSE)</f>
        <v>0</v>
      </c>
      <c r="H7" s="187"/>
      <c r="I7" s="338"/>
    </row>
    <row r="8" spans="1:9" s="229" customFormat="1" ht="33.75" customHeight="1" x14ac:dyDescent="0.25">
      <c r="A8" s="73"/>
      <c r="B8" s="46">
        <v>5</v>
      </c>
      <c r="C8" s="54">
        <v>41429</v>
      </c>
      <c r="D8" s="181" t="str">
        <f>VLOOKUP(C8,база!A:F,2,FALSE)</f>
        <v>Федышина Любовь Игнатьевна</v>
      </c>
      <c r="E8" s="182" t="s">
        <v>3560</v>
      </c>
      <c r="F8" s="45">
        <v>0</v>
      </c>
      <c r="G8" s="57">
        <f>VLOOKUP(C8,база!A:F,5,FALSE)</f>
        <v>0</v>
      </c>
      <c r="H8" s="187"/>
      <c r="I8" s="338"/>
    </row>
    <row r="9" spans="1:9" s="229" customFormat="1" ht="33.75" customHeight="1" x14ac:dyDescent="0.25">
      <c r="A9" s="73"/>
      <c r="B9" s="46">
        <v>6</v>
      </c>
      <c r="C9" s="54">
        <v>1134</v>
      </c>
      <c r="D9" s="181" t="str">
        <f>VLOOKUP(C9,база!A:F,2,FALSE)</f>
        <v>Торопчинова Кира Александровна</v>
      </c>
      <c r="E9" s="182" t="s">
        <v>3561</v>
      </c>
      <c r="F9" s="45">
        <v>0</v>
      </c>
      <c r="G9" s="47">
        <f>VLOOKUP(C9,база!A:F,5,FALSE)</f>
        <v>0</v>
      </c>
      <c r="H9" s="187"/>
      <c r="I9" s="338"/>
    </row>
    <row r="10" spans="1:9" ht="33" customHeight="1" x14ac:dyDescent="0.25">
      <c r="A10" s="33"/>
      <c r="B10" s="46">
        <v>7</v>
      </c>
      <c r="C10" s="54">
        <v>208068</v>
      </c>
      <c r="D10" s="181" t="str">
        <f>VLOOKUP(C10,база!A:F,2,FALSE)</f>
        <v>Бессмертных Евгения Сергеевна</v>
      </c>
      <c r="E10" s="343" t="s">
        <v>3673</v>
      </c>
      <c r="F10" s="45">
        <v>0</v>
      </c>
      <c r="G10" s="57">
        <f>VLOOKUP(C10,база!A:F,5,FALSE)</f>
        <v>0</v>
      </c>
      <c r="H10" s="187"/>
      <c r="I10" s="338"/>
    </row>
    <row r="11" spans="1:9" s="229" customFormat="1" ht="33" customHeight="1" x14ac:dyDescent="0.25">
      <c r="A11" s="73"/>
      <c r="B11" s="46">
        <v>8</v>
      </c>
      <c r="C11" s="54">
        <v>2625</v>
      </c>
      <c r="D11" s="181" t="str">
        <f>VLOOKUP(C11,база!A:F,2,FALSE)</f>
        <v>Шурупова Галия Расимовна</v>
      </c>
      <c r="E11" s="343" t="s">
        <v>3673</v>
      </c>
      <c r="F11" s="45">
        <v>0.27</v>
      </c>
      <c r="G11" s="57">
        <f>VLOOKUP(C11,база!A:F,5,FALSE)</f>
        <v>0</v>
      </c>
      <c r="H11" s="187"/>
      <c r="I11" s="337"/>
    </row>
    <row r="12" spans="1:9" s="229" customFormat="1" ht="33" customHeight="1" x14ac:dyDescent="0.25">
      <c r="A12" s="73"/>
      <c r="B12" s="183">
        <v>9</v>
      </c>
      <c r="C12" s="46">
        <v>2252</v>
      </c>
      <c r="D12" s="90" t="str">
        <f>VLOOKUP(C12,база!A:F,2,FALSE)</f>
        <v>Сазанов Алексей Сергеевич</v>
      </c>
      <c r="E12" s="182" t="s">
        <v>3560</v>
      </c>
      <c r="F12" s="45">
        <v>0</v>
      </c>
      <c r="G12" s="57">
        <f>VLOOKUP(C12,база!A:F,5,FALSE)</f>
        <v>0</v>
      </c>
      <c r="H12" s="187"/>
      <c r="I12" s="338"/>
    </row>
    <row r="13" spans="1:9" s="229" customFormat="1" ht="33" customHeight="1" x14ac:dyDescent="0.25">
      <c r="A13" s="73"/>
      <c r="B13" s="183">
        <v>10</v>
      </c>
      <c r="C13" s="54">
        <v>1959</v>
      </c>
      <c r="D13" s="181" t="str">
        <f>VLOOKUP(C13,база!A:F,2,FALSE)</f>
        <v>Муха Наталья Геннадьевна</v>
      </c>
      <c r="E13" s="182" t="s">
        <v>3560</v>
      </c>
      <c r="F13" s="45">
        <v>0</v>
      </c>
      <c r="G13" s="47">
        <f>VLOOKUP(C13,база!A:F,5,FALSE)</f>
        <v>0</v>
      </c>
      <c r="H13" s="187"/>
      <c r="I13" s="338"/>
    </row>
    <row r="14" spans="1:9" s="229" customFormat="1" ht="33" customHeight="1" x14ac:dyDescent="0.25">
      <c r="A14" s="73"/>
      <c r="B14" s="183">
        <v>11</v>
      </c>
      <c r="C14" s="54">
        <v>41429</v>
      </c>
      <c r="D14" s="181" t="str">
        <f>VLOOKUP(C14,база!A:F,2,FALSE)</f>
        <v>Федышина Любовь Игнатьевна</v>
      </c>
      <c r="E14" s="182" t="s">
        <v>3560</v>
      </c>
      <c r="F14" s="45">
        <v>-4871.4399999999996</v>
      </c>
      <c r="G14" s="57">
        <f>VLOOKUP(C14,база!A:F,5,FALSE)</f>
        <v>0</v>
      </c>
      <c r="H14" s="187"/>
      <c r="I14" s="338"/>
    </row>
    <row r="15" spans="1:9" s="229" customFormat="1" ht="33" customHeight="1" x14ac:dyDescent="0.25">
      <c r="A15" s="73"/>
      <c r="B15" s="183">
        <v>12</v>
      </c>
      <c r="C15" s="54">
        <v>2944</v>
      </c>
      <c r="D15" s="181" t="str">
        <f>VLOOKUP(C15,база!A:F,2,FALSE)</f>
        <v>Биньковская Наталья Вавильевна</v>
      </c>
      <c r="E15" s="182" t="s">
        <v>3561</v>
      </c>
      <c r="F15" s="45">
        <v>0</v>
      </c>
      <c r="G15" s="47">
        <f>VLOOKUP(C15,база!A:F,5,FALSE)</f>
        <v>0</v>
      </c>
      <c r="H15" s="342"/>
      <c r="I15" s="338"/>
    </row>
    <row r="16" spans="1:9" s="229" customFormat="1" ht="33" customHeight="1" x14ac:dyDescent="0.25">
      <c r="A16" s="73"/>
      <c r="B16" s="183">
        <v>13</v>
      </c>
      <c r="C16" s="54">
        <v>2368</v>
      </c>
      <c r="D16" s="181" t="str">
        <f>VLOOKUP(C16,база!A:F,2,FALSE)</f>
        <v>Правоторова Екатерина Юрьевна</v>
      </c>
      <c r="E16" s="182" t="s">
        <v>3686</v>
      </c>
      <c r="F16" s="45">
        <v>0</v>
      </c>
      <c r="G16" s="47">
        <f>VLOOKUP(C16,база!A:F,5,FALSE)</f>
        <v>0</v>
      </c>
      <c r="H16" s="342"/>
      <c r="I16" s="338"/>
    </row>
    <row r="17" spans="1:11" s="229" customFormat="1" ht="33" customHeight="1" x14ac:dyDescent="0.3">
      <c r="A17" s="73"/>
      <c r="B17" s="183">
        <v>14</v>
      </c>
      <c r="C17" s="54">
        <v>2630</v>
      </c>
      <c r="D17" s="181" t="str">
        <f>VLOOKUP(C17,база!A:F,2,FALSE)</f>
        <v>Покровская Александра Васильевна</v>
      </c>
      <c r="E17" s="182" t="s">
        <v>3687</v>
      </c>
      <c r="F17" s="45">
        <v>0</v>
      </c>
      <c r="G17" s="47">
        <f>VLOOKUP(C17,база!A:F,5,FALSE)</f>
        <v>0</v>
      </c>
      <c r="H17" s="610"/>
      <c r="I17" s="45"/>
    </row>
    <row r="18" spans="1:11" s="229" customFormat="1" ht="33" customHeight="1" x14ac:dyDescent="0.25">
      <c r="A18" s="73"/>
      <c r="B18" s="183">
        <v>15</v>
      </c>
      <c r="C18" s="54">
        <v>2630</v>
      </c>
      <c r="D18" s="181" t="str">
        <f>VLOOKUP(C18,база!A:F,2,FALSE)</f>
        <v>Покровская Александра Васильевна</v>
      </c>
      <c r="E18" s="182" t="s">
        <v>3687</v>
      </c>
      <c r="F18" s="45">
        <v>0</v>
      </c>
      <c r="G18" s="47">
        <f>VLOOKUP(C18,база!A:F,5,FALSE)</f>
        <v>0</v>
      </c>
      <c r="H18" s="342"/>
      <c r="I18" s="338"/>
      <c r="K18" s="230"/>
    </row>
    <row r="19" spans="1:11" s="229" customFormat="1" ht="33" customHeight="1" x14ac:dyDescent="0.25">
      <c r="A19" s="73"/>
      <c r="B19" s="183"/>
      <c r="C19" s="184"/>
      <c r="D19" s="184"/>
      <c r="E19" s="185"/>
      <c r="F19" s="45">
        <f>SUM(F4:F18)</f>
        <v>-34871.17</v>
      </c>
      <c r="G19" s="186"/>
      <c r="H19" s="134"/>
      <c r="I19" s="45"/>
    </row>
    <row r="20" spans="1:11" s="229" customFormat="1" ht="33" customHeight="1" x14ac:dyDescent="0.25">
      <c r="A20" s="73"/>
      <c r="B20" s="49" t="s">
        <v>173</v>
      </c>
      <c r="C20" s="49"/>
      <c r="D20" s="49"/>
      <c r="E20" s="49" t="s">
        <v>1057</v>
      </c>
      <c r="F20" s="135"/>
      <c r="G20" s="179"/>
    </row>
    <row r="21" spans="1:11" s="229" customFormat="1" ht="37.5" customHeight="1" x14ac:dyDescent="0.25">
      <c r="A21" s="73"/>
      <c r="B21" s="33"/>
      <c r="C21" s="33"/>
      <c r="D21" s="40"/>
      <c r="E21" s="62"/>
      <c r="F21" s="33"/>
      <c r="G21" s="33"/>
    </row>
    <row r="22" spans="1:11" s="229" customFormat="1" ht="37.5" customHeight="1" x14ac:dyDescent="0.25">
      <c r="A22" s="73"/>
      <c r="B22" s="33"/>
      <c r="C22" s="33"/>
      <c r="D22" s="40"/>
      <c r="E22" s="60"/>
      <c r="F22" s="33"/>
      <c r="G22" s="33"/>
    </row>
    <row r="23" spans="1:11" s="229" customFormat="1" ht="37.5" customHeight="1" x14ac:dyDescent="0.25">
      <c r="A23" s="73"/>
      <c r="B23" s="33"/>
      <c r="C23" s="33"/>
      <c r="D23" s="40"/>
      <c r="E23" s="60"/>
      <c r="F23" s="33"/>
      <c r="G23" s="33"/>
    </row>
    <row r="24" spans="1:11" s="229" customFormat="1" ht="37.5" customHeight="1" x14ac:dyDescent="0.25">
      <c r="A24" s="73"/>
      <c r="B24" s="33"/>
      <c r="C24" s="33"/>
      <c r="D24" s="40"/>
      <c r="E24" s="60"/>
      <c r="F24" s="33"/>
      <c r="G24" s="33"/>
    </row>
    <row r="25" spans="1:11" s="229" customFormat="1" ht="37.5" customHeight="1" x14ac:dyDescent="0.25">
      <c r="A25" s="73"/>
      <c r="B25" s="33"/>
      <c r="C25" s="33"/>
      <c r="D25" s="40"/>
      <c r="E25" s="60"/>
      <c r="F25" s="33"/>
      <c r="G25" s="33"/>
    </row>
    <row r="26" spans="1:11" s="229" customFormat="1" ht="37.5" customHeight="1" x14ac:dyDescent="0.25">
      <c r="A26" s="73"/>
      <c r="B26" s="33"/>
      <c r="C26" s="33"/>
      <c r="D26" s="40"/>
      <c r="E26" s="60"/>
      <c r="F26" s="33"/>
      <c r="G26" s="33"/>
      <c r="H26" s="219"/>
      <c r="I26" s="219"/>
    </row>
    <row r="27" spans="1:11" s="229" customFormat="1" ht="37.5" customHeight="1" x14ac:dyDescent="0.25">
      <c r="A27" s="73"/>
      <c r="B27" s="33"/>
      <c r="C27" s="33"/>
      <c r="D27" s="40"/>
      <c r="E27" s="60"/>
      <c r="F27" s="33"/>
      <c r="G27" s="33"/>
    </row>
    <row r="28" spans="1:11" s="219" customFormat="1" ht="37.5" customHeight="1" x14ac:dyDescent="0.25">
      <c r="A28" s="73"/>
      <c r="B28" s="33"/>
      <c r="C28" s="33"/>
      <c r="D28" s="40"/>
      <c r="E28" s="60"/>
      <c r="F28" s="33"/>
      <c r="G28" s="33"/>
      <c r="H28" s="229"/>
      <c r="I28" s="229"/>
    </row>
    <row r="29" spans="1:11" s="229" customFormat="1" ht="37.5" customHeight="1" x14ac:dyDescent="0.25">
      <c r="A29" s="73"/>
      <c r="B29" s="33"/>
      <c r="C29" s="33"/>
      <c r="D29" s="40"/>
      <c r="E29" s="60"/>
      <c r="F29" s="33"/>
      <c r="G29" s="33"/>
    </row>
    <row r="30" spans="1:11" s="229" customFormat="1" ht="37.5" customHeight="1" x14ac:dyDescent="0.25">
      <c r="A30" s="73"/>
      <c r="B30"/>
      <c r="C30"/>
      <c r="D30" s="170"/>
      <c r="E30" s="63"/>
      <c r="F30"/>
      <c r="G30"/>
    </row>
    <row r="31" spans="1:11" s="229" customFormat="1" ht="37.5" customHeight="1" x14ac:dyDescent="0.25">
      <c r="A31" s="73"/>
      <c r="B31"/>
      <c r="C31"/>
      <c r="D31" s="170"/>
      <c r="E31" s="63"/>
      <c r="F31"/>
      <c r="G31"/>
    </row>
    <row r="32" spans="1:11" s="229" customFormat="1" ht="37.5" customHeight="1" x14ac:dyDescent="0.25">
      <c r="A32" s="73"/>
      <c r="B32"/>
      <c r="C32"/>
      <c r="D32" s="170"/>
      <c r="E32" s="63"/>
      <c r="F32"/>
      <c r="G32"/>
    </row>
    <row r="33" spans="1:7" s="229" customFormat="1" ht="37.5" customHeight="1" x14ac:dyDescent="0.25">
      <c r="A33" s="73"/>
      <c r="B33"/>
      <c r="C33"/>
      <c r="D33" s="170"/>
      <c r="E33" s="63"/>
      <c r="F33"/>
      <c r="G33"/>
    </row>
    <row r="34" spans="1:7" s="229" customFormat="1" ht="37.5" customHeight="1" x14ac:dyDescent="0.25">
      <c r="A34" s="73"/>
      <c r="B34"/>
      <c r="C34"/>
      <c r="D34" s="170"/>
      <c r="E34" s="63"/>
      <c r="F34"/>
      <c r="G34"/>
    </row>
    <row r="35" spans="1:7" s="229" customFormat="1" ht="37.5" customHeight="1" x14ac:dyDescent="0.25">
      <c r="A35" s="73"/>
      <c r="B35"/>
      <c r="C35"/>
      <c r="D35" s="170"/>
      <c r="E35" s="63"/>
      <c r="F35"/>
      <c r="G35"/>
    </row>
    <row r="36" spans="1:7" s="229" customFormat="1" ht="37.5" customHeight="1" x14ac:dyDescent="0.25">
      <c r="A36" s="73"/>
      <c r="B36"/>
      <c r="C36"/>
      <c r="D36" s="170"/>
      <c r="E36" s="63"/>
      <c r="F36"/>
      <c r="G36"/>
    </row>
    <row r="37" spans="1:7" s="229" customFormat="1" ht="37.5" customHeight="1" x14ac:dyDescent="0.25">
      <c r="A37" s="73"/>
      <c r="B37"/>
      <c r="C37"/>
      <c r="D37" s="170"/>
      <c r="E37" s="63"/>
      <c r="F37"/>
      <c r="G37"/>
    </row>
    <row r="38" spans="1:7" s="229" customFormat="1" ht="37.5" customHeight="1" x14ac:dyDescent="0.25">
      <c r="A38" s="73"/>
      <c r="B38"/>
      <c r="C38"/>
      <c r="D38" s="170"/>
      <c r="E38" s="63"/>
      <c r="F38"/>
      <c r="G38"/>
    </row>
    <row r="39" spans="1:7" s="229" customFormat="1" ht="37.5" customHeight="1" x14ac:dyDescent="0.25">
      <c r="A39" s="73"/>
      <c r="B39"/>
      <c r="C39"/>
      <c r="D39" s="170"/>
      <c r="E39" s="63"/>
      <c r="F39"/>
      <c r="G39"/>
    </row>
    <row r="40" spans="1:7" s="229" customFormat="1" ht="37.5" customHeight="1" x14ac:dyDescent="0.25">
      <c r="A40" s="73"/>
      <c r="B40"/>
      <c r="C40"/>
      <c r="D40" s="170"/>
      <c r="E40" s="63"/>
      <c r="F40"/>
      <c r="G40"/>
    </row>
    <row r="41" spans="1:7" s="229" customFormat="1" ht="37.5" customHeight="1" x14ac:dyDescent="0.25">
      <c r="A41" s="73"/>
      <c r="B41"/>
      <c r="C41"/>
      <c r="D41" s="170"/>
      <c r="E41" s="63"/>
      <c r="F41"/>
      <c r="G41"/>
    </row>
    <row r="42" spans="1:7" s="229" customFormat="1" ht="37.5" customHeight="1" x14ac:dyDescent="0.25">
      <c r="A42" s="73"/>
      <c r="B42"/>
      <c r="C42"/>
      <c r="D42" s="170"/>
      <c r="E42" s="63"/>
      <c r="F42"/>
      <c r="G42"/>
    </row>
    <row r="43" spans="1:7" s="229" customFormat="1" ht="37.5" customHeight="1" x14ac:dyDescent="0.25">
      <c r="A43" s="73"/>
      <c r="B43"/>
      <c r="C43"/>
      <c r="D43" s="170"/>
      <c r="E43" s="63"/>
      <c r="F43"/>
      <c r="G43"/>
    </row>
    <row r="44" spans="1:7" s="229" customFormat="1" ht="37.5" customHeight="1" x14ac:dyDescent="0.25">
      <c r="A44" s="73"/>
      <c r="B44"/>
      <c r="C44"/>
      <c r="D44" s="170"/>
      <c r="E44" s="63"/>
      <c r="F44"/>
      <c r="G44"/>
    </row>
    <row r="45" spans="1:7" s="229" customFormat="1" ht="37.5" customHeight="1" x14ac:dyDescent="0.25">
      <c r="A45" s="73"/>
      <c r="B45"/>
      <c r="C45"/>
      <c r="D45" s="170"/>
      <c r="E45" s="63"/>
      <c r="F45"/>
      <c r="G45"/>
    </row>
    <row r="46" spans="1:7" s="229" customFormat="1" ht="37.5" customHeight="1" x14ac:dyDescent="0.25">
      <c r="A46" s="73"/>
      <c r="B46"/>
      <c r="C46"/>
      <c r="D46" s="170"/>
      <c r="E46" s="63"/>
      <c r="F46"/>
      <c r="G46"/>
    </row>
    <row r="47" spans="1:7" s="229" customFormat="1" ht="37.5" customHeight="1" x14ac:dyDescent="0.25">
      <c r="A47" s="73"/>
      <c r="B47"/>
      <c r="C47"/>
      <c r="D47" s="170"/>
      <c r="E47" s="63"/>
      <c r="F47"/>
      <c r="G47"/>
    </row>
    <row r="48" spans="1:7" s="229" customFormat="1" ht="37.5" customHeight="1" x14ac:dyDescent="0.25">
      <c r="A48" s="73"/>
      <c r="B48"/>
      <c r="C48"/>
      <c r="D48" s="170"/>
      <c r="E48" s="63"/>
      <c r="F48"/>
      <c r="G48"/>
    </row>
    <row r="49" spans="1:9" s="229" customFormat="1" ht="37.5" customHeight="1" x14ac:dyDescent="0.25">
      <c r="A49" s="73"/>
      <c r="B49"/>
      <c r="C49"/>
      <c r="D49" s="170"/>
      <c r="E49" s="63"/>
      <c r="F49"/>
      <c r="G49"/>
    </row>
    <row r="50" spans="1:9" s="229" customFormat="1" ht="37.5" customHeight="1" x14ac:dyDescent="0.25">
      <c r="A50" s="73"/>
      <c r="B50"/>
      <c r="C50"/>
      <c r="D50" s="170"/>
      <c r="E50" s="63"/>
      <c r="F50"/>
      <c r="G50"/>
      <c r="H50" s="219"/>
      <c r="I50" s="219"/>
    </row>
    <row r="51" spans="1:9" s="229" customFormat="1" ht="37.5" customHeight="1" x14ac:dyDescent="0.25">
      <c r="A51" s="73"/>
      <c r="B51"/>
      <c r="C51"/>
      <c r="D51" s="170"/>
      <c r="E51" s="63"/>
      <c r="F51"/>
      <c r="G51"/>
      <c r="H51" s="219"/>
      <c r="I51" s="219"/>
    </row>
    <row r="52" spans="1:9" s="219" customFormat="1" ht="37.5" customHeight="1" x14ac:dyDescent="0.25">
      <c r="A52" s="73"/>
      <c r="B52"/>
      <c r="C52"/>
      <c r="D52" s="170"/>
      <c r="E52" s="63"/>
      <c r="F52"/>
      <c r="G52"/>
      <c r="H52" s="67"/>
    </row>
    <row r="53" spans="1:9" s="219" customFormat="1" ht="37.5" customHeight="1" x14ac:dyDescent="0.25">
      <c r="A53" s="73"/>
      <c r="B53"/>
      <c r="C53"/>
      <c r="D53" s="170"/>
      <c r="E53" s="63"/>
      <c r="F53"/>
      <c r="G53"/>
    </row>
    <row r="54" spans="1:9" s="219" customFormat="1" ht="37.5" customHeight="1" x14ac:dyDescent="0.25">
      <c r="A54" s="73"/>
      <c r="B54"/>
      <c r="C54"/>
      <c r="D54" s="170"/>
      <c r="E54" s="63"/>
      <c r="F54"/>
      <c r="G54"/>
    </row>
    <row r="55" spans="1:9" s="219" customFormat="1" ht="37.5" customHeight="1" x14ac:dyDescent="0.25">
      <c r="A55" s="73"/>
      <c r="B55"/>
      <c r="C55"/>
      <c r="D55" s="170"/>
      <c r="E55" s="63"/>
      <c r="F55"/>
      <c r="G55"/>
    </row>
    <row r="56" spans="1:9" s="219" customFormat="1" ht="37.5" customHeight="1" x14ac:dyDescent="0.25">
      <c r="A56" s="73"/>
      <c r="B56"/>
      <c r="C56"/>
      <c r="D56" s="170"/>
      <c r="E56" s="63"/>
      <c r="F56"/>
      <c r="G56"/>
    </row>
    <row r="57" spans="1:9" s="219" customFormat="1" ht="37.5" customHeight="1" x14ac:dyDescent="0.25">
      <c r="A57" s="73"/>
      <c r="B57"/>
      <c r="C57"/>
      <c r="D57" s="170"/>
      <c r="E57" s="63"/>
      <c r="F57"/>
      <c r="G57"/>
    </row>
    <row r="58" spans="1:9" s="219" customFormat="1" ht="37.5" customHeight="1" x14ac:dyDescent="0.25">
      <c r="A58" s="73"/>
      <c r="B58"/>
      <c r="C58"/>
      <c r="D58" s="170"/>
      <c r="E58" s="63"/>
      <c r="F58"/>
      <c r="G58"/>
    </row>
    <row r="59" spans="1:9" s="219" customFormat="1" ht="37.5" customHeight="1" x14ac:dyDescent="0.25">
      <c r="A59" s="73"/>
      <c r="B59"/>
      <c r="C59"/>
      <c r="D59" s="170"/>
      <c r="E59" s="63"/>
      <c r="F59"/>
      <c r="G59"/>
    </row>
    <row r="60" spans="1:9" s="219" customFormat="1" ht="37.5" customHeight="1" x14ac:dyDescent="0.25">
      <c r="A60" s="73"/>
      <c r="B60"/>
      <c r="C60"/>
      <c r="D60" s="170"/>
      <c r="E60" s="63"/>
      <c r="F60"/>
      <c r="G60"/>
      <c r="H60"/>
      <c r="I60"/>
    </row>
    <row r="61" spans="1:9" s="219" customFormat="1" ht="37.5" customHeight="1" x14ac:dyDescent="0.25">
      <c r="A61" s="73"/>
      <c r="B61"/>
      <c r="C61"/>
      <c r="D61" s="170"/>
      <c r="E61" s="63"/>
      <c r="F61"/>
      <c r="G61"/>
      <c r="H61"/>
      <c r="I61"/>
    </row>
    <row r="62" spans="1:9" ht="33.75" customHeight="1" x14ac:dyDescent="0.25">
      <c r="A62" s="33"/>
    </row>
    <row r="63" spans="1:9" ht="36.75" customHeight="1" x14ac:dyDescent="0.25">
      <c r="A63" s="33"/>
    </row>
    <row r="64" spans="1:9" ht="36" customHeight="1" x14ac:dyDescent="0.25">
      <c r="A64" s="33"/>
    </row>
    <row r="65" spans="1:9" ht="37.5" customHeight="1" x14ac:dyDescent="0.25">
      <c r="A65" s="33"/>
    </row>
    <row r="66" spans="1:9" ht="33" customHeight="1" x14ac:dyDescent="0.25">
      <c r="A66" s="33"/>
    </row>
    <row r="67" spans="1:9" ht="36.75" customHeight="1" x14ac:dyDescent="0.25">
      <c r="A67" s="33"/>
      <c r="H67" s="128"/>
      <c r="I67" s="128"/>
    </row>
    <row r="68" spans="1:9" ht="36.75" customHeight="1" x14ac:dyDescent="0.25">
      <c r="A68" s="33"/>
      <c r="H68" s="191"/>
      <c r="I68" s="191"/>
    </row>
    <row r="69" spans="1:9" s="128" customFormat="1" ht="36.75" customHeight="1" x14ac:dyDescent="0.25">
      <c r="A69" s="73"/>
      <c r="B69"/>
      <c r="C69"/>
      <c r="D69" s="170"/>
      <c r="E69" s="63"/>
      <c r="F69"/>
      <c r="G69"/>
      <c r="H69" s="219"/>
      <c r="I69" s="219"/>
    </row>
    <row r="70" spans="1:9" s="191" customFormat="1" ht="36.75" customHeight="1" x14ac:dyDescent="0.25">
      <c r="A70" s="73"/>
      <c r="B70"/>
      <c r="C70"/>
      <c r="D70" s="170"/>
      <c r="E70" s="63"/>
      <c r="F70"/>
      <c r="G70"/>
      <c r="H70" s="219"/>
      <c r="I70" s="219"/>
    </row>
    <row r="71" spans="1:9" s="219" customFormat="1" ht="36.75" customHeight="1" x14ac:dyDescent="0.25">
      <c r="A71" s="73"/>
      <c r="B71"/>
      <c r="C71"/>
      <c r="D71" s="170"/>
      <c r="E71" s="63"/>
      <c r="F71"/>
      <c r="G71"/>
    </row>
    <row r="72" spans="1:9" s="219" customFormat="1" ht="36.75" customHeight="1" x14ac:dyDescent="0.25">
      <c r="A72" s="73"/>
      <c r="B72"/>
      <c r="C72"/>
      <c r="D72" s="170"/>
      <c r="E72" s="63"/>
      <c r="F72"/>
      <c r="G72"/>
      <c r="H72" s="138"/>
      <c r="I72" s="138"/>
    </row>
    <row r="73" spans="1:9" s="219" customFormat="1" ht="36.75" customHeight="1" x14ac:dyDescent="0.25">
      <c r="A73" s="73"/>
      <c r="B73"/>
      <c r="C73"/>
      <c r="D73" s="170"/>
      <c r="E73" s="63"/>
      <c r="F73"/>
      <c r="G73"/>
      <c r="H73" s="138"/>
      <c r="I73" s="138"/>
    </row>
    <row r="74" spans="1:9" s="138" customFormat="1" ht="36.75" customHeight="1" x14ac:dyDescent="0.25">
      <c r="A74" s="73"/>
      <c r="B74"/>
      <c r="C74"/>
      <c r="D74" s="170"/>
      <c r="E74" s="63"/>
      <c r="F74"/>
      <c r="G74"/>
    </row>
    <row r="75" spans="1:9" s="138" customFormat="1" ht="36.75" customHeight="1" x14ac:dyDescent="0.25">
      <c r="A75" s="73"/>
      <c r="B75"/>
      <c r="C75"/>
      <c r="D75" s="170"/>
      <c r="E75" s="63"/>
      <c r="F75"/>
      <c r="G75"/>
      <c r="H75" s="211"/>
      <c r="I75" s="211"/>
    </row>
    <row r="76" spans="1:9" s="138" customFormat="1" ht="36.75" customHeight="1" x14ac:dyDescent="0.25">
      <c r="A76" s="73"/>
      <c r="B76"/>
      <c r="C76"/>
      <c r="D76" s="170"/>
      <c r="E76" s="63"/>
      <c r="F76"/>
      <c r="G76"/>
      <c r="H76" s="211"/>
      <c r="I76" s="211"/>
    </row>
    <row r="77" spans="1:9" s="211" customFormat="1" ht="36.75" customHeight="1" x14ac:dyDescent="0.25">
      <c r="A77" s="73"/>
      <c r="B77"/>
      <c r="C77"/>
      <c r="D77" s="170"/>
      <c r="E77" s="63"/>
      <c r="F77"/>
      <c r="G77"/>
    </row>
    <row r="78" spans="1:9" s="211" customFormat="1" ht="36.75" customHeight="1" x14ac:dyDescent="0.25">
      <c r="A78" s="73"/>
      <c r="B78"/>
      <c r="C78"/>
      <c r="D78" s="170"/>
      <c r="E78" s="63"/>
      <c r="F78"/>
      <c r="G78"/>
    </row>
    <row r="79" spans="1:9" s="211" customFormat="1" ht="36.75" customHeight="1" x14ac:dyDescent="0.25">
      <c r="A79" s="73"/>
      <c r="B79"/>
      <c r="C79"/>
      <c r="D79" s="170"/>
      <c r="E79" s="63"/>
      <c r="F79"/>
      <c r="G79"/>
      <c r="H79" s="217"/>
      <c r="I79" s="217"/>
    </row>
    <row r="80" spans="1:9" s="211" customFormat="1" ht="36.75" customHeight="1" x14ac:dyDescent="0.25">
      <c r="A80" s="73"/>
      <c r="B80"/>
      <c r="C80"/>
      <c r="D80" s="170"/>
      <c r="E80" s="63"/>
      <c r="F80"/>
      <c r="G80"/>
      <c r="H80" s="138"/>
      <c r="I80" s="138"/>
    </row>
    <row r="81" spans="1:9" s="217" customFormat="1" ht="36.75" customHeight="1" x14ac:dyDescent="0.25">
      <c r="A81" s="73"/>
      <c r="B81"/>
      <c r="C81"/>
      <c r="D81" s="170"/>
      <c r="E81" s="63"/>
      <c r="F81"/>
      <c r="G81"/>
      <c r="H81" s="138"/>
      <c r="I81" s="138"/>
    </row>
    <row r="82" spans="1:9" s="138" customFormat="1" ht="36.75" customHeight="1" x14ac:dyDescent="0.25">
      <c r="A82" s="73"/>
      <c r="B82"/>
      <c r="C82"/>
      <c r="D82" s="170"/>
      <c r="E82" s="63"/>
      <c r="F82"/>
      <c r="G82"/>
    </row>
    <row r="83" spans="1:9" s="138" customFormat="1" ht="36.75" customHeight="1" x14ac:dyDescent="0.25">
      <c r="A83" s="73"/>
      <c r="B83"/>
      <c r="C83"/>
      <c r="D83" s="170"/>
      <c r="E83" s="63"/>
      <c r="F83"/>
      <c r="G83"/>
    </row>
    <row r="84" spans="1:9" s="138" customFormat="1" ht="36.75" customHeight="1" x14ac:dyDescent="0.25">
      <c r="A84" s="73"/>
      <c r="B84"/>
      <c r="C84"/>
      <c r="D84" s="170"/>
      <c r="E84" s="63"/>
      <c r="F84"/>
      <c r="G84"/>
    </row>
    <row r="85" spans="1:9" s="138" customFormat="1" ht="36.75" customHeight="1" x14ac:dyDescent="0.25">
      <c r="A85" s="73"/>
      <c r="B85"/>
      <c r="C85"/>
      <c r="D85" s="170"/>
      <c r="E85" s="63"/>
      <c r="F85"/>
      <c r="G85"/>
      <c r="H85" s="191"/>
      <c r="I85" s="191"/>
    </row>
    <row r="86" spans="1:9" s="138" customFormat="1" ht="36.75" customHeight="1" x14ac:dyDescent="0.25">
      <c r="A86" s="73"/>
      <c r="B86"/>
      <c r="C86"/>
      <c r="D86" s="170"/>
      <c r="E86" s="63"/>
      <c r="F86"/>
      <c r="G86"/>
      <c r="H86" s="191"/>
      <c r="I86" s="191"/>
    </row>
    <row r="87" spans="1:9" s="191" customFormat="1" ht="36.75" customHeight="1" x14ac:dyDescent="0.25">
      <c r="A87" s="73"/>
      <c r="B87"/>
      <c r="C87"/>
      <c r="D87" s="170"/>
      <c r="E87" s="63"/>
      <c r="F87"/>
      <c r="G87"/>
    </row>
    <row r="88" spans="1:9" s="191" customFormat="1" ht="36.75" customHeight="1" x14ac:dyDescent="0.25">
      <c r="A88" s="73"/>
      <c r="B88"/>
      <c r="C88"/>
      <c r="D88" s="170"/>
      <c r="E88" s="63"/>
      <c r="F88"/>
      <c r="G88"/>
    </row>
    <row r="89" spans="1:9" s="191" customFormat="1" ht="36.75" customHeight="1" x14ac:dyDescent="0.25">
      <c r="A89" s="73"/>
      <c r="B89"/>
      <c r="C89"/>
      <c r="D89" s="170"/>
      <c r="E89" s="63"/>
      <c r="F89"/>
      <c r="G89"/>
    </row>
    <row r="90" spans="1:9" s="191" customFormat="1" ht="36.75" customHeight="1" x14ac:dyDescent="0.25">
      <c r="A90" s="73"/>
      <c r="B90"/>
      <c r="C90"/>
      <c r="D90" s="170"/>
      <c r="E90" s="63"/>
      <c r="F90"/>
      <c r="G90"/>
    </row>
    <row r="91" spans="1:9" s="191" customFormat="1" ht="36.75" customHeight="1" x14ac:dyDescent="0.25">
      <c r="A91" s="73"/>
      <c r="B91"/>
      <c r="C91"/>
      <c r="D91" s="170"/>
      <c r="E91" s="63"/>
      <c r="F91"/>
      <c r="G91"/>
    </row>
    <row r="92" spans="1:9" s="191" customFormat="1" ht="36.75" customHeight="1" x14ac:dyDescent="0.25">
      <c r="A92" s="73"/>
      <c r="B92"/>
      <c r="C92"/>
      <c r="D92" s="170"/>
      <c r="E92" s="63"/>
      <c r="F92"/>
      <c r="G92"/>
      <c r="H92" s="138"/>
      <c r="I92" s="138"/>
    </row>
    <row r="93" spans="1:9" s="191" customFormat="1" ht="36.75" customHeight="1" x14ac:dyDescent="0.3">
      <c r="A93" s="73"/>
      <c r="B93"/>
      <c r="C93"/>
      <c r="D93" s="170"/>
      <c r="E93" s="63"/>
      <c r="F93"/>
      <c r="G93"/>
      <c r="H93" s="91"/>
      <c r="I93" s="91"/>
    </row>
    <row r="94" spans="1:9" s="138" customFormat="1" ht="36.75" customHeight="1" x14ac:dyDescent="0.25">
      <c r="A94" s="73"/>
      <c r="B94"/>
      <c r="C94"/>
      <c r="D94" s="170"/>
      <c r="E94" s="63"/>
      <c r="F94"/>
      <c r="G94"/>
    </row>
    <row r="95" spans="1:9" s="91" customFormat="1" ht="36.75" customHeight="1" x14ac:dyDescent="0.3">
      <c r="A95" s="49"/>
      <c r="B95"/>
      <c r="C95"/>
      <c r="D95" s="170"/>
      <c r="E95" s="63"/>
      <c r="F95"/>
      <c r="G95"/>
      <c r="H95" s="138"/>
      <c r="I95" s="138"/>
    </row>
    <row r="96" spans="1:9" s="138" customFormat="1" ht="36.75" customHeight="1" x14ac:dyDescent="0.25">
      <c r="A96" s="73"/>
      <c r="B96"/>
      <c r="C96"/>
      <c r="D96" s="170"/>
      <c r="E96" s="63"/>
      <c r="F96"/>
      <c r="G96"/>
    </row>
    <row r="97" spans="1:9" s="138" customFormat="1" ht="36.75" customHeight="1" x14ac:dyDescent="0.25">
      <c r="A97" s="73"/>
      <c r="B97"/>
      <c r="C97"/>
      <c r="D97" s="170"/>
      <c r="E97" s="63"/>
      <c r="F97"/>
      <c r="G97"/>
      <c r="H97" s="132"/>
      <c r="I97" s="132"/>
    </row>
    <row r="98" spans="1:9" s="138" customFormat="1" ht="36.75" customHeight="1" x14ac:dyDescent="0.25">
      <c r="A98" s="73"/>
      <c r="B98"/>
      <c r="C98"/>
      <c r="D98" s="170"/>
      <c r="E98" s="63"/>
      <c r="F98"/>
      <c r="G98"/>
      <c r="H98" s="132"/>
      <c r="I98" s="132"/>
    </row>
    <row r="99" spans="1:9" s="132" customFormat="1" ht="36.75" customHeight="1" x14ac:dyDescent="0.25">
      <c r="A99" s="73"/>
      <c r="B99"/>
      <c r="C99"/>
      <c r="D99" s="170"/>
      <c r="E99" s="63"/>
      <c r="F99"/>
      <c r="G99"/>
      <c r="H99" s="128"/>
      <c r="I99" s="128"/>
    </row>
    <row r="100" spans="1:9" s="132" customFormat="1" ht="36.75" customHeight="1" x14ac:dyDescent="0.25">
      <c r="A100" s="73"/>
      <c r="B100"/>
      <c r="C100"/>
      <c r="D100" s="170"/>
      <c r="E100" s="63"/>
      <c r="F100"/>
      <c r="G100"/>
      <c r="H100" s="131"/>
      <c r="I100" s="131"/>
    </row>
    <row r="101" spans="1:9" s="128" customFormat="1" ht="36.75" customHeight="1" x14ac:dyDescent="0.25">
      <c r="A101" s="73"/>
      <c r="B101"/>
      <c r="C101"/>
      <c r="D101" s="170"/>
      <c r="E101" s="63"/>
      <c r="F101"/>
      <c r="G101"/>
      <c r="H101" s="131"/>
      <c r="I101" s="131"/>
    </row>
    <row r="102" spans="1:9" s="131" customFormat="1" ht="36.75" customHeight="1" x14ac:dyDescent="0.25">
      <c r="A102" s="73"/>
      <c r="B102"/>
      <c r="C102"/>
      <c r="D102" s="170"/>
      <c r="E102" s="63"/>
      <c r="F102"/>
      <c r="G102"/>
    </row>
    <row r="103" spans="1:9" s="131" customFormat="1" ht="36.75" customHeight="1" x14ac:dyDescent="0.25">
      <c r="A103" s="73"/>
      <c r="B103"/>
      <c r="C103"/>
      <c r="D103" s="170"/>
      <c r="E103" s="63"/>
      <c r="F103"/>
      <c r="G103"/>
    </row>
    <row r="104" spans="1:9" s="131" customFormat="1" ht="36.75" customHeight="1" x14ac:dyDescent="0.25">
      <c r="A104" s="73"/>
      <c r="B104"/>
      <c r="C104"/>
      <c r="D104" s="170"/>
      <c r="E104" s="63"/>
      <c r="F104"/>
      <c r="G104"/>
    </row>
    <row r="105" spans="1:9" s="131" customFormat="1" ht="36.75" customHeight="1" x14ac:dyDescent="0.25">
      <c r="A105" s="73"/>
      <c r="B105"/>
      <c r="C105"/>
      <c r="D105" s="170"/>
      <c r="E105" s="63"/>
      <c r="F105"/>
      <c r="G105"/>
    </row>
    <row r="106" spans="1:9" s="131" customFormat="1" ht="36.75" customHeight="1" x14ac:dyDescent="0.25">
      <c r="A106" s="73"/>
      <c r="B106"/>
      <c r="C106"/>
      <c r="D106" s="170"/>
      <c r="E106" s="63"/>
      <c r="F106"/>
      <c r="G106"/>
    </row>
    <row r="107" spans="1:9" s="131" customFormat="1" ht="36.75" customHeight="1" x14ac:dyDescent="0.25">
      <c r="A107" s="73"/>
      <c r="B107"/>
      <c r="C107"/>
      <c r="D107" s="170"/>
      <c r="E107" s="63"/>
      <c r="F107"/>
      <c r="G107"/>
    </row>
    <row r="108" spans="1:9" s="131" customFormat="1" ht="36.75" customHeight="1" x14ac:dyDescent="0.25">
      <c r="A108" s="73"/>
      <c r="B108"/>
      <c r="C108"/>
      <c r="D108" s="170"/>
      <c r="E108" s="63"/>
      <c r="F108"/>
      <c r="G108"/>
    </row>
    <row r="109" spans="1:9" s="131" customFormat="1" ht="36.75" customHeight="1" x14ac:dyDescent="0.25">
      <c r="A109" s="73"/>
      <c r="B109"/>
      <c r="C109"/>
      <c r="D109" s="170"/>
      <c r="E109" s="63"/>
      <c r="F109"/>
      <c r="G109"/>
    </row>
    <row r="110" spans="1:9" s="131" customFormat="1" ht="36.75" customHeight="1" x14ac:dyDescent="0.25">
      <c r="A110" s="73"/>
      <c r="B110"/>
      <c r="C110"/>
      <c r="D110" s="170"/>
      <c r="E110" s="63"/>
      <c r="F110"/>
      <c r="G110"/>
    </row>
    <row r="111" spans="1:9" s="131" customFormat="1" ht="36.75" customHeight="1" x14ac:dyDescent="0.25">
      <c r="A111" s="73"/>
      <c r="B111"/>
      <c r="C111"/>
      <c r="D111" s="170"/>
      <c r="E111" s="63"/>
      <c r="F111"/>
      <c r="G111"/>
    </row>
    <row r="112" spans="1:9" s="131" customFormat="1" ht="36.75" customHeight="1" x14ac:dyDescent="0.25">
      <c r="A112" s="73"/>
      <c r="B112"/>
      <c r="C112"/>
      <c r="D112" s="170"/>
      <c r="E112" s="63"/>
      <c r="F112"/>
      <c r="G112"/>
    </row>
    <row r="113" spans="1:9" s="131" customFormat="1" ht="36.75" customHeight="1" x14ac:dyDescent="0.25">
      <c r="A113" s="73"/>
      <c r="B113"/>
      <c r="C113"/>
      <c r="D113" s="170"/>
      <c r="E113" s="63"/>
      <c r="F113"/>
      <c r="G113"/>
      <c r="H113" s="128"/>
      <c r="I113" s="128"/>
    </row>
    <row r="114" spans="1:9" s="131" customFormat="1" ht="36.75" customHeight="1" x14ac:dyDescent="0.25">
      <c r="A114" s="73"/>
      <c r="B114"/>
      <c r="C114"/>
      <c r="D114" s="170"/>
      <c r="E114" s="63"/>
      <c r="F114"/>
      <c r="G114"/>
      <c r="H114" s="128"/>
      <c r="I114" s="128"/>
    </row>
    <row r="115" spans="1:9" s="128" customFormat="1" ht="36.75" customHeight="1" x14ac:dyDescent="0.25">
      <c r="A115" s="73"/>
      <c r="B115"/>
      <c r="C115"/>
      <c r="D115" s="170"/>
      <c r="E115" s="63"/>
      <c r="F115"/>
      <c r="G115"/>
    </row>
    <row r="116" spans="1:9" s="128" customFormat="1" ht="36.75" customHeight="1" x14ac:dyDescent="0.25">
      <c r="A116" s="73"/>
      <c r="B116"/>
      <c r="C116"/>
      <c r="D116" s="170"/>
      <c r="E116" s="63"/>
      <c r="F116"/>
      <c r="G116"/>
    </row>
    <row r="117" spans="1:9" s="128" customFormat="1" ht="36.75" customHeight="1" x14ac:dyDescent="0.25">
      <c r="A117" s="73"/>
      <c r="B117"/>
      <c r="C117"/>
      <c r="D117" s="170"/>
      <c r="E117" s="63"/>
      <c r="F117"/>
      <c r="G117"/>
    </row>
    <row r="118" spans="1:9" s="128" customFormat="1" ht="36.75" customHeight="1" x14ac:dyDescent="0.25">
      <c r="A118" s="73"/>
      <c r="B118"/>
      <c r="C118"/>
      <c r="D118" s="170"/>
      <c r="E118" s="63"/>
      <c r="F118"/>
      <c r="G118"/>
      <c r="H118" s="73"/>
      <c r="I118" s="118"/>
    </row>
    <row r="119" spans="1:9" s="128" customFormat="1" ht="36.75" customHeight="1" x14ac:dyDescent="0.25">
      <c r="A119" s="73"/>
      <c r="B119"/>
      <c r="C119"/>
      <c r="D119" s="170"/>
      <c r="E119" s="63"/>
      <c r="F119"/>
      <c r="G119"/>
      <c r="H119" s="73"/>
      <c r="I119" s="118"/>
    </row>
    <row r="120" spans="1:9" s="118" customFormat="1" ht="30" customHeight="1" x14ac:dyDescent="0.25">
      <c r="B120"/>
      <c r="C120"/>
      <c r="D120" s="170"/>
      <c r="E120" s="63"/>
      <c r="F120"/>
      <c r="G120"/>
      <c r="H120" s="73"/>
    </row>
    <row r="121" spans="1:9" s="118" customFormat="1" ht="30" customHeight="1" x14ac:dyDescent="0.25">
      <c r="B121"/>
      <c r="C121"/>
      <c r="D121" s="170"/>
      <c r="E121" s="63"/>
      <c r="F121"/>
      <c r="G121"/>
      <c r="H121" s="73"/>
    </row>
    <row r="122" spans="1:9" s="118" customFormat="1" ht="30" customHeight="1" x14ac:dyDescent="0.25">
      <c r="B122"/>
      <c r="C122"/>
      <c r="D122" s="170"/>
      <c r="E122" s="63"/>
      <c r="F122"/>
      <c r="G122"/>
      <c r="H122" s="73"/>
    </row>
    <row r="123" spans="1:9" s="118" customFormat="1" ht="30" customHeight="1" x14ac:dyDescent="0.25">
      <c r="B123"/>
      <c r="C123"/>
      <c r="D123" s="170"/>
      <c r="E123" s="63"/>
      <c r="F123"/>
      <c r="G123"/>
      <c r="H123" s="73"/>
    </row>
    <row r="124" spans="1:9" s="118" customFormat="1" ht="30" customHeight="1" x14ac:dyDescent="0.25">
      <c r="B124"/>
      <c r="C124"/>
      <c r="D124" s="170"/>
      <c r="E124" s="63"/>
      <c r="F124"/>
      <c r="G124"/>
      <c r="H124" s="73"/>
    </row>
    <row r="125" spans="1:9" s="118" customFormat="1" ht="30" customHeight="1" x14ac:dyDescent="0.25">
      <c r="B125"/>
      <c r="C125"/>
      <c r="D125" s="170"/>
      <c r="E125" s="63"/>
      <c r="F125"/>
      <c r="G125"/>
      <c r="H125" s="73"/>
    </row>
    <row r="126" spans="1:9" s="118" customFormat="1" ht="30" customHeight="1" x14ac:dyDescent="0.25">
      <c r="B126"/>
      <c r="C126"/>
      <c r="D126" s="170"/>
      <c r="E126" s="63"/>
      <c r="F126"/>
      <c r="G126"/>
      <c r="H126" s="73"/>
    </row>
    <row r="127" spans="1:9" s="118" customFormat="1" ht="30" customHeight="1" x14ac:dyDescent="0.25">
      <c r="B127"/>
      <c r="C127"/>
      <c r="D127" s="170"/>
      <c r="E127" s="63"/>
      <c r="F127"/>
      <c r="G127"/>
      <c r="H127" s="73"/>
      <c r="I127" s="93"/>
    </row>
    <row r="128" spans="1:9" s="118" customFormat="1" ht="30" customHeight="1" x14ac:dyDescent="0.25">
      <c r="B128"/>
      <c r="C128"/>
      <c r="D128" s="170"/>
      <c r="E128" s="63"/>
      <c r="F128"/>
      <c r="G128"/>
      <c r="H128" s="73"/>
      <c r="I128" s="112"/>
    </row>
    <row r="129" spans="2:9" s="93" customFormat="1" ht="30" customHeight="1" x14ac:dyDescent="0.25">
      <c r="B129"/>
      <c r="C129"/>
      <c r="D129" s="170"/>
      <c r="E129" s="63"/>
      <c r="F129"/>
      <c r="G129"/>
      <c r="H129" s="73"/>
      <c r="I129" s="112"/>
    </row>
    <row r="130" spans="2:9" s="112" customFormat="1" ht="30" customHeight="1" x14ac:dyDescent="0.25">
      <c r="B130"/>
      <c r="C130"/>
      <c r="D130" s="170"/>
      <c r="E130" s="63"/>
      <c r="F130"/>
      <c r="G130"/>
      <c r="H130" s="73"/>
    </row>
    <row r="131" spans="2:9" s="112" customFormat="1" ht="30" customHeight="1" x14ac:dyDescent="0.25">
      <c r="B131"/>
      <c r="C131"/>
      <c r="D131" s="170"/>
      <c r="E131" s="63"/>
      <c r="F131"/>
      <c r="G131"/>
      <c r="H131" s="73"/>
    </row>
    <row r="132" spans="2:9" s="112" customFormat="1" ht="30" customHeight="1" x14ac:dyDescent="0.25">
      <c r="B132"/>
      <c r="C132"/>
      <c r="D132" s="170"/>
      <c r="E132" s="63"/>
      <c r="F132"/>
      <c r="G132"/>
      <c r="H132" s="73"/>
    </row>
    <row r="133" spans="2:9" s="112" customFormat="1" ht="30" customHeight="1" x14ac:dyDescent="0.25">
      <c r="B133"/>
      <c r="C133"/>
      <c r="D133" s="170"/>
      <c r="E133" s="63"/>
      <c r="F133"/>
      <c r="G133"/>
      <c r="H133" s="73"/>
      <c r="I133" s="116"/>
    </row>
    <row r="134" spans="2:9" s="112" customFormat="1" ht="30" customHeight="1" x14ac:dyDescent="0.25">
      <c r="B134"/>
      <c r="C134"/>
      <c r="D134" s="170"/>
      <c r="E134" s="63"/>
      <c r="F134"/>
      <c r="G134"/>
      <c r="H134" s="53"/>
      <c r="I134"/>
    </row>
    <row r="135" spans="2:9" s="116" customFormat="1" ht="30" customHeight="1" x14ac:dyDescent="0.25">
      <c r="B135"/>
      <c r="C135"/>
      <c r="D135" s="170"/>
      <c r="E135" s="63"/>
      <c r="F135"/>
      <c r="G135"/>
      <c r="H135" s="33"/>
      <c r="I135"/>
    </row>
    <row r="136" spans="2:9" ht="30" customHeight="1" x14ac:dyDescent="0.25">
      <c r="H136" s="33"/>
    </row>
    <row r="137" spans="2:9" ht="30" customHeight="1" x14ac:dyDescent="0.25">
      <c r="H137" s="38"/>
    </row>
    <row r="138" spans="2:9" x14ac:dyDescent="0.25">
      <c r="H138" s="33"/>
    </row>
    <row r="139" spans="2:9" x14ac:dyDescent="0.25">
      <c r="H139" s="33"/>
    </row>
    <row r="140" spans="2:9" x14ac:dyDescent="0.25">
      <c r="H140" s="33"/>
    </row>
    <row r="141" spans="2:9" x14ac:dyDescent="0.25">
      <c r="H141" s="33"/>
    </row>
    <row r="142" spans="2:9" x14ac:dyDescent="0.25">
      <c r="H142" s="33"/>
    </row>
    <row r="143" spans="2:9" x14ac:dyDescent="0.25">
      <c r="H143" s="33"/>
    </row>
    <row r="144" spans="2:9" x14ac:dyDescent="0.25">
      <c r="H144" s="33"/>
    </row>
    <row r="145" spans="8:11" x14ac:dyDescent="0.25">
      <c r="H145" s="33"/>
    </row>
    <row r="146" spans="8:11" x14ac:dyDescent="0.25">
      <c r="H146" s="33"/>
    </row>
    <row r="147" spans="8:11" x14ac:dyDescent="0.25">
      <c r="H147" s="33"/>
      <c r="I147" s="33"/>
    </row>
    <row r="148" spans="8:11" x14ac:dyDescent="0.25">
      <c r="H148" s="33"/>
      <c r="I148" s="33"/>
    </row>
    <row r="149" spans="8:11" x14ac:dyDescent="0.25">
      <c r="H149" s="33"/>
      <c r="I149" s="33"/>
      <c r="J149" s="33"/>
      <c r="K149" s="33"/>
    </row>
    <row r="150" spans="8:11" x14ac:dyDescent="0.25">
      <c r="H150" s="33"/>
      <c r="I150" s="33"/>
      <c r="J150" s="33"/>
      <c r="K150" s="33"/>
    </row>
    <row r="151" spans="8:11" x14ac:dyDescent="0.25">
      <c r="H151" s="33"/>
      <c r="I151" s="33"/>
      <c r="J151" s="33"/>
      <c r="K151" s="33"/>
    </row>
    <row r="152" spans="8:11" x14ac:dyDescent="0.25">
      <c r="H152" s="41"/>
      <c r="I152" s="41"/>
      <c r="J152" s="33"/>
      <c r="K152" s="33"/>
    </row>
    <row r="153" spans="8:11" x14ac:dyDescent="0.25">
      <c r="H153" s="33"/>
      <c r="I153" s="33"/>
      <c r="J153" s="33"/>
      <c r="K153" s="33"/>
    </row>
    <row r="154" spans="8:11" x14ac:dyDescent="0.25">
      <c r="H154" s="33"/>
      <c r="I154" s="33"/>
      <c r="J154" s="41"/>
      <c r="K154" s="41"/>
    </row>
    <row r="155" spans="8:11" x14ac:dyDescent="0.25">
      <c r="H155" s="33"/>
      <c r="I155" s="33"/>
      <c r="J155" s="33"/>
      <c r="K155" s="33"/>
    </row>
    <row r="156" spans="8:11" x14ac:dyDescent="0.25">
      <c r="H156" s="33"/>
      <c r="I156" s="33"/>
      <c r="J156" s="33"/>
      <c r="K156" s="33"/>
    </row>
    <row r="157" spans="8:11" x14ac:dyDescent="0.25">
      <c r="H157" s="33"/>
      <c r="I157" s="33"/>
      <c r="J157" s="33"/>
      <c r="K157" s="33"/>
    </row>
    <row r="158" spans="8:11" x14ac:dyDescent="0.25">
      <c r="H158" s="33"/>
      <c r="I158" s="33"/>
      <c r="J158" s="33"/>
      <c r="K158" s="33"/>
    </row>
    <row r="159" spans="8:11" x14ac:dyDescent="0.25">
      <c r="H159" s="33"/>
      <c r="I159" s="33"/>
      <c r="J159" s="33"/>
      <c r="K159" s="33"/>
    </row>
    <row r="160" spans="8:11" x14ac:dyDescent="0.25">
      <c r="H160" s="33"/>
      <c r="I160" s="33"/>
      <c r="J160" s="33"/>
      <c r="K160" s="33"/>
    </row>
    <row r="161" spans="8:11" x14ac:dyDescent="0.25">
      <c r="H161" s="33"/>
      <c r="I161" s="33"/>
      <c r="J161" s="33"/>
      <c r="K161" s="33"/>
    </row>
    <row r="162" spans="8:11" x14ac:dyDescent="0.25">
      <c r="H162" s="33"/>
      <c r="I162" s="33"/>
      <c r="J162" s="33"/>
      <c r="K162" s="33"/>
    </row>
    <row r="163" spans="8:11" x14ac:dyDescent="0.25">
      <c r="J163" s="33"/>
      <c r="K163" s="33"/>
    </row>
    <row r="164" spans="8:11" x14ac:dyDescent="0.25">
      <c r="J164" s="33"/>
      <c r="K164" s="33"/>
    </row>
  </sheetData>
  <sortState ref="B4:I18">
    <sortCondition ref="B4"/>
  </sortState>
  <pageMargins left="0.25" right="0.25" top="0.75" bottom="0.75" header="0.3" footer="0.3"/>
  <pageSetup paperSize="9" scale="7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79"/>
  <sheetViews>
    <sheetView zoomScale="70" zoomScaleNormal="70" workbookViewId="0">
      <selection activeCell="A8" sqref="A8"/>
    </sheetView>
  </sheetViews>
  <sheetFormatPr defaultColWidth="9.140625" defaultRowHeight="15" x14ac:dyDescent="0.25"/>
  <cols>
    <col min="1" max="1" width="12.140625" style="440" customWidth="1"/>
    <col min="2" max="2" width="43.5703125" style="170" customWidth="1"/>
    <col min="3" max="3" width="8.28515625" style="170" customWidth="1"/>
    <col min="4" max="4" width="15" style="441" customWidth="1"/>
    <col min="5" max="5" width="11.85546875" style="170" customWidth="1"/>
    <col min="6" max="6" width="17" style="170" customWidth="1"/>
    <col min="7" max="7" width="9.140625" style="170"/>
    <col min="8" max="8" width="10.85546875" style="170" bestFit="1" customWidth="1"/>
    <col min="9" max="16384" width="9.140625" style="170"/>
  </cols>
  <sheetData>
    <row r="1" spans="1:8" x14ac:dyDescent="0.25">
      <c r="A1" s="697" t="s">
        <v>2655</v>
      </c>
      <c r="B1" s="697"/>
      <c r="C1" s="697"/>
      <c r="D1" s="697"/>
      <c r="E1" s="40"/>
      <c r="F1" s="40"/>
      <c r="G1" s="40"/>
    </row>
    <row r="2" spans="1:8" x14ac:dyDescent="0.25">
      <c r="A2" s="697" t="s">
        <v>1089</v>
      </c>
      <c r="B2" s="697"/>
      <c r="C2" s="697"/>
      <c r="D2" s="697"/>
      <c r="E2" s="40"/>
      <c r="F2" s="40"/>
      <c r="G2" s="399"/>
    </row>
    <row r="3" spans="1:8" x14ac:dyDescent="0.25">
      <c r="A3" s="696" t="s">
        <v>3446</v>
      </c>
      <c r="B3" s="696"/>
      <c r="C3" s="696"/>
      <c r="D3" s="696"/>
      <c r="E3" s="40"/>
      <c r="F3" s="40"/>
      <c r="G3" s="40"/>
    </row>
    <row r="4" spans="1:8" x14ac:dyDescent="0.25">
      <c r="A4" s="696" t="s">
        <v>3447</v>
      </c>
      <c r="B4" s="696"/>
      <c r="C4" s="696"/>
      <c r="D4" s="696"/>
      <c r="E4" s="40"/>
      <c r="F4" s="40"/>
      <c r="G4" s="399"/>
    </row>
    <row r="5" spans="1:8" x14ac:dyDescent="0.25">
      <c r="A5" s="696" t="s">
        <v>3448</v>
      </c>
      <c r="B5" s="696"/>
      <c r="C5" s="696"/>
      <c r="D5" s="696"/>
      <c r="E5" s="40"/>
      <c r="F5" s="40"/>
      <c r="G5" s="40"/>
    </row>
    <row r="6" spans="1:8" x14ac:dyDescent="0.25">
      <c r="A6" s="696" t="s">
        <v>3755</v>
      </c>
      <c r="B6" s="696"/>
      <c r="C6" s="696"/>
      <c r="D6" s="696"/>
      <c r="E6" s="40"/>
      <c r="F6" s="40"/>
      <c r="G6" s="40"/>
    </row>
    <row r="7" spans="1:8" x14ac:dyDescent="0.25">
      <c r="A7" s="345" t="s">
        <v>1090</v>
      </c>
      <c r="B7" s="346" t="s">
        <v>1091</v>
      </c>
      <c r="C7" s="347" t="s">
        <v>3449</v>
      </c>
      <c r="D7" s="348" t="s">
        <v>1055</v>
      </c>
      <c r="E7" s="349" t="s">
        <v>3450</v>
      </c>
      <c r="F7" s="350"/>
      <c r="G7" s="40"/>
    </row>
    <row r="8" spans="1:8" ht="15.75" customHeight="1" x14ac:dyDescent="0.25">
      <c r="A8" s="400">
        <v>2524</v>
      </c>
      <c r="B8" s="401" t="str">
        <f>VLOOKUP(A8,база!A:F,2,FALSE)</f>
        <v>Моиспанова Ольга Анатольевна</v>
      </c>
      <c r="C8" s="402" t="s">
        <v>3451</v>
      </c>
      <c r="D8" s="403">
        <v>40291.46</v>
      </c>
      <c r="E8" s="409">
        <f>VLOOKUP(A8,база!A:F,5,FALSE)</f>
        <v>0</v>
      </c>
      <c r="F8" s="350">
        <v>9148120000</v>
      </c>
      <c r="G8" s="40"/>
    </row>
    <row r="9" spans="1:8" ht="15.75" customHeight="1" x14ac:dyDescent="0.25">
      <c r="A9" s="400">
        <v>90380</v>
      </c>
      <c r="B9" s="401" t="str">
        <f>VLOOKUP(A9,база!A:F,2,FALSE)</f>
        <v>Билый Александр Игоревич</v>
      </c>
      <c r="C9" s="402" t="s">
        <v>3451</v>
      </c>
      <c r="D9" s="403">
        <v>39264.18</v>
      </c>
      <c r="E9" s="409">
        <f>VLOOKUP(A9,база!A:F,5,FALSE)</f>
        <v>0</v>
      </c>
      <c r="F9" s="350"/>
      <c r="G9" s="40"/>
    </row>
    <row r="10" spans="1:8" ht="15.75" customHeight="1" x14ac:dyDescent="0.25">
      <c r="A10" s="400">
        <v>259046</v>
      </c>
      <c r="B10" s="401" t="str">
        <f>VLOOKUP(A10,база!A:F,2,FALSE)</f>
        <v>Евсиевич Михаил Олегович</v>
      </c>
      <c r="C10" s="402" t="s">
        <v>3451</v>
      </c>
      <c r="D10" s="403">
        <v>82875.539999999994</v>
      </c>
      <c r="E10" s="409">
        <f>VLOOKUP(A10,база!A:F,5,FALSE)</f>
        <v>0</v>
      </c>
      <c r="F10" s="350"/>
      <c r="G10" s="40"/>
    </row>
    <row r="11" spans="1:8" ht="15.75" customHeight="1" x14ac:dyDescent="0.25">
      <c r="A11" s="404"/>
      <c r="B11" s="401"/>
      <c r="C11" s="402"/>
      <c r="D11" s="405" t="s">
        <v>3452</v>
      </c>
      <c r="E11" s="406"/>
      <c r="F11" s="407">
        <f>SUM(D8:D10)</f>
        <v>162431.18</v>
      </c>
      <c r="G11" s="40"/>
    </row>
    <row r="12" spans="1:8" x14ac:dyDescent="0.25">
      <c r="A12" s="404"/>
      <c r="B12" s="401"/>
      <c r="C12" s="402"/>
      <c r="D12" s="405" t="s">
        <v>1157</v>
      </c>
      <c r="E12" s="406"/>
      <c r="F12" s="407">
        <v>0</v>
      </c>
      <c r="G12" s="40"/>
      <c r="H12" s="408"/>
    </row>
    <row r="13" spans="1:8" x14ac:dyDescent="0.25">
      <c r="A13" s="404"/>
      <c r="B13" s="401"/>
      <c r="C13" s="402"/>
      <c r="D13" s="405" t="s">
        <v>1058</v>
      </c>
      <c r="E13" s="406"/>
      <c r="F13" s="407">
        <f>SUM(F11:F12)</f>
        <v>162431.18</v>
      </c>
      <c r="G13" s="40"/>
    </row>
    <row r="14" spans="1:8" hidden="1" x14ac:dyDescent="0.25">
      <c r="A14" s="409"/>
      <c r="B14" s="401"/>
      <c r="C14" s="402"/>
      <c r="D14" s="403"/>
      <c r="E14" s="406"/>
      <c r="F14" s="350">
        <v>9146040000</v>
      </c>
      <c r="G14" s="40"/>
    </row>
    <row r="15" spans="1:8" hidden="1" x14ac:dyDescent="0.25">
      <c r="A15" s="400"/>
      <c r="B15" s="401"/>
      <c r="C15" s="402" t="s">
        <v>3451</v>
      </c>
      <c r="D15" s="410"/>
      <c r="E15" s="406"/>
      <c r="F15" s="350"/>
      <c r="G15" s="40"/>
    </row>
    <row r="16" spans="1:8" hidden="1" x14ac:dyDescent="0.25">
      <c r="A16" s="409"/>
      <c r="B16" s="401"/>
      <c r="C16" s="402"/>
      <c r="D16" s="405" t="s">
        <v>3452</v>
      </c>
      <c r="E16" s="406"/>
      <c r="F16" s="407">
        <f>SUM(D15:D15)</f>
        <v>0</v>
      </c>
      <c r="G16" s="40"/>
    </row>
    <row r="17" spans="1:7" hidden="1" x14ac:dyDescent="0.25">
      <c r="A17" s="409"/>
      <c r="B17" s="401"/>
      <c r="C17" s="402"/>
      <c r="D17" s="405" t="s">
        <v>1157</v>
      </c>
      <c r="E17" s="406"/>
      <c r="F17" s="407">
        <v>0</v>
      </c>
      <c r="G17" s="40"/>
    </row>
    <row r="18" spans="1:7" hidden="1" x14ac:dyDescent="0.25">
      <c r="A18" s="409"/>
      <c r="B18" s="401"/>
      <c r="C18" s="402"/>
      <c r="D18" s="405" t="s">
        <v>1058</v>
      </c>
      <c r="E18" s="406"/>
      <c r="F18" s="407">
        <f>SUM(F16:F17)</f>
        <v>0</v>
      </c>
      <c r="G18" s="40"/>
    </row>
    <row r="19" spans="1:7" hidden="1" x14ac:dyDescent="0.25">
      <c r="A19" s="409"/>
      <c r="B19" s="401"/>
      <c r="C19" s="402"/>
      <c r="D19" s="403"/>
      <c r="E19" s="406"/>
      <c r="F19" s="350">
        <v>9147010000</v>
      </c>
      <c r="G19" s="40"/>
    </row>
    <row r="20" spans="1:7" hidden="1" x14ac:dyDescent="0.25">
      <c r="A20" s="409"/>
      <c r="B20" s="401"/>
      <c r="C20" s="402" t="s">
        <v>3451</v>
      </c>
      <c r="D20" s="403"/>
      <c r="E20" s="406"/>
      <c r="F20" s="350"/>
      <c r="G20" s="40"/>
    </row>
    <row r="21" spans="1:7" hidden="1" x14ac:dyDescent="0.25">
      <c r="A21" s="409"/>
      <c r="B21" s="401"/>
      <c r="C21" s="402"/>
      <c r="D21" s="405" t="s">
        <v>3452</v>
      </c>
      <c r="E21" s="406"/>
      <c r="F21" s="348">
        <f>D20</f>
        <v>0</v>
      </c>
      <c r="G21" s="40"/>
    </row>
    <row r="22" spans="1:7" hidden="1" x14ac:dyDescent="0.25">
      <c r="A22" s="409"/>
      <c r="B22" s="401"/>
      <c r="C22" s="402"/>
      <c r="D22" s="405" t="s">
        <v>1157</v>
      </c>
      <c r="E22" s="406"/>
      <c r="F22" s="348">
        <v>0</v>
      </c>
      <c r="G22" s="40"/>
    </row>
    <row r="23" spans="1:7" hidden="1" x14ac:dyDescent="0.25">
      <c r="A23" s="409"/>
      <c r="B23" s="401"/>
      <c r="C23" s="402"/>
      <c r="D23" s="405" t="s">
        <v>1058</v>
      </c>
      <c r="E23" s="406"/>
      <c r="F23" s="348">
        <f>SUM(F21:F22)</f>
        <v>0</v>
      </c>
      <c r="G23" s="40"/>
    </row>
    <row r="24" spans="1:7" hidden="1" x14ac:dyDescent="0.25">
      <c r="A24" s="409"/>
      <c r="B24" s="401"/>
      <c r="C24" s="402"/>
      <c r="D24" s="403"/>
      <c r="E24" s="406"/>
      <c r="F24" s="350">
        <v>9147020000</v>
      </c>
      <c r="G24" s="40"/>
    </row>
    <row r="25" spans="1:7" hidden="1" x14ac:dyDescent="0.25">
      <c r="A25" s="409"/>
      <c r="B25" s="401"/>
      <c r="C25" s="402" t="s">
        <v>3451</v>
      </c>
      <c r="D25" s="403"/>
      <c r="E25" s="406"/>
      <c r="F25" s="350"/>
      <c r="G25" s="40"/>
    </row>
    <row r="26" spans="1:7" hidden="1" x14ac:dyDescent="0.25">
      <c r="A26" s="409"/>
      <c r="B26" s="401"/>
      <c r="C26" s="402"/>
      <c r="D26" s="405" t="s">
        <v>3452</v>
      </c>
      <c r="E26" s="406"/>
      <c r="F26" s="348">
        <f>SUM(D25:D25)</f>
        <v>0</v>
      </c>
      <c r="G26" s="40"/>
    </row>
    <row r="27" spans="1:7" hidden="1" x14ac:dyDescent="0.25">
      <c r="A27" s="409"/>
      <c r="B27" s="401"/>
      <c r="C27" s="402"/>
      <c r="D27" s="405" t="s">
        <v>1157</v>
      </c>
      <c r="E27" s="406"/>
      <c r="F27" s="348">
        <v>0</v>
      </c>
      <c r="G27" s="40"/>
    </row>
    <row r="28" spans="1:7" hidden="1" x14ac:dyDescent="0.25">
      <c r="A28" s="409"/>
      <c r="B28" s="401"/>
      <c r="C28" s="402"/>
      <c r="D28" s="405" t="s">
        <v>1058</v>
      </c>
      <c r="E28" s="406"/>
      <c r="F28" s="348">
        <f>SUM(F26:F27)</f>
        <v>0</v>
      </c>
      <c r="G28" s="40"/>
    </row>
    <row r="29" spans="1:7" hidden="1" x14ac:dyDescent="0.25">
      <c r="A29" s="409"/>
      <c r="B29" s="401"/>
      <c r="C29" s="402"/>
      <c r="D29" s="403"/>
      <c r="E29" s="406"/>
      <c r="F29" s="350">
        <v>7902000010</v>
      </c>
      <c r="G29" s="40"/>
    </row>
    <row r="30" spans="1:7" hidden="1" x14ac:dyDescent="0.25">
      <c r="A30" s="411"/>
      <c r="B30" s="401"/>
      <c r="C30" s="402" t="s">
        <v>3451</v>
      </c>
      <c r="D30" s="412"/>
      <c r="E30" s="406"/>
      <c r="F30" s="350"/>
      <c r="G30" s="40"/>
    </row>
    <row r="31" spans="1:7" hidden="1" x14ac:dyDescent="0.25">
      <c r="A31" s="411"/>
      <c r="B31" s="401"/>
      <c r="C31" s="402" t="s">
        <v>3451</v>
      </c>
      <c r="D31" s="412"/>
      <c r="E31" s="406"/>
      <c r="F31" s="350"/>
      <c r="G31" s="40"/>
    </row>
    <row r="32" spans="1:7" hidden="1" x14ac:dyDescent="0.25">
      <c r="A32" s="413"/>
      <c r="B32" s="401"/>
      <c r="C32" s="402" t="s">
        <v>3451</v>
      </c>
      <c r="D32" s="412"/>
      <c r="E32" s="406"/>
      <c r="F32" s="350"/>
      <c r="G32" s="40"/>
    </row>
    <row r="33" spans="1:7" hidden="1" x14ac:dyDescent="0.25">
      <c r="A33" s="409"/>
      <c r="B33" s="401"/>
      <c r="C33" s="402"/>
      <c r="D33" s="405" t="s">
        <v>3452</v>
      </c>
      <c r="E33" s="406"/>
      <c r="F33" s="407">
        <f>SUM(D30:D32)</f>
        <v>0</v>
      </c>
      <c r="G33" s="40"/>
    </row>
    <row r="34" spans="1:7" hidden="1" x14ac:dyDescent="0.25">
      <c r="A34" s="409"/>
      <c r="B34" s="401"/>
      <c r="C34" s="402"/>
      <c r="D34" s="405" t="s">
        <v>1157</v>
      </c>
      <c r="E34" s="406"/>
      <c r="F34" s="407">
        <v>0</v>
      </c>
      <c r="G34" s="40"/>
    </row>
    <row r="35" spans="1:7" hidden="1" x14ac:dyDescent="0.25">
      <c r="A35" s="409"/>
      <c r="B35" s="401"/>
      <c r="C35" s="402"/>
      <c r="D35" s="405" t="s">
        <v>1058</v>
      </c>
      <c r="E35" s="406"/>
      <c r="F35" s="407">
        <f>SUM(F33:F34)</f>
        <v>0</v>
      </c>
      <c r="G35" s="40"/>
    </row>
    <row r="36" spans="1:7" hidden="1" x14ac:dyDescent="0.25">
      <c r="A36" s="409"/>
      <c r="B36" s="401"/>
      <c r="C36" s="402"/>
      <c r="D36" s="403"/>
      <c r="E36" s="406"/>
      <c r="F36" s="350">
        <v>7902000010</v>
      </c>
      <c r="G36" s="40"/>
    </row>
    <row r="37" spans="1:7" hidden="1" x14ac:dyDescent="0.25">
      <c r="A37" s="409"/>
      <c r="B37" s="401"/>
      <c r="C37" s="402" t="s">
        <v>3451</v>
      </c>
      <c r="D37" s="403"/>
      <c r="E37" s="406"/>
      <c r="F37" s="350"/>
    </row>
    <row r="38" spans="1:7" hidden="1" x14ac:dyDescent="0.25">
      <c r="A38" s="409"/>
      <c r="B38" s="401"/>
      <c r="C38" s="402" t="s">
        <v>3451</v>
      </c>
      <c r="D38" s="403"/>
      <c r="E38" s="406"/>
      <c r="F38" s="350"/>
    </row>
    <row r="39" spans="1:7" hidden="1" x14ac:dyDescent="0.25">
      <c r="A39" s="409"/>
      <c r="B39" s="401"/>
      <c r="C39" s="402"/>
      <c r="D39" s="405" t="s">
        <v>3452</v>
      </c>
      <c r="E39" s="406"/>
      <c r="F39" s="407">
        <f>SUM(D36:D38)</f>
        <v>0</v>
      </c>
    </row>
    <row r="40" spans="1:7" hidden="1" x14ac:dyDescent="0.25">
      <c r="A40" s="409"/>
      <c r="B40" s="401"/>
      <c r="C40" s="402"/>
      <c r="D40" s="405" t="s">
        <v>1157</v>
      </c>
      <c r="E40" s="406"/>
      <c r="F40" s="407">
        <v>0</v>
      </c>
    </row>
    <row r="41" spans="1:7" hidden="1" x14ac:dyDescent="0.25">
      <c r="A41" s="409"/>
      <c r="B41" s="401"/>
      <c r="C41" s="402"/>
      <c r="D41" s="405" t="s">
        <v>1058</v>
      </c>
      <c r="E41" s="406"/>
      <c r="F41" s="407">
        <f>SUM(F11:F40)</f>
        <v>43244394882.360001</v>
      </c>
    </row>
    <row r="42" spans="1:7" x14ac:dyDescent="0.25">
      <c r="A42" s="200"/>
      <c r="B42" s="401"/>
      <c r="C42" s="402"/>
      <c r="D42" s="228"/>
      <c r="E42" s="200"/>
      <c r="F42" s="350">
        <v>9145220000</v>
      </c>
      <c r="G42" s="40"/>
    </row>
    <row r="43" spans="1:7" x14ac:dyDescent="0.25">
      <c r="A43" s="200">
        <v>2177</v>
      </c>
      <c r="B43" s="401" t="str">
        <f>VLOOKUP(A43,база!A:F,2,FALSE)</f>
        <v>Кулишкина Анна Вячеславовна</v>
      </c>
      <c r="C43" s="402" t="s">
        <v>3451</v>
      </c>
      <c r="D43" s="228">
        <v>54000</v>
      </c>
      <c r="E43" s="200">
        <f>VLOOKUP(A43,база!A:F,5,FALSE)</f>
        <v>0</v>
      </c>
      <c r="F43" s="350"/>
    </row>
    <row r="44" spans="1:7" x14ac:dyDescent="0.25">
      <c r="A44" s="409"/>
      <c r="B44" s="414"/>
      <c r="C44" s="402"/>
      <c r="D44" s="405" t="s">
        <v>3452</v>
      </c>
      <c r="E44" s="402"/>
      <c r="F44" s="415">
        <f>SUM(D43:D43)</f>
        <v>54000</v>
      </c>
    </row>
    <row r="45" spans="1:7" x14ac:dyDescent="0.25">
      <c r="A45" s="409"/>
      <c r="B45" s="414"/>
      <c r="C45" s="402"/>
      <c r="D45" s="405" t="s">
        <v>1157</v>
      </c>
      <c r="E45" s="402"/>
      <c r="F45" s="415">
        <v>0</v>
      </c>
      <c r="G45" s="40"/>
    </row>
    <row r="46" spans="1:7" x14ac:dyDescent="0.25">
      <c r="A46" s="409"/>
      <c r="B46" s="414"/>
      <c r="C46" s="402"/>
      <c r="D46" s="405" t="s">
        <v>1058</v>
      </c>
      <c r="E46" s="402"/>
      <c r="F46" s="415">
        <f>SUM(F44:F45)</f>
        <v>54000</v>
      </c>
    </row>
    <row r="47" spans="1:7" x14ac:dyDescent="0.25">
      <c r="A47" s="416"/>
      <c r="B47" s="417"/>
      <c r="C47" s="418"/>
      <c r="D47" s="419"/>
      <c r="E47" s="418"/>
      <c r="F47" s="352"/>
    </row>
    <row r="48" spans="1:7" x14ac:dyDescent="0.25">
      <c r="A48" s="351" t="s">
        <v>3452</v>
      </c>
      <c r="B48" s="352">
        <f>F11+F16+F21+F26+F33+F39+F44</f>
        <v>216431.18</v>
      </c>
      <c r="C48" s="353"/>
      <c r="D48" s="354"/>
      <c r="E48" s="40"/>
      <c r="F48" s="355"/>
    </row>
    <row r="49" spans="1:6" x14ac:dyDescent="0.25">
      <c r="A49" s="351" t="s">
        <v>1157</v>
      </c>
      <c r="B49" s="352">
        <f>F12+F17+F22+F27+F40+F45+F34</f>
        <v>0</v>
      </c>
      <c r="C49" s="353"/>
      <c r="D49" s="354"/>
      <c r="E49" s="40"/>
      <c r="F49" s="40"/>
    </row>
    <row r="50" spans="1:6" x14ac:dyDescent="0.25">
      <c r="A50" s="351" t="s">
        <v>1058</v>
      </c>
      <c r="B50" s="352">
        <f>SUM(B48:B49)</f>
        <v>216431.18</v>
      </c>
      <c r="C50" s="353"/>
      <c r="D50" s="354"/>
      <c r="E50" s="40"/>
      <c r="F50" s="40"/>
    </row>
    <row r="51" spans="1:6" x14ac:dyDescent="0.25">
      <c r="A51" s="351"/>
      <c r="B51" s="352"/>
      <c r="C51" s="353"/>
      <c r="D51" s="354"/>
      <c r="E51" s="40"/>
      <c r="F51" s="40"/>
    </row>
    <row r="52" spans="1:6" x14ac:dyDescent="0.25">
      <c r="A52" s="420" t="s">
        <v>150</v>
      </c>
      <c r="B52" s="84"/>
      <c r="C52" s="84"/>
      <c r="D52" s="85" t="s">
        <v>1057</v>
      </c>
      <c r="E52" s="40"/>
      <c r="F52" s="40"/>
    </row>
    <row r="53" spans="1:6" x14ac:dyDescent="0.25">
      <c r="A53" s="421"/>
      <c r="B53" s="40"/>
      <c r="C53" s="40"/>
      <c r="D53" s="422"/>
      <c r="E53" s="40"/>
      <c r="F53" s="352"/>
    </row>
    <row r="54" spans="1:6" x14ac:dyDescent="0.25">
      <c r="A54" s="423"/>
      <c r="B54" s="424"/>
      <c r="C54" s="424"/>
      <c r="D54" s="425"/>
      <c r="E54" s="424"/>
      <c r="F54" s="424"/>
    </row>
    <row r="55" spans="1:6" x14ac:dyDescent="0.25">
      <c r="A55" s="698" t="s">
        <v>2655</v>
      </c>
      <c r="B55" s="698"/>
      <c r="C55" s="698"/>
      <c r="D55" s="698"/>
      <c r="E55" s="426"/>
      <c r="F55" s="424"/>
    </row>
    <row r="56" spans="1:6" x14ac:dyDescent="0.25">
      <c r="A56" s="698" t="s">
        <v>1089</v>
      </c>
      <c r="B56" s="698"/>
      <c r="C56" s="698"/>
      <c r="D56" s="698"/>
      <c r="E56" s="426"/>
      <c r="F56" s="424"/>
    </row>
    <row r="57" spans="1:6" x14ac:dyDescent="0.25">
      <c r="A57" s="699" t="s">
        <v>3446</v>
      </c>
      <c r="B57" s="699"/>
      <c r="C57" s="699"/>
      <c r="D57" s="699"/>
      <c r="E57" s="426"/>
      <c r="F57" s="424"/>
    </row>
    <row r="58" spans="1:6" x14ac:dyDescent="0.25">
      <c r="A58" s="699" t="s">
        <v>3447</v>
      </c>
      <c r="B58" s="699"/>
      <c r="C58" s="699"/>
      <c r="D58" s="699"/>
      <c r="E58" s="426"/>
      <c r="F58" s="424"/>
    </row>
    <row r="59" spans="1:6" x14ac:dyDescent="0.25">
      <c r="A59" s="699" t="s">
        <v>3448</v>
      </c>
      <c r="B59" s="699"/>
      <c r="C59" s="699"/>
      <c r="D59" s="699"/>
      <c r="E59" s="426"/>
      <c r="F59" s="424"/>
    </row>
    <row r="60" spans="1:6" x14ac:dyDescent="0.25">
      <c r="A60" s="696" t="s">
        <v>3755</v>
      </c>
      <c r="B60" s="696"/>
      <c r="C60" s="696"/>
      <c r="D60" s="696"/>
      <c r="E60" s="426"/>
      <c r="F60" s="424"/>
    </row>
    <row r="61" spans="1:6" x14ac:dyDescent="0.25">
      <c r="A61" s="427"/>
      <c r="B61" s="428"/>
      <c r="C61" s="428"/>
      <c r="D61" s="429"/>
      <c r="E61" s="426"/>
      <c r="F61" s="424"/>
    </row>
    <row r="62" spans="1:6" x14ac:dyDescent="0.25">
      <c r="A62" s="430" t="s">
        <v>1090</v>
      </c>
      <c r="B62" s="431" t="s">
        <v>1091</v>
      </c>
      <c r="C62" s="432" t="s">
        <v>3449</v>
      </c>
      <c r="D62" s="433" t="s">
        <v>1055</v>
      </c>
      <c r="E62" s="434" t="s">
        <v>3450</v>
      </c>
      <c r="F62" s="424"/>
    </row>
    <row r="63" spans="1:6" x14ac:dyDescent="0.25">
      <c r="A63" s="400"/>
      <c r="B63" s="401" t="e">
        <f>VLOOKUP(A63,база!A:F,2,FALSE)</f>
        <v>#N/A</v>
      </c>
      <c r="C63" s="402" t="s">
        <v>3451</v>
      </c>
      <c r="D63" s="535"/>
      <c r="E63" s="409" t="e">
        <f>VLOOKUP(A63,база!A:F,5,FALSE)</f>
        <v>#N/A</v>
      </c>
      <c r="F63" s="424"/>
    </row>
    <row r="64" spans="1:6" x14ac:dyDescent="0.25">
      <c r="A64" s="435"/>
      <c r="B64" s="436" t="s">
        <v>1058</v>
      </c>
      <c r="C64" s="436"/>
      <c r="D64" s="535">
        <f>SUM(D63:D63)</f>
        <v>0</v>
      </c>
      <c r="E64" s="433"/>
      <c r="F64" s="194"/>
    </row>
    <row r="65" spans="1:6" x14ac:dyDescent="0.25">
      <c r="A65" s="437"/>
      <c r="B65" s="426"/>
      <c r="C65" s="438"/>
      <c r="D65" s="439"/>
      <c r="E65" s="84"/>
      <c r="F65" s="194"/>
    </row>
    <row r="66" spans="1:6" x14ac:dyDescent="0.25">
      <c r="A66" s="420" t="s">
        <v>150</v>
      </c>
      <c r="B66" s="84"/>
      <c r="C66" s="84"/>
      <c r="D66" s="83" t="s">
        <v>1057</v>
      </c>
      <c r="E66" s="426"/>
      <c r="F66" s="194"/>
    </row>
    <row r="67" spans="1:6" x14ac:dyDescent="0.25">
      <c r="A67" s="423"/>
      <c r="B67" s="424"/>
      <c r="C67" s="424"/>
      <c r="D67" s="425"/>
      <c r="E67" s="424"/>
      <c r="F67" s="194"/>
    </row>
    <row r="79" spans="1:6" x14ac:dyDescent="0.25">
      <c r="A79" s="423"/>
      <c r="B79" s="424"/>
      <c r="C79" s="424"/>
      <c r="D79" s="425"/>
      <c r="E79" s="424"/>
      <c r="F79" s="424"/>
    </row>
  </sheetData>
  <sortState ref="A8:E12">
    <sortCondition ref="E8:E12"/>
  </sortState>
  <mergeCells count="12">
    <mergeCell ref="A60:D60"/>
    <mergeCell ref="A1:D1"/>
    <mergeCell ref="A2:D2"/>
    <mergeCell ref="A3:D3"/>
    <mergeCell ref="A4:D4"/>
    <mergeCell ref="A5:D5"/>
    <mergeCell ref="A6:D6"/>
    <mergeCell ref="A55:D55"/>
    <mergeCell ref="A56:D56"/>
    <mergeCell ref="A57:D57"/>
    <mergeCell ref="A58:D58"/>
    <mergeCell ref="A59:D59"/>
  </mergeCells>
  <pageMargins left="0.25" right="0.25" top="0.75" bottom="0.75" header="0.3" footer="0.3"/>
  <pageSetup paperSize="9" scale="92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3"/>
  <sheetViews>
    <sheetView zoomScale="70" zoomScaleNormal="70" workbookViewId="0">
      <selection activeCell="G23" sqref="G23"/>
    </sheetView>
  </sheetViews>
  <sheetFormatPr defaultColWidth="9.140625" defaultRowHeight="15" x14ac:dyDescent="0.25"/>
  <cols>
    <col min="1" max="1" width="11.140625" style="214" customWidth="1"/>
    <col min="2" max="2" width="39.7109375" style="214" customWidth="1"/>
    <col min="3" max="3" width="9.140625" style="214"/>
    <col min="4" max="4" width="9.140625" style="214" hidden="1" customWidth="1"/>
    <col min="5" max="5" width="15.85546875" style="215" customWidth="1"/>
    <col min="6" max="6" width="14.7109375" style="214" customWidth="1"/>
    <col min="7" max="7" width="10.140625" style="214" customWidth="1"/>
    <col min="8" max="8" width="48.42578125" style="214" customWidth="1"/>
    <col min="9" max="9" width="8.42578125" style="214" customWidth="1"/>
    <col min="10" max="10" width="16.85546875" style="214" hidden="1" customWidth="1"/>
    <col min="11" max="11" width="17.42578125" style="215" customWidth="1"/>
    <col min="12" max="12" width="13.42578125" style="214" customWidth="1"/>
    <col min="13" max="16" width="9.140625" style="214"/>
    <col min="17" max="18" width="9.140625" style="232"/>
    <col min="19" max="16384" width="9.140625" style="214"/>
  </cols>
  <sheetData>
    <row r="1" spans="1:19" x14ac:dyDescent="0.25">
      <c r="A1" s="698" t="s">
        <v>2655</v>
      </c>
      <c r="B1" s="698"/>
      <c r="C1" s="698"/>
      <c r="D1" s="698"/>
      <c r="E1" s="698"/>
      <c r="F1" s="698"/>
      <c r="G1" s="698" t="s">
        <v>2655</v>
      </c>
      <c r="H1" s="698"/>
      <c r="I1" s="698"/>
      <c r="J1" s="698"/>
      <c r="K1" s="698"/>
      <c r="L1" s="698"/>
      <c r="O1" s="280"/>
      <c r="P1" s="215"/>
      <c r="Q1" s="356"/>
      <c r="R1" s="280"/>
      <c r="S1" s="215"/>
    </row>
    <row r="2" spans="1:19" x14ac:dyDescent="0.25">
      <c r="A2" s="426"/>
      <c r="B2" s="698" t="s">
        <v>1089</v>
      </c>
      <c r="C2" s="698"/>
      <c r="D2" s="698"/>
      <c r="E2" s="698"/>
      <c r="F2" s="442"/>
      <c r="G2" s="442"/>
      <c r="H2" s="698" t="s">
        <v>1089</v>
      </c>
      <c r="I2" s="698"/>
      <c r="J2" s="698"/>
      <c r="K2" s="698"/>
      <c r="L2" s="426"/>
      <c r="M2" s="426"/>
      <c r="O2" s="280"/>
      <c r="P2" s="215"/>
      <c r="Q2" s="356"/>
      <c r="R2" s="280"/>
      <c r="S2" s="215"/>
    </row>
    <row r="3" spans="1:19" x14ac:dyDescent="0.25">
      <c r="A3" s="699" t="s">
        <v>3453</v>
      </c>
      <c r="B3" s="699"/>
      <c r="C3" s="699"/>
      <c r="D3" s="699"/>
      <c r="E3" s="699"/>
      <c r="F3" s="699"/>
      <c r="G3" s="699" t="s">
        <v>3453</v>
      </c>
      <c r="H3" s="699"/>
      <c r="I3" s="699"/>
      <c r="J3" s="699"/>
      <c r="K3" s="699"/>
      <c r="L3" s="699"/>
      <c r="M3" s="395"/>
      <c r="O3" s="280"/>
      <c r="P3" s="215"/>
      <c r="Q3" s="356"/>
      <c r="R3" s="280"/>
      <c r="S3" s="215"/>
    </row>
    <row r="4" spans="1:19" x14ac:dyDescent="0.25">
      <c r="A4" s="700" t="s">
        <v>3756</v>
      </c>
      <c r="B4" s="700"/>
      <c r="C4" s="700"/>
      <c r="D4" s="700"/>
      <c r="E4" s="700"/>
      <c r="F4" s="700"/>
      <c r="G4" s="700" t="s">
        <v>3756</v>
      </c>
      <c r="H4" s="700"/>
      <c r="I4" s="700"/>
      <c r="J4" s="700"/>
      <c r="K4" s="700"/>
      <c r="L4" s="700"/>
      <c r="M4" s="395"/>
      <c r="O4" s="280"/>
      <c r="P4" s="215"/>
      <c r="Q4" s="356"/>
      <c r="R4" s="280"/>
      <c r="S4" s="215"/>
    </row>
    <row r="5" spans="1:19" x14ac:dyDescent="0.25">
      <c r="A5" s="431" t="s">
        <v>1090</v>
      </c>
      <c r="B5" s="433" t="s">
        <v>1091</v>
      </c>
      <c r="C5" s="443" t="s">
        <v>1092</v>
      </c>
      <c r="D5" s="443"/>
      <c r="E5" s="433" t="s">
        <v>3454</v>
      </c>
      <c r="F5" s="431" t="s">
        <v>3455</v>
      </c>
      <c r="G5" s="431" t="s">
        <v>1090</v>
      </c>
      <c r="H5" s="444" t="s">
        <v>1091</v>
      </c>
      <c r="I5" s="443" t="s">
        <v>1092</v>
      </c>
      <c r="J5" s="444"/>
      <c r="K5" s="433" t="s">
        <v>3454</v>
      </c>
      <c r="L5" s="431" t="s">
        <v>3455</v>
      </c>
      <c r="M5" s="445"/>
      <c r="O5" s="280"/>
      <c r="P5" s="215"/>
      <c r="Q5" s="356"/>
      <c r="R5" s="280"/>
      <c r="S5" s="215"/>
    </row>
    <row r="6" spans="1:19" x14ac:dyDescent="0.25">
      <c r="A6" s="608">
        <v>1782</v>
      </c>
      <c r="B6" s="446" t="str">
        <f>VLOOKUP(A6,база!A:F,2,FALSE)</f>
        <v>Гукенгеймер Виталий Рудольфович</v>
      </c>
      <c r="C6" s="447" t="s">
        <v>3456</v>
      </c>
      <c r="D6" s="447"/>
      <c r="E6" s="609">
        <v>3094</v>
      </c>
      <c r="F6" s="449">
        <f>VLOOKUP(A6,база!A:F,5,FALSE)</f>
        <v>0</v>
      </c>
      <c r="G6" s="608">
        <v>286</v>
      </c>
      <c r="H6" s="446" t="str">
        <f>VLOOKUP(G6,база!A:F,2,FALSE)</f>
        <v>Курочкин Виктор Васильевич</v>
      </c>
      <c r="I6" s="447" t="s">
        <v>3456</v>
      </c>
      <c r="J6" s="609">
        <v>1000</v>
      </c>
      <c r="K6" s="448">
        <f t="shared" ref="K6:K12" si="0">J6*-1</f>
        <v>-1000</v>
      </c>
      <c r="L6" s="449">
        <f>VLOOKUP(G6,база!A:F,5,FALSE)</f>
        <v>0</v>
      </c>
      <c r="M6" s="426"/>
      <c r="O6" s="280"/>
      <c r="P6" s="215"/>
      <c r="Q6" s="356"/>
      <c r="R6" s="280"/>
      <c r="S6" s="215"/>
    </row>
    <row r="7" spans="1:19" x14ac:dyDescent="0.25">
      <c r="A7" s="608">
        <v>2071</v>
      </c>
      <c r="B7" s="446" t="str">
        <f>VLOOKUP(A7,база!A:F,2,FALSE)</f>
        <v>Искорцева Марина Ивановна</v>
      </c>
      <c r="C7" s="447" t="s">
        <v>3456</v>
      </c>
      <c r="D7" s="447"/>
      <c r="E7" s="609">
        <v>672</v>
      </c>
      <c r="F7" s="449">
        <f>VLOOKUP(A7,база!A:F,5,FALSE)</f>
        <v>0</v>
      </c>
      <c r="G7" s="608">
        <v>2177</v>
      </c>
      <c r="H7" s="446" t="str">
        <f>VLOOKUP(G7,база!A:F,2,FALSE)</f>
        <v>Кулишкина Анна Вячеславовна</v>
      </c>
      <c r="I7" s="447" t="s">
        <v>3456</v>
      </c>
      <c r="J7" s="609">
        <v>1000</v>
      </c>
      <c r="K7" s="448">
        <f t="shared" si="0"/>
        <v>-1000</v>
      </c>
      <c r="L7" s="449">
        <f>VLOOKUP(G7,база!A:F,5,FALSE)</f>
        <v>0</v>
      </c>
      <c r="M7" s="426"/>
      <c r="O7" s="280"/>
      <c r="P7" s="215"/>
      <c r="Q7" s="356"/>
      <c r="R7" s="280"/>
      <c r="S7" s="215"/>
    </row>
    <row r="8" spans="1:19" x14ac:dyDescent="0.25">
      <c r="A8" s="608">
        <v>2107</v>
      </c>
      <c r="B8" s="446" t="str">
        <f>VLOOKUP(A8,база!A:F,2,FALSE)</f>
        <v>Михайлова Елена Петровна</v>
      </c>
      <c r="C8" s="447" t="s">
        <v>3456</v>
      </c>
      <c r="D8" s="447"/>
      <c r="E8" s="609">
        <v>2640</v>
      </c>
      <c r="F8" s="449">
        <f>VLOOKUP(A8,база!A:F,5,FALSE)</f>
        <v>0</v>
      </c>
      <c r="G8" s="608">
        <v>2843</v>
      </c>
      <c r="H8" s="446" t="str">
        <f>VLOOKUP(G8,база!A:F,2,FALSE)</f>
        <v>Феденков Владимир Владимирович</v>
      </c>
      <c r="I8" s="447" t="s">
        <v>3456</v>
      </c>
      <c r="J8" s="609">
        <v>9800</v>
      </c>
      <c r="K8" s="448">
        <f t="shared" si="0"/>
        <v>-9800</v>
      </c>
      <c r="L8" s="449">
        <f>VLOOKUP(G8,база!A:F,5,FALSE)</f>
        <v>0</v>
      </c>
      <c r="M8" s="426"/>
      <c r="O8" s="280"/>
      <c r="P8" s="215"/>
      <c r="Q8" s="356"/>
      <c r="R8" s="280"/>
      <c r="S8" s="215"/>
    </row>
    <row r="9" spans="1:19" x14ac:dyDescent="0.25">
      <c r="A9" s="608">
        <v>2411</v>
      </c>
      <c r="B9" s="446" t="str">
        <f>VLOOKUP(A9,база!A:F,2,FALSE)</f>
        <v>Резчикова Евгения Ивановна</v>
      </c>
      <c r="C9" s="447" t="s">
        <v>3456</v>
      </c>
      <c r="D9" s="447"/>
      <c r="E9" s="609">
        <v>449</v>
      </c>
      <c r="F9" s="449">
        <f>VLOOKUP(A9,база!A:F,5,FALSE)</f>
        <v>0</v>
      </c>
      <c r="G9" s="608">
        <v>2914</v>
      </c>
      <c r="H9" s="446" t="str">
        <f>VLOOKUP(G9,база!A:F,2,FALSE)</f>
        <v>Чудина Анастасия Геннадьевна</v>
      </c>
      <c r="I9" s="447" t="s">
        <v>3456</v>
      </c>
      <c r="J9" s="609">
        <v>783.1</v>
      </c>
      <c r="K9" s="448">
        <f t="shared" si="0"/>
        <v>-783.1</v>
      </c>
      <c r="L9" s="449">
        <f>VLOOKUP(G9,база!A:F,5,FALSE)</f>
        <v>0</v>
      </c>
      <c r="M9" s="426"/>
      <c r="O9" s="280"/>
      <c r="P9" s="215"/>
      <c r="Q9" s="356"/>
      <c r="R9" s="280"/>
      <c r="S9" s="215"/>
    </row>
    <row r="10" spans="1:19" x14ac:dyDescent="0.25">
      <c r="A10" s="608">
        <v>26611</v>
      </c>
      <c r="B10" s="446" t="str">
        <f>VLOOKUP(A10,база!A:F,2,FALSE)</f>
        <v>Плешивых Евгений Васильевич</v>
      </c>
      <c r="C10" s="447" t="s">
        <v>3456</v>
      </c>
      <c r="D10" s="447"/>
      <c r="E10" s="609">
        <v>150</v>
      </c>
      <c r="F10" s="449">
        <f>VLOOKUP(A10,база!A:F,5,FALSE)</f>
        <v>0</v>
      </c>
      <c r="G10" s="608">
        <v>13570</v>
      </c>
      <c r="H10" s="446" t="str">
        <f>VLOOKUP(G10,база!A:F,2,FALSE)</f>
        <v>Самыкин Виктор Николаевич</v>
      </c>
      <c r="I10" s="447" t="s">
        <v>3456</v>
      </c>
      <c r="J10" s="609">
        <v>756</v>
      </c>
      <c r="K10" s="448">
        <f t="shared" si="0"/>
        <v>-756</v>
      </c>
      <c r="L10" s="449">
        <f>VLOOKUP(G10,база!A:F,5,FALSE)</f>
        <v>0</v>
      </c>
      <c r="M10" s="426"/>
      <c r="O10" s="280"/>
      <c r="P10" s="215"/>
      <c r="Q10" s="356"/>
      <c r="R10" s="280"/>
      <c r="S10" s="215"/>
    </row>
    <row r="11" spans="1:19" x14ac:dyDescent="0.25">
      <c r="A11" s="608">
        <v>90380</v>
      </c>
      <c r="B11" s="446" t="str">
        <f>VLOOKUP(A11,база!A:F,2,FALSE)</f>
        <v>Билый Александр Игоревич</v>
      </c>
      <c r="C11" s="447" t="s">
        <v>3456</v>
      </c>
      <c r="D11" s="447"/>
      <c r="E11" s="609">
        <v>1108</v>
      </c>
      <c r="F11" s="449">
        <f>VLOOKUP(A11,база!A:F,5,FALSE)</f>
        <v>0</v>
      </c>
      <c r="G11" s="608">
        <v>41976</v>
      </c>
      <c r="H11" s="446" t="str">
        <f>VLOOKUP(G11,база!A:F,2,FALSE)</f>
        <v>Рыбакова Татьяна Сергеевна</v>
      </c>
      <c r="I11" s="447" t="s">
        <v>3456</v>
      </c>
      <c r="J11" s="609">
        <v>18052</v>
      </c>
      <c r="K11" s="448">
        <f t="shared" si="0"/>
        <v>-18052</v>
      </c>
      <c r="L11" s="449">
        <f>VLOOKUP(G11,база!A:F,5,FALSE)</f>
        <v>0</v>
      </c>
      <c r="M11" s="426"/>
      <c r="O11" s="280"/>
      <c r="P11" s="215"/>
      <c r="Q11" s="356"/>
      <c r="R11" s="280"/>
      <c r="S11" s="215"/>
    </row>
    <row r="12" spans="1:19" x14ac:dyDescent="0.25">
      <c r="A12" s="608">
        <v>92738</v>
      </c>
      <c r="B12" s="446" t="str">
        <f>VLOOKUP(A12,база!A:F,2,FALSE)</f>
        <v>Цесарж Антон Николаевич</v>
      </c>
      <c r="C12" s="447" t="s">
        <v>3456</v>
      </c>
      <c r="D12" s="447"/>
      <c r="E12" s="609">
        <v>150</v>
      </c>
      <c r="F12" s="449">
        <f>VLOOKUP(A12,база!A:F,5,FALSE)</f>
        <v>0</v>
      </c>
      <c r="G12" s="608">
        <v>49189</v>
      </c>
      <c r="H12" s="446" t="str">
        <f>VLOOKUP(G12,база!A:F,2,FALSE)</f>
        <v>Габдрафиков Рашид Тагирович</v>
      </c>
      <c r="I12" s="447" t="s">
        <v>3456</v>
      </c>
      <c r="J12" s="609">
        <v>8130</v>
      </c>
      <c r="K12" s="448">
        <f t="shared" si="0"/>
        <v>-8130</v>
      </c>
      <c r="L12" s="449">
        <f>VLOOKUP(G12,база!A:F,5,FALSE)</f>
        <v>0</v>
      </c>
      <c r="M12" s="426"/>
      <c r="O12" s="280"/>
      <c r="P12" s="215"/>
      <c r="Q12" s="356"/>
      <c r="R12" s="280"/>
      <c r="S12" s="215"/>
    </row>
    <row r="13" spans="1:19" x14ac:dyDescent="0.25">
      <c r="A13" s="608">
        <v>259046</v>
      </c>
      <c r="B13" s="446" t="str">
        <f>VLOOKUP(A13,база!A:F,2,FALSE)</f>
        <v>Евсиевич Михаил Олегович</v>
      </c>
      <c r="C13" s="447" t="s">
        <v>3456</v>
      </c>
      <c r="D13" s="447"/>
      <c r="E13" s="609">
        <v>6158</v>
      </c>
      <c r="F13" s="449">
        <f>VLOOKUP(A13,база!A:F,5,FALSE)</f>
        <v>0</v>
      </c>
      <c r="G13" s="435"/>
      <c r="H13" s="436" t="s">
        <v>1058</v>
      </c>
      <c r="I13" s="447"/>
      <c r="J13" s="450">
        <f>SUM(J6:J12)</f>
        <v>39521.1</v>
      </c>
      <c r="K13" s="433">
        <f>SUM(K6:K12)</f>
        <v>-39521.1</v>
      </c>
      <c r="L13" s="450"/>
      <c r="M13" s="426"/>
      <c r="O13" s="280"/>
      <c r="P13" s="215"/>
      <c r="Q13" s="356"/>
      <c r="R13" s="280"/>
      <c r="S13" s="215"/>
    </row>
    <row r="14" spans="1:19" x14ac:dyDescent="0.25">
      <c r="A14" s="435"/>
      <c r="B14" s="433" t="s">
        <v>3458</v>
      </c>
      <c r="C14" s="443"/>
      <c r="D14" s="443"/>
      <c r="E14" s="433">
        <f>SUM(E6:E13)</f>
        <v>14421</v>
      </c>
      <c r="F14" s="435"/>
      <c r="G14" s="416"/>
      <c r="H14" s="438"/>
      <c r="I14" s="438"/>
      <c r="J14" s="215"/>
      <c r="L14" s="83"/>
      <c r="M14" s="426"/>
      <c r="O14" s="280"/>
      <c r="P14" s="215"/>
      <c r="Q14" s="356"/>
      <c r="R14" s="280"/>
      <c r="S14" s="215"/>
    </row>
    <row r="15" spans="1:19" x14ac:dyDescent="0.25">
      <c r="A15" s="196"/>
      <c r="B15" s="83"/>
      <c r="C15" s="84"/>
      <c r="D15" s="84"/>
      <c r="F15" s="428"/>
      <c r="G15" s="196"/>
      <c r="H15" s="83" t="s">
        <v>150</v>
      </c>
      <c r="I15" s="84"/>
      <c r="J15" s="84"/>
      <c r="K15" s="83" t="s">
        <v>1057</v>
      </c>
      <c r="L15" s="83"/>
      <c r="M15" s="426"/>
      <c r="O15" s="280"/>
      <c r="P15" s="215"/>
      <c r="Q15" s="356"/>
      <c r="R15" s="280"/>
      <c r="S15" s="215"/>
    </row>
    <row r="16" spans="1:19" x14ac:dyDescent="0.25">
      <c r="A16" s="83" t="s">
        <v>150</v>
      </c>
      <c r="B16" s="84"/>
      <c r="C16" s="84"/>
      <c r="D16" s="83" t="s">
        <v>1057</v>
      </c>
      <c r="E16" s="83" t="s">
        <v>1057</v>
      </c>
      <c r="F16" s="428"/>
      <c r="G16" s="438"/>
      <c r="H16" s="438"/>
      <c r="I16" s="438"/>
      <c r="J16" s="83"/>
      <c r="K16" s="83"/>
      <c r="L16" s="83"/>
      <c r="M16" s="426"/>
      <c r="O16" s="280"/>
      <c r="P16" s="215"/>
      <c r="Q16" s="356"/>
      <c r="R16" s="280"/>
      <c r="S16" s="215"/>
    </row>
    <row r="17" spans="1:19" x14ac:dyDescent="0.25">
      <c r="A17" s="196"/>
      <c r="B17" s="83"/>
      <c r="C17" s="84"/>
      <c r="D17" s="84"/>
      <c r="E17" s="453"/>
      <c r="F17" s="438"/>
      <c r="G17" s="438"/>
      <c r="H17" s="438"/>
      <c r="I17" s="438"/>
      <c r="J17" s="83"/>
      <c r="K17" s="83"/>
      <c r="L17" s="83"/>
      <c r="M17" s="426"/>
      <c r="O17" s="280"/>
      <c r="P17" s="215"/>
      <c r="Q17" s="356"/>
      <c r="R17" s="280"/>
      <c r="S17" s="215"/>
    </row>
    <row r="18" spans="1:19" x14ac:dyDescent="0.25">
      <c r="A18" s="196"/>
      <c r="B18" s="83"/>
      <c r="C18" s="84"/>
      <c r="D18" s="84"/>
      <c r="E18" s="453"/>
      <c r="F18" s="438"/>
      <c r="G18" s="438"/>
      <c r="H18" s="438"/>
      <c r="I18" s="438"/>
      <c r="J18" s="83"/>
      <c r="K18" s="83"/>
      <c r="L18" s="83"/>
      <c r="M18" s="426"/>
      <c r="O18" s="280"/>
      <c r="P18" s="215"/>
      <c r="Q18" s="356"/>
      <c r="R18" s="280"/>
      <c r="S18" s="215"/>
    </row>
    <row r="19" spans="1:19" x14ac:dyDescent="0.25">
      <c r="A19" s="196"/>
      <c r="B19" s="83"/>
      <c r="C19" s="84"/>
      <c r="D19" s="84"/>
      <c r="E19" s="453"/>
      <c r="F19" s="438"/>
      <c r="G19" s="698" t="s">
        <v>2655</v>
      </c>
      <c r="H19" s="698"/>
      <c r="I19" s="698"/>
      <c r="J19" s="698"/>
      <c r="K19" s="698"/>
      <c r="L19" s="698"/>
      <c r="O19" s="215"/>
      <c r="P19" s="215"/>
      <c r="Q19" s="356"/>
      <c r="R19" s="280"/>
      <c r="S19" s="215"/>
    </row>
    <row r="20" spans="1:19" x14ac:dyDescent="0.25">
      <c r="A20" s="698" t="s">
        <v>2655</v>
      </c>
      <c r="B20" s="698"/>
      <c r="C20" s="698"/>
      <c r="D20" s="698"/>
      <c r="E20" s="698"/>
      <c r="F20" s="698"/>
      <c r="G20" s="699" t="s">
        <v>3457</v>
      </c>
      <c r="H20" s="699"/>
      <c r="I20" s="699"/>
      <c r="J20" s="699"/>
      <c r="K20" s="699"/>
      <c r="L20" s="699"/>
      <c r="O20" s="215"/>
      <c r="P20" s="215"/>
      <c r="Q20" s="356"/>
      <c r="R20" s="280"/>
      <c r="S20" s="215"/>
    </row>
    <row r="21" spans="1:19" x14ac:dyDescent="0.25">
      <c r="A21" s="698" t="s">
        <v>1089</v>
      </c>
      <c r="B21" s="698"/>
      <c r="C21" s="698"/>
      <c r="D21" s="698"/>
      <c r="E21" s="698"/>
      <c r="F21" s="698"/>
      <c r="G21" s="700" t="s">
        <v>3756</v>
      </c>
      <c r="H21" s="700"/>
      <c r="I21" s="700"/>
      <c r="J21" s="700"/>
      <c r="K21" s="700"/>
      <c r="L21" s="700"/>
      <c r="O21" s="215"/>
      <c r="P21" s="215"/>
      <c r="Q21" s="356"/>
      <c r="R21" s="280"/>
      <c r="S21" s="215"/>
    </row>
    <row r="22" spans="1:19" x14ac:dyDescent="0.25">
      <c r="A22" s="699" t="s">
        <v>3453</v>
      </c>
      <c r="B22" s="699"/>
      <c r="C22" s="699"/>
      <c r="D22" s="699"/>
      <c r="E22" s="699"/>
      <c r="F22" s="699"/>
      <c r="G22" s="435" t="s">
        <v>1090</v>
      </c>
      <c r="H22" s="452" t="s">
        <v>1091</v>
      </c>
      <c r="I22" s="452"/>
      <c r="J22" s="452"/>
      <c r="K22" s="450" t="s">
        <v>3454</v>
      </c>
      <c r="L22" s="122" t="s">
        <v>3455</v>
      </c>
      <c r="O22" s="215"/>
      <c r="P22" s="215"/>
      <c r="Q22" s="356"/>
      <c r="R22" s="280"/>
      <c r="S22" s="215"/>
    </row>
    <row r="23" spans="1:19" x14ac:dyDescent="0.25">
      <c r="A23" s="700" t="s">
        <v>3756</v>
      </c>
      <c r="B23" s="700"/>
      <c r="C23" s="700"/>
      <c r="D23" s="700"/>
      <c r="E23" s="700"/>
      <c r="F23" s="700"/>
      <c r="G23" s="608">
        <v>118375</v>
      </c>
      <c r="H23" s="446" t="str">
        <f>VLOOKUP(G23,база!A:F,2,FALSE)</f>
        <v>Постыляков Павел Николаевич</v>
      </c>
      <c r="I23" s="447" t="s">
        <v>3456</v>
      </c>
      <c r="J23" s="609">
        <v>8365</v>
      </c>
      <c r="K23" s="448">
        <f>J23*-1</f>
        <v>-8365</v>
      </c>
      <c r="L23" s="449" t="str">
        <f>VLOOKUP(G23,база!A:F,5,FALSE)</f>
        <v>рук</v>
      </c>
      <c r="Q23" s="356"/>
      <c r="R23" s="280"/>
      <c r="S23" s="215"/>
    </row>
    <row r="24" spans="1:19" x14ac:dyDescent="0.25">
      <c r="A24" s="435" t="s">
        <v>1090</v>
      </c>
      <c r="B24" s="450" t="s">
        <v>1091</v>
      </c>
      <c r="C24" s="447" t="s">
        <v>1092</v>
      </c>
      <c r="D24" s="447"/>
      <c r="E24" s="450" t="s">
        <v>3454</v>
      </c>
      <c r="F24" s="122" t="s">
        <v>3455</v>
      </c>
      <c r="G24" s="435"/>
      <c r="H24" s="436" t="s">
        <v>1058</v>
      </c>
      <c r="I24" s="436"/>
      <c r="J24" s="450">
        <f>SUM(J23:J23)</f>
        <v>8365</v>
      </c>
      <c r="K24" s="451">
        <f>SUM(K23:K23)</f>
        <v>-8365</v>
      </c>
      <c r="L24" s="450"/>
      <c r="R24" s="280"/>
      <c r="S24" s="215"/>
    </row>
    <row r="25" spans="1:19" x14ac:dyDescent="0.25">
      <c r="A25" s="608"/>
      <c r="B25" s="446" t="e">
        <f>VLOOKUP(A25,база!A:F,2,FALSE)</f>
        <v>#N/A</v>
      </c>
      <c r="C25" s="447" t="s">
        <v>3456</v>
      </c>
      <c r="D25" s="447"/>
      <c r="E25" s="609"/>
      <c r="F25" s="449" t="e">
        <f>VLOOKUP(A25,база!A:F,5,FALSE)</f>
        <v>#N/A</v>
      </c>
      <c r="G25" s="438"/>
      <c r="H25" s="438"/>
      <c r="I25" s="438"/>
      <c r="J25" s="83"/>
      <c r="K25" s="83"/>
      <c r="L25" s="83"/>
      <c r="R25" s="280"/>
      <c r="S25" s="215"/>
    </row>
    <row r="26" spans="1:19" x14ac:dyDescent="0.25">
      <c r="A26" s="608"/>
      <c r="B26" s="446" t="e">
        <f>VLOOKUP(A26,база!A:F,2,FALSE)</f>
        <v>#N/A</v>
      </c>
      <c r="C26" s="447" t="s">
        <v>3456</v>
      </c>
      <c r="D26" s="447"/>
      <c r="E26" s="609"/>
      <c r="F26" s="449" t="e">
        <f>VLOOKUP(A26,база!A:F,5,FALSE)</f>
        <v>#N/A</v>
      </c>
      <c r="G26" s="438"/>
      <c r="H26" s="83" t="s">
        <v>150</v>
      </c>
      <c r="I26" s="84"/>
      <c r="J26" s="84"/>
      <c r="K26" s="83" t="s">
        <v>1057</v>
      </c>
      <c r="L26" s="83"/>
      <c r="R26" s="280"/>
      <c r="S26" s="215"/>
    </row>
    <row r="27" spans="1:19" x14ac:dyDescent="0.25">
      <c r="A27" s="608"/>
      <c r="B27" s="446" t="e">
        <f>VLOOKUP(A27,база!A:F,2,FALSE)</f>
        <v>#N/A</v>
      </c>
      <c r="C27" s="447" t="s">
        <v>3456</v>
      </c>
      <c r="D27" s="447"/>
      <c r="E27" s="609"/>
      <c r="F27" s="449" t="e">
        <f>VLOOKUP(A27,база!A:F,5,FALSE)</f>
        <v>#N/A</v>
      </c>
      <c r="G27" s="438"/>
      <c r="H27" s="438"/>
      <c r="I27" s="438"/>
      <c r="J27" s="83"/>
      <c r="K27" s="83"/>
      <c r="L27" s="83"/>
      <c r="R27" s="280"/>
      <c r="S27" s="215"/>
    </row>
    <row r="28" spans="1:19" x14ac:dyDescent="0.25">
      <c r="A28" s="608"/>
      <c r="B28" s="446" t="e">
        <f>VLOOKUP(A28,база!A:F,2,FALSE)</f>
        <v>#N/A</v>
      </c>
      <c r="C28" s="447" t="s">
        <v>3456</v>
      </c>
      <c r="D28" s="447"/>
      <c r="E28" s="609"/>
      <c r="F28" s="449" t="e">
        <f>VLOOKUP(A28,база!A:F,5,FALSE)</f>
        <v>#N/A</v>
      </c>
      <c r="G28" s="438"/>
      <c r="H28" s="438"/>
      <c r="I28" s="438"/>
      <c r="J28" s="83"/>
      <c r="K28" s="83"/>
      <c r="L28" s="83"/>
      <c r="R28" s="280"/>
      <c r="S28" s="215"/>
    </row>
    <row r="29" spans="1:19" x14ac:dyDescent="0.25">
      <c r="A29" s="608"/>
      <c r="B29" s="446" t="e">
        <f>VLOOKUP(A29,база!A:F,2,FALSE)</f>
        <v>#N/A</v>
      </c>
      <c r="C29" s="447" t="s">
        <v>3456</v>
      </c>
      <c r="D29" s="447"/>
      <c r="E29" s="609"/>
      <c r="F29" s="449" t="e">
        <f>VLOOKUP(A29,база!A:F,5,FALSE)</f>
        <v>#N/A</v>
      </c>
      <c r="G29" s="351" t="s">
        <v>3452</v>
      </c>
      <c r="H29" s="456"/>
      <c r="I29" s="456"/>
      <c r="J29" s="456"/>
      <c r="K29" s="457">
        <f>K13</f>
        <v>-39521.1</v>
      </c>
      <c r="L29" s="387"/>
      <c r="R29" s="280"/>
      <c r="S29" s="215"/>
    </row>
    <row r="30" spans="1:19" x14ac:dyDescent="0.25">
      <c r="A30" s="608"/>
      <c r="B30" s="446" t="e">
        <f>VLOOKUP(A30,база!A:F,2,FALSE)</f>
        <v>#N/A</v>
      </c>
      <c r="C30" s="447" t="s">
        <v>3456</v>
      </c>
      <c r="D30" s="447"/>
      <c r="E30" s="609"/>
      <c r="F30" s="449" t="e">
        <f>VLOOKUP(A30,база!A:F,5,FALSE)</f>
        <v>#N/A</v>
      </c>
      <c r="G30" s="351" t="s">
        <v>1157</v>
      </c>
      <c r="H30" s="456"/>
      <c r="I30" s="456"/>
      <c r="J30" s="456"/>
      <c r="K30" s="457">
        <f>K24</f>
        <v>-8365</v>
      </c>
      <c r="L30" s="387"/>
      <c r="R30" s="280"/>
      <c r="S30" s="215"/>
    </row>
    <row r="31" spans="1:19" x14ac:dyDescent="0.25">
      <c r="A31" s="435"/>
      <c r="B31" s="433" t="s">
        <v>3458</v>
      </c>
      <c r="C31" s="443"/>
      <c r="D31" s="443"/>
      <c r="E31" s="433">
        <f>SUM(E25:E30)</f>
        <v>0</v>
      </c>
      <c r="F31" s="431"/>
      <c r="G31" s="351" t="s">
        <v>1058</v>
      </c>
      <c r="H31" s="456"/>
      <c r="I31" s="456"/>
      <c r="J31" s="456"/>
      <c r="K31" s="457">
        <f>SUM(K29:K30)</f>
        <v>-47886.1</v>
      </c>
      <c r="L31" s="388"/>
      <c r="R31" s="280"/>
      <c r="S31" s="215"/>
    </row>
    <row r="32" spans="1:19" x14ac:dyDescent="0.25">
      <c r="A32" s="438"/>
      <c r="B32" s="454"/>
      <c r="C32" s="455"/>
      <c r="D32" s="455"/>
      <c r="E32" s="454"/>
      <c r="F32" s="445"/>
      <c r="G32" s="456"/>
      <c r="H32" s="456"/>
      <c r="I32" s="456"/>
      <c r="J32" s="456"/>
      <c r="K32" s="457"/>
      <c r="L32" s="388"/>
      <c r="R32" s="280"/>
      <c r="S32" s="215"/>
    </row>
    <row r="33" spans="1:19" x14ac:dyDescent="0.25">
      <c r="A33" s="83" t="s">
        <v>150</v>
      </c>
      <c r="B33" s="84"/>
      <c r="C33" s="84"/>
      <c r="D33" s="83" t="s">
        <v>1057</v>
      </c>
      <c r="E33" s="83" t="s">
        <v>1057</v>
      </c>
      <c r="F33" s="428"/>
      <c r="G33" s="438"/>
      <c r="H33" s="83" t="s">
        <v>150</v>
      </c>
      <c r="I33" s="83"/>
      <c r="J33" s="83"/>
      <c r="K33" s="438" t="s">
        <v>1057</v>
      </c>
      <c r="L33" s="387"/>
      <c r="R33" s="280"/>
      <c r="S33" s="215"/>
    </row>
    <row r="34" spans="1:19" x14ac:dyDescent="0.25">
      <c r="A34" s="196"/>
      <c r="B34" s="83"/>
      <c r="C34" s="84"/>
      <c r="D34" s="84"/>
      <c r="E34" s="453"/>
      <c r="F34" s="438"/>
      <c r="R34" s="280"/>
      <c r="S34" s="215"/>
    </row>
    <row r="35" spans="1:19" x14ac:dyDescent="0.25">
      <c r="A35" s="196"/>
      <c r="B35" s="83"/>
      <c r="C35" s="84"/>
      <c r="D35" s="84"/>
      <c r="E35" s="453"/>
      <c r="F35" s="438"/>
      <c r="R35" s="280"/>
      <c r="S35" s="215"/>
    </row>
    <row r="36" spans="1:19" x14ac:dyDescent="0.25">
      <c r="A36" s="196"/>
      <c r="B36" s="83"/>
      <c r="C36" s="84"/>
      <c r="D36" s="84"/>
      <c r="E36" s="453"/>
      <c r="F36" s="438"/>
      <c r="R36" s="280"/>
      <c r="S36" s="215"/>
    </row>
    <row r="37" spans="1:19" x14ac:dyDescent="0.25">
      <c r="A37" s="83"/>
      <c r="B37" s="351" t="s">
        <v>3452</v>
      </c>
      <c r="C37" s="455"/>
      <c r="D37" s="455"/>
      <c r="E37" s="454">
        <f>E14</f>
        <v>14421</v>
      </c>
      <c r="F37" s="438"/>
      <c r="R37" s="280"/>
      <c r="S37" s="215"/>
    </row>
    <row r="38" spans="1:19" x14ac:dyDescent="0.25">
      <c r="A38" s="438"/>
      <c r="B38" s="351" t="s">
        <v>1157</v>
      </c>
      <c r="C38" s="455"/>
      <c r="D38" s="455"/>
      <c r="E38" s="454">
        <f>E31</f>
        <v>0</v>
      </c>
      <c r="F38" s="83"/>
      <c r="R38" s="280"/>
      <c r="S38" s="215"/>
    </row>
    <row r="39" spans="1:19" x14ac:dyDescent="0.25">
      <c r="A39" s="438"/>
      <c r="B39" s="351" t="s">
        <v>1058</v>
      </c>
      <c r="C39" s="455"/>
      <c r="D39" s="455"/>
      <c r="E39" s="454">
        <f>SUM(E37:E38)</f>
        <v>14421</v>
      </c>
      <c r="F39" s="215"/>
      <c r="R39" s="280"/>
      <c r="S39" s="215"/>
    </row>
    <row r="40" spans="1:19" x14ac:dyDescent="0.25">
      <c r="A40" s="438"/>
      <c r="B40" s="83"/>
      <c r="C40" s="84"/>
      <c r="D40" s="84"/>
      <c r="E40" s="83"/>
      <c r="F40" s="458"/>
      <c r="R40" s="280"/>
      <c r="S40" s="215"/>
    </row>
    <row r="41" spans="1:19" x14ac:dyDescent="0.25">
      <c r="A41" s="83" t="s">
        <v>173</v>
      </c>
      <c r="B41" s="84"/>
      <c r="C41" s="84"/>
      <c r="D41" s="83" t="s">
        <v>1057</v>
      </c>
      <c r="E41" s="83" t="s">
        <v>1057</v>
      </c>
      <c r="F41" s="428"/>
      <c r="R41" s="280"/>
      <c r="S41" s="215"/>
    </row>
    <row r="42" spans="1:19" x14ac:dyDescent="0.25">
      <c r="A42" s="196"/>
      <c r="B42" s="83"/>
      <c r="C42" s="84"/>
      <c r="D42" s="84"/>
      <c r="E42" s="459" t="s">
        <v>1058</v>
      </c>
      <c r="F42" s="407">
        <f>E37+K29</f>
        <v>-25100.1</v>
      </c>
      <c r="R42" s="280"/>
      <c r="S42" s="215"/>
    </row>
    <row r="43" spans="1:19" x14ac:dyDescent="0.25">
      <c r="A43" s="196"/>
      <c r="B43" s="83"/>
      <c r="C43" s="84"/>
      <c r="D43" s="84"/>
      <c r="E43" s="453"/>
      <c r="F43" s="83"/>
      <c r="R43" s="280"/>
      <c r="S43" s="215"/>
    </row>
    <row r="44" spans="1:19" x14ac:dyDescent="0.25">
      <c r="A44" s="196"/>
      <c r="B44" s="83"/>
      <c r="C44" s="84"/>
      <c r="D44" s="84"/>
      <c r="E44" s="459" t="s">
        <v>3459</v>
      </c>
      <c r="F44" s="407">
        <f>E39+K31</f>
        <v>-33465.1</v>
      </c>
      <c r="R44" s="280"/>
      <c r="S44" s="215"/>
    </row>
    <row r="45" spans="1:19" x14ac:dyDescent="0.25">
      <c r="A45" s="196"/>
      <c r="B45" s="83"/>
      <c r="C45" s="84"/>
      <c r="D45" s="84"/>
      <c r="E45" s="453"/>
      <c r="F45" s="439"/>
      <c r="R45" s="280"/>
      <c r="S45" s="215"/>
    </row>
    <row r="46" spans="1:19" x14ac:dyDescent="0.25">
      <c r="A46" s="196"/>
      <c r="B46" s="83"/>
      <c r="C46" s="84"/>
      <c r="D46" s="84"/>
      <c r="E46" s="453"/>
      <c r="F46" s="439"/>
      <c r="R46" s="280"/>
      <c r="S46" s="215"/>
    </row>
    <row r="47" spans="1:19" x14ac:dyDescent="0.25">
      <c r="R47" s="280"/>
      <c r="S47" s="215"/>
    </row>
    <row r="48" spans="1:19" x14ac:dyDescent="0.25">
      <c r="R48" s="280"/>
      <c r="S48" s="215"/>
    </row>
    <row r="49" spans="13:19" x14ac:dyDescent="0.25">
      <c r="M49" s="426"/>
      <c r="R49" s="280"/>
      <c r="S49" s="215"/>
    </row>
    <row r="50" spans="13:19" x14ac:dyDescent="0.25">
      <c r="M50" s="426"/>
      <c r="R50" s="280"/>
      <c r="S50" s="215"/>
    </row>
    <row r="51" spans="13:19" x14ac:dyDescent="0.25">
      <c r="M51" s="426"/>
      <c r="R51" s="280"/>
      <c r="S51" s="215"/>
    </row>
    <row r="52" spans="13:19" x14ac:dyDescent="0.25">
      <c r="M52" s="426"/>
      <c r="R52" s="280"/>
      <c r="S52" s="215"/>
    </row>
    <row r="53" spans="13:19" x14ac:dyDescent="0.25">
      <c r="M53" s="426"/>
      <c r="R53" s="280"/>
      <c r="S53" s="215"/>
    </row>
    <row r="54" spans="13:19" x14ac:dyDescent="0.25">
      <c r="M54" s="426"/>
      <c r="R54" s="280"/>
      <c r="S54" s="215"/>
    </row>
    <row r="55" spans="13:19" x14ac:dyDescent="0.25">
      <c r="M55" s="426"/>
      <c r="R55" s="280"/>
      <c r="S55" s="215"/>
    </row>
    <row r="56" spans="13:19" x14ac:dyDescent="0.25">
      <c r="M56" s="426"/>
      <c r="R56" s="280"/>
      <c r="S56" s="215"/>
    </row>
    <row r="57" spans="13:19" x14ac:dyDescent="0.25">
      <c r="M57" s="426"/>
      <c r="R57" s="280"/>
      <c r="S57" s="215"/>
    </row>
    <row r="58" spans="13:19" x14ac:dyDescent="0.25">
      <c r="M58" s="426"/>
      <c r="R58" s="280"/>
      <c r="S58" s="215"/>
    </row>
    <row r="59" spans="13:19" x14ac:dyDescent="0.25">
      <c r="M59" s="426"/>
      <c r="R59" s="280"/>
      <c r="S59" s="215"/>
    </row>
    <row r="60" spans="13:19" x14ac:dyDescent="0.25">
      <c r="M60" s="426"/>
      <c r="R60" s="280"/>
      <c r="S60" s="215"/>
    </row>
    <row r="61" spans="13:19" x14ac:dyDescent="0.25">
      <c r="M61" s="426"/>
      <c r="R61" s="280"/>
      <c r="S61" s="215"/>
    </row>
    <row r="62" spans="13:19" x14ac:dyDescent="0.25">
      <c r="M62" s="426"/>
      <c r="R62" s="280"/>
      <c r="S62" s="215"/>
    </row>
    <row r="63" spans="13:19" x14ac:dyDescent="0.25">
      <c r="M63" s="428"/>
      <c r="R63" s="280"/>
      <c r="S63" s="215"/>
    </row>
    <row r="64" spans="13:19" x14ac:dyDescent="0.25">
      <c r="M64" s="426"/>
      <c r="R64" s="280"/>
      <c r="S64" s="215"/>
    </row>
    <row r="65" spans="13:19" x14ac:dyDescent="0.25">
      <c r="R65" s="280"/>
      <c r="S65" s="215"/>
    </row>
    <row r="66" spans="13:19" x14ac:dyDescent="0.25">
      <c r="R66" s="280"/>
      <c r="S66" s="215"/>
    </row>
    <row r="67" spans="13:19" x14ac:dyDescent="0.25">
      <c r="R67" s="280"/>
      <c r="S67" s="215"/>
    </row>
    <row r="68" spans="13:19" x14ac:dyDescent="0.25">
      <c r="R68" s="280"/>
      <c r="S68" s="215"/>
    </row>
    <row r="69" spans="13:19" x14ac:dyDescent="0.25">
      <c r="R69" s="280"/>
      <c r="S69" s="215"/>
    </row>
    <row r="70" spans="13:19" x14ac:dyDescent="0.25">
      <c r="M70" s="232"/>
      <c r="R70" s="280"/>
      <c r="S70" s="215"/>
    </row>
    <row r="71" spans="13:19" x14ac:dyDescent="0.25">
      <c r="M71" s="232"/>
      <c r="R71" s="280"/>
      <c r="S71" s="215"/>
    </row>
    <row r="72" spans="13:19" x14ac:dyDescent="0.25">
      <c r="M72" s="232"/>
      <c r="R72" s="280"/>
      <c r="S72" s="215"/>
    </row>
    <row r="73" spans="13:19" x14ac:dyDescent="0.25">
      <c r="M73" s="232"/>
      <c r="R73" s="280"/>
      <c r="S73" s="215"/>
    </row>
    <row r="74" spans="13:19" x14ac:dyDescent="0.25">
      <c r="R74" s="280"/>
      <c r="S74" s="215"/>
    </row>
    <row r="75" spans="13:19" x14ac:dyDescent="0.25">
      <c r="R75" s="280"/>
      <c r="S75" s="215"/>
    </row>
    <row r="76" spans="13:19" x14ac:dyDescent="0.25">
      <c r="R76" s="280"/>
      <c r="S76" s="215"/>
    </row>
    <row r="77" spans="13:19" x14ac:dyDescent="0.25">
      <c r="R77" s="280"/>
      <c r="S77" s="215"/>
    </row>
    <row r="78" spans="13:19" x14ac:dyDescent="0.25">
      <c r="R78" s="280"/>
      <c r="S78" s="215"/>
    </row>
    <row r="79" spans="13:19" x14ac:dyDescent="0.25">
      <c r="R79" s="280"/>
      <c r="S79" s="215"/>
    </row>
    <row r="80" spans="13:19" x14ac:dyDescent="0.25">
      <c r="R80" s="280"/>
      <c r="S80" s="215"/>
    </row>
    <row r="81" spans="18:19" x14ac:dyDescent="0.25">
      <c r="R81" s="280"/>
      <c r="S81" s="215"/>
    </row>
    <row r="82" spans="18:19" x14ac:dyDescent="0.25">
      <c r="R82" s="280"/>
      <c r="S82" s="215"/>
    </row>
    <row r="83" spans="18:19" x14ac:dyDescent="0.25">
      <c r="R83" s="280"/>
      <c r="S83" s="215"/>
    </row>
    <row r="84" spans="18:19" x14ac:dyDescent="0.25">
      <c r="R84" s="280"/>
      <c r="S84" s="215"/>
    </row>
    <row r="85" spans="18:19" x14ac:dyDescent="0.25">
      <c r="R85" s="280"/>
      <c r="S85" s="215"/>
    </row>
    <row r="86" spans="18:19" x14ac:dyDescent="0.25">
      <c r="R86" s="280"/>
      <c r="S86" s="215"/>
    </row>
    <row r="87" spans="18:19" x14ac:dyDescent="0.25">
      <c r="R87" s="280"/>
      <c r="S87" s="215"/>
    </row>
    <row r="88" spans="18:19" x14ac:dyDescent="0.25">
      <c r="R88" s="280"/>
      <c r="S88" s="215"/>
    </row>
    <row r="89" spans="18:19" x14ac:dyDescent="0.25">
      <c r="R89" s="280"/>
      <c r="S89" s="215"/>
    </row>
    <row r="90" spans="18:19" x14ac:dyDescent="0.25">
      <c r="R90" s="280"/>
      <c r="S90" s="215"/>
    </row>
    <row r="91" spans="18:19" x14ac:dyDescent="0.25">
      <c r="R91" s="280"/>
      <c r="S91" s="215"/>
    </row>
    <row r="92" spans="18:19" x14ac:dyDescent="0.25">
      <c r="R92" s="280"/>
      <c r="S92" s="215"/>
    </row>
    <row r="93" spans="18:19" x14ac:dyDescent="0.25">
      <c r="R93" s="280"/>
      <c r="S93" s="215"/>
    </row>
    <row r="94" spans="18:19" x14ac:dyDescent="0.25">
      <c r="R94" s="280"/>
      <c r="S94" s="215"/>
    </row>
    <row r="95" spans="18:19" x14ac:dyDescent="0.25">
      <c r="R95" s="280"/>
      <c r="S95" s="215"/>
    </row>
    <row r="96" spans="18:19" x14ac:dyDescent="0.25">
      <c r="R96" s="280"/>
      <c r="S96" s="215"/>
    </row>
    <row r="97" spans="18:19" x14ac:dyDescent="0.25">
      <c r="R97" s="280"/>
      <c r="S97" s="215"/>
    </row>
    <row r="98" spans="18:19" x14ac:dyDescent="0.25">
      <c r="R98" s="280"/>
      <c r="S98" s="215"/>
    </row>
    <row r="99" spans="18:19" x14ac:dyDescent="0.25">
      <c r="R99" s="280"/>
      <c r="S99" s="215"/>
    </row>
    <row r="100" spans="18:19" x14ac:dyDescent="0.25">
      <c r="R100" s="280"/>
      <c r="S100" s="215"/>
    </row>
    <row r="101" spans="18:19" x14ac:dyDescent="0.25">
      <c r="R101" s="280"/>
      <c r="S101" s="215"/>
    </row>
    <row r="102" spans="18:19" x14ac:dyDescent="0.25">
      <c r="R102" s="280"/>
      <c r="S102" s="215"/>
    </row>
    <row r="103" spans="18:19" x14ac:dyDescent="0.25">
      <c r="R103" s="280"/>
      <c r="S103" s="215"/>
    </row>
    <row r="104" spans="18:19" x14ac:dyDescent="0.25">
      <c r="R104" s="280"/>
      <c r="S104" s="215"/>
    </row>
    <row r="105" spans="18:19" x14ac:dyDescent="0.25">
      <c r="R105" s="280"/>
      <c r="S105" s="215"/>
    </row>
    <row r="106" spans="18:19" x14ac:dyDescent="0.25">
      <c r="R106" s="280"/>
      <c r="S106" s="215"/>
    </row>
    <row r="107" spans="18:19" x14ac:dyDescent="0.25">
      <c r="R107" s="280"/>
      <c r="S107" s="215"/>
    </row>
    <row r="108" spans="18:19" x14ac:dyDescent="0.25">
      <c r="R108" s="280"/>
      <c r="S108" s="215"/>
    </row>
    <row r="109" spans="18:19" x14ac:dyDescent="0.25">
      <c r="R109" s="280"/>
      <c r="S109" s="215"/>
    </row>
    <row r="110" spans="18:19" x14ac:dyDescent="0.25">
      <c r="R110" s="280"/>
      <c r="S110" s="215"/>
    </row>
    <row r="111" spans="18:19" x14ac:dyDescent="0.25">
      <c r="R111" s="280"/>
      <c r="S111" s="215"/>
    </row>
    <row r="112" spans="18:19" x14ac:dyDescent="0.25">
      <c r="R112" s="280"/>
      <c r="S112" s="215"/>
    </row>
    <row r="113" spans="13:19" x14ac:dyDescent="0.25">
      <c r="R113" s="280"/>
      <c r="S113" s="215"/>
    </row>
    <row r="114" spans="13:19" x14ac:dyDescent="0.25">
      <c r="R114" s="280"/>
      <c r="S114" s="215"/>
    </row>
    <row r="115" spans="13:19" x14ac:dyDescent="0.25">
      <c r="M115" s="438"/>
      <c r="R115" s="280"/>
      <c r="S115" s="215"/>
    </row>
    <row r="116" spans="13:19" x14ac:dyDescent="0.25">
      <c r="R116" s="280"/>
      <c r="S116" s="215"/>
    </row>
    <row r="117" spans="13:19" x14ac:dyDescent="0.25">
      <c r="R117" s="280"/>
      <c r="S117" s="215"/>
    </row>
    <row r="118" spans="13:19" x14ac:dyDescent="0.25">
      <c r="R118" s="280"/>
      <c r="S118" s="215"/>
    </row>
    <row r="119" spans="13:19" x14ac:dyDescent="0.25">
      <c r="R119" s="280"/>
      <c r="S119" s="215"/>
    </row>
    <row r="120" spans="13:19" x14ac:dyDescent="0.25">
      <c r="R120" s="280"/>
      <c r="S120" s="215"/>
    </row>
    <row r="121" spans="13:19" x14ac:dyDescent="0.25">
      <c r="R121" s="280"/>
      <c r="S121" s="215"/>
    </row>
    <row r="122" spans="13:19" x14ac:dyDescent="0.25">
      <c r="R122" s="280"/>
      <c r="S122" s="215"/>
    </row>
    <row r="123" spans="13:19" x14ac:dyDescent="0.25">
      <c r="R123" s="280"/>
      <c r="S123" s="215"/>
    </row>
    <row r="124" spans="13:19" x14ac:dyDescent="0.25">
      <c r="R124" s="280"/>
      <c r="S124" s="215"/>
    </row>
    <row r="125" spans="13:19" x14ac:dyDescent="0.25">
      <c r="R125" s="280"/>
      <c r="S125" s="215"/>
    </row>
    <row r="126" spans="13:19" x14ac:dyDescent="0.25">
      <c r="R126" s="280"/>
      <c r="S126" s="215"/>
    </row>
    <row r="127" spans="13:19" x14ac:dyDescent="0.25">
      <c r="R127" s="280"/>
      <c r="S127" s="215"/>
    </row>
    <row r="128" spans="13:19" x14ac:dyDescent="0.25">
      <c r="R128" s="280"/>
      <c r="S128" s="215"/>
    </row>
    <row r="129" spans="18:19" x14ac:dyDescent="0.25">
      <c r="R129" s="280"/>
      <c r="S129" s="215"/>
    </row>
    <row r="130" spans="18:19" x14ac:dyDescent="0.25">
      <c r="R130" s="280"/>
      <c r="S130" s="215"/>
    </row>
    <row r="131" spans="18:19" x14ac:dyDescent="0.25">
      <c r="R131" s="280"/>
      <c r="S131" s="215"/>
    </row>
    <row r="132" spans="18:19" x14ac:dyDescent="0.25">
      <c r="R132" s="280"/>
      <c r="S132" s="215"/>
    </row>
    <row r="133" spans="18:19" ht="16.5" customHeight="1" x14ac:dyDescent="0.25">
      <c r="R133" s="280"/>
      <c r="S133" s="215"/>
    </row>
    <row r="134" spans="18:19" x14ac:dyDescent="0.25">
      <c r="R134" s="280"/>
      <c r="S134" s="215"/>
    </row>
    <row r="135" spans="18:19" x14ac:dyDescent="0.25">
      <c r="R135" s="280"/>
      <c r="S135" s="215"/>
    </row>
    <row r="136" spans="18:19" x14ac:dyDescent="0.25">
      <c r="R136" s="280"/>
      <c r="S136" s="215"/>
    </row>
    <row r="137" spans="18:19" x14ac:dyDescent="0.25">
      <c r="R137" s="280"/>
      <c r="S137" s="215"/>
    </row>
    <row r="138" spans="18:19" x14ac:dyDescent="0.25">
      <c r="R138" s="280"/>
      <c r="S138" s="215"/>
    </row>
    <row r="139" spans="18:19" x14ac:dyDescent="0.25">
      <c r="R139" s="280"/>
      <c r="S139" s="215"/>
    </row>
    <row r="140" spans="18:19" x14ac:dyDescent="0.25">
      <c r="R140" s="280"/>
      <c r="S140" s="215"/>
    </row>
    <row r="141" spans="18:19" x14ac:dyDescent="0.25">
      <c r="R141" s="280"/>
      <c r="S141" s="215"/>
    </row>
    <row r="142" spans="18:19" x14ac:dyDescent="0.25">
      <c r="R142" s="280"/>
      <c r="S142" s="215"/>
    </row>
    <row r="143" spans="18:19" x14ac:dyDescent="0.25">
      <c r="R143" s="280"/>
      <c r="S143" s="215"/>
    </row>
    <row r="144" spans="18:19" x14ac:dyDescent="0.25">
      <c r="R144" s="280"/>
      <c r="S144" s="215"/>
    </row>
    <row r="145" spans="18:19" x14ac:dyDescent="0.25">
      <c r="R145" s="280"/>
      <c r="S145" s="215"/>
    </row>
    <row r="146" spans="18:19" x14ac:dyDescent="0.25">
      <c r="R146" s="280"/>
      <c r="S146" s="215"/>
    </row>
    <row r="147" spans="18:19" x14ac:dyDescent="0.25">
      <c r="R147" s="280"/>
      <c r="S147" s="215"/>
    </row>
    <row r="148" spans="18:19" x14ac:dyDescent="0.25">
      <c r="R148" s="280"/>
      <c r="S148" s="215"/>
    </row>
    <row r="149" spans="18:19" x14ac:dyDescent="0.25">
      <c r="R149" s="280"/>
      <c r="S149" s="215"/>
    </row>
    <row r="150" spans="18:19" x14ac:dyDescent="0.25">
      <c r="R150" s="280"/>
      <c r="S150" s="215"/>
    </row>
    <row r="151" spans="18:19" x14ac:dyDescent="0.25">
      <c r="R151" s="280"/>
      <c r="S151" s="215"/>
    </row>
    <row r="152" spans="18:19" x14ac:dyDescent="0.25">
      <c r="R152" s="280"/>
      <c r="S152" s="215"/>
    </row>
    <row r="153" spans="18:19" x14ac:dyDescent="0.25">
      <c r="R153" s="280"/>
      <c r="S153" s="215"/>
    </row>
    <row r="154" spans="18:19" x14ac:dyDescent="0.25">
      <c r="R154" s="280"/>
      <c r="S154" s="215"/>
    </row>
    <row r="155" spans="18:19" x14ac:dyDescent="0.25">
      <c r="R155" s="280"/>
      <c r="S155" s="215"/>
    </row>
    <row r="156" spans="18:19" x14ac:dyDescent="0.25">
      <c r="R156" s="280"/>
      <c r="S156" s="215"/>
    </row>
    <row r="157" spans="18:19" x14ac:dyDescent="0.25">
      <c r="R157" s="280"/>
      <c r="S157" s="215"/>
    </row>
    <row r="158" spans="18:19" x14ac:dyDescent="0.25">
      <c r="R158" s="280"/>
      <c r="S158" s="215"/>
    </row>
    <row r="159" spans="18:19" x14ac:dyDescent="0.25">
      <c r="R159" s="280"/>
      <c r="S159" s="215"/>
    </row>
    <row r="160" spans="18:19" x14ac:dyDescent="0.25">
      <c r="R160" s="280"/>
      <c r="S160" s="215"/>
    </row>
    <row r="161" spans="18:19" x14ac:dyDescent="0.25">
      <c r="R161" s="280"/>
      <c r="S161" s="215"/>
    </row>
    <row r="162" spans="18:19" x14ac:dyDescent="0.25">
      <c r="R162" s="280"/>
      <c r="S162" s="215"/>
    </row>
    <row r="163" spans="18:19" x14ac:dyDescent="0.25">
      <c r="R163" s="280"/>
      <c r="S163" s="215"/>
    </row>
    <row r="164" spans="18:19" x14ac:dyDescent="0.25">
      <c r="R164" s="280"/>
      <c r="S164" s="215"/>
    </row>
    <row r="165" spans="18:19" x14ac:dyDescent="0.25">
      <c r="R165" s="280"/>
      <c r="S165" s="215"/>
    </row>
    <row r="166" spans="18:19" x14ac:dyDescent="0.25">
      <c r="R166" s="280"/>
      <c r="S166" s="215"/>
    </row>
    <row r="167" spans="18:19" x14ac:dyDescent="0.25">
      <c r="R167" s="280"/>
      <c r="S167" s="215"/>
    </row>
    <row r="168" spans="18:19" x14ac:dyDescent="0.25">
      <c r="R168" s="280"/>
      <c r="S168" s="215"/>
    </row>
    <row r="169" spans="18:19" x14ac:dyDescent="0.25">
      <c r="R169" s="280"/>
      <c r="S169" s="215"/>
    </row>
    <row r="170" spans="18:19" x14ac:dyDescent="0.25">
      <c r="R170" s="280"/>
      <c r="S170" s="215"/>
    </row>
    <row r="171" spans="18:19" x14ac:dyDescent="0.25">
      <c r="R171" s="280"/>
      <c r="S171" s="215"/>
    </row>
    <row r="172" spans="18:19" x14ac:dyDescent="0.25">
      <c r="R172" s="280"/>
      <c r="S172" s="215"/>
    </row>
    <row r="173" spans="18:19" x14ac:dyDescent="0.25">
      <c r="R173" s="280"/>
      <c r="S173" s="215"/>
    </row>
    <row r="174" spans="18:19" x14ac:dyDescent="0.25">
      <c r="R174" s="280"/>
      <c r="S174" s="215"/>
    </row>
    <row r="175" spans="18:19" x14ac:dyDescent="0.25">
      <c r="R175" s="280"/>
      <c r="S175" s="215"/>
    </row>
    <row r="176" spans="18:19" x14ac:dyDescent="0.25">
      <c r="R176" s="280"/>
      <c r="S176" s="215"/>
    </row>
    <row r="177" spans="18:19" x14ac:dyDescent="0.25">
      <c r="R177" s="280"/>
      <c r="S177" s="215"/>
    </row>
    <row r="178" spans="18:19" x14ac:dyDescent="0.25">
      <c r="R178" s="280"/>
      <c r="S178" s="215"/>
    </row>
    <row r="179" spans="18:19" x14ac:dyDescent="0.25">
      <c r="R179" s="280"/>
      <c r="S179" s="215"/>
    </row>
    <row r="180" spans="18:19" x14ac:dyDescent="0.25">
      <c r="R180" s="280"/>
      <c r="S180" s="215"/>
    </row>
    <row r="181" spans="18:19" x14ac:dyDescent="0.25">
      <c r="R181" s="280"/>
      <c r="S181" s="215"/>
    </row>
    <row r="182" spans="18:19" x14ac:dyDescent="0.25">
      <c r="R182" s="280"/>
      <c r="S182" s="215"/>
    </row>
    <row r="183" spans="18:19" x14ac:dyDescent="0.25">
      <c r="R183" s="280"/>
      <c r="S183" s="215"/>
    </row>
    <row r="184" spans="18:19" x14ac:dyDescent="0.25">
      <c r="R184" s="280"/>
      <c r="S184" s="215"/>
    </row>
    <row r="185" spans="18:19" x14ac:dyDescent="0.25">
      <c r="R185" s="280"/>
      <c r="S185" s="215"/>
    </row>
    <row r="186" spans="18:19" x14ac:dyDescent="0.25">
      <c r="R186" s="280"/>
      <c r="S186" s="215"/>
    </row>
    <row r="187" spans="18:19" x14ac:dyDescent="0.25">
      <c r="R187" s="280"/>
      <c r="S187" s="215"/>
    </row>
    <row r="188" spans="18:19" x14ac:dyDescent="0.25">
      <c r="R188" s="280"/>
      <c r="S188" s="215"/>
    </row>
    <row r="189" spans="18:19" x14ac:dyDescent="0.25">
      <c r="R189" s="280"/>
      <c r="S189" s="215"/>
    </row>
    <row r="190" spans="18:19" x14ac:dyDescent="0.25">
      <c r="R190" s="280"/>
      <c r="S190" s="215"/>
    </row>
    <row r="191" spans="18:19" x14ac:dyDescent="0.25">
      <c r="R191" s="280"/>
      <c r="S191" s="215"/>
    </row>
    <row r="192" spans="18:19" x14ac:dyDescent="0.25">
      <c r="R192" s="280"/>
      <c r="S192" s="215"/>
    </row>
    <row r="193" spans="18:19" x14ac:dyDescent="0.25">
      <c r="R193" s="280"/>
      <c r="S193" s="215"/>
    </row>
    <row r="194" spans="18:19" x14ac:dyDescent="0.25">
      <c r="R194" s="280"/>
      <c r="S194" s="215"/>
    </row>
    <row r="195" spans="18:19" x14ac:dyDescent="0.25">
      <c r="R195" s="280"/>
      <c r="S195" s="215"/>
    </row>
    <row r="196" spans="18:19" x14ac:dyDescent="0.25">
      <c r="R196" s="280"/>
      <c r="S196" s="215"/>
    </row>
    <row r="197" spans="18:19" x14ac:dyDescent="0.25">
      <c r="R197" s="280"/>
      <c r="S197" s="215"/>
    </row>
    <row r="198" spans="18:19" x14ac:dyDescent="0.25">
      <c r="R198" s="280"/>
      <c r="S198" s="215"/>
    </row>
    <row r="199" spans="18:19" x14ac:dyDescent="0.25">
      <c r="R199" s="280"/>
      <c r="S199" s="215"/>
    </row>
    <row r="200" spans="18:19" x14ac:dyDescent="0.25">
      <c r="R200" s="280"/>
      <c r="S200" s="215"/>
    </row>
    <row r="201" spans="18:19" x14ac:dyDescent="0.25">
      <c r="R201" s="280"/>
      <c r="S201" s="215"/>
    </row>
    <row r="202" spans="18:19" x14ac:dyDescent="0.25">
      <c r="R202" s="280"/>
      <c r="S202" s="215"/>
    </row>
    <row r="203" spans="18:19" x14ac:dyDescent="0.25">
      <c r="R203" s="280"/>
      <c r="S203" s="215"/>
    </row>
    <row r="204" spans="18:19" x14ac:dyDescent="0.25">
      <c r="R204" s="280"/>
      <c r="S204" s="215"/>
    </row>
    <row r="205" spans="18:19" x14ac:dyDescent="0.25">
      <c r="R205" s="280"/>
      <c r="S205" s="215"/>
    </row>
    <row r="206" spans="18:19" x14ac:dyDescent="0.25">
      <c r="R206" s="280"/>
      <c r="S206" s="215"/>
    </row>
    <row r="207" spans="18:19" x14ac:dyDescent="0.25">
      <c r="R207" s="280"/>
      <c r="S207" s="215"/>
    </row>
    <row r="208" spans="18:19" x14ac:dyDescent="0.25">
      <c r="R208" s="280"/>
      <c r="S208" s="215"/>
    </row>
    <row r="209" spans="18:19" x14ac:dyDescent="0.25">
      <c r="R209" s="280"/>
      <c r="S209" s="215"/>
    </row>
    <row r="210" spans="18:19" x14ac:dyDescent="0.25">
      <c r="R210" s="280"/>
      <c r="S210" s="215"/>
    </row>
    <row r="211" spans="18:19" x14ac:dyDescent="0.25">
      <c r="R211" s="280"/>
      <c r="S211" s="215"/>
    </row>
    <row r="212" spans="18:19" x14ac:dyDescent="0.25">
      <c r="R212" s="280"/>
      <c r="S212" s="215"/>
    </row>
    <row r="213" spans="18:19" x14ac:dyDescent="0.25">
      <c r="R213" s="280"/>
      <c r="S213" s="215"/>
    </row>
  </sheetData>
  <sortState ref="G6:L15">
    <sortCondition ref="L6:L15"/>
  </sortState>
  <mergeCells count="15">
    <mergeCell ref="A22:F22"/>
    <mergeCell ref="A23:F23"/>
    <mergeCell ref="A4:F4"/>
    <mergeCell ref="G4:L4"/>
    <mergeCell ref="A1:F1"/>
    <mergeCell ref="G1:L1"/>
    <mergeCell ref="B2:E2"/>
    <mergeCell ref="H2:K2"/>
    <mergeCell ref="A3:F3"/>
    <mergeCell ref="G3:L3"/>
    <mergeCell ref="G19:L19"/>
    <mergeCell ref="G20:L20"/>
    <mergeCell ref="G21:L21"/>
    <mergeCell ref="A20:F20"/>
    <mergeCell ref="A21:F21"/>
  </mergeCells>
  <pageMargins left="0.25" right="0.25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255"/>
  <sheetViews>
    <sheetView zoomScale="60" zoomScaleNormal="60" workbookViewId="0">
      <selection activeCell="F53" sqref="F53"/>
    </sheetView>
  </sheetViews>
  <sheetFormatPr defaultColWidth="9.140625" defaultRowHeight="15" x14ac:dyDescent="0.25"/>
  <cols>
    <col min="1" max="1" width="11.5703125" style="214" customWidth="1"/>
    <col min="2" max="2" width="45.85546875" style="214" customWidth="1"/>
    <col min="3" max="3" width="9.140625" style="214"/>
    <col min="4" max="4" width="14" style="215" customWidth="1"/>
    <col min="5" max="5" width="14.7109375" style="214" customWidth="1"/>
    <col min="6" max="6" width="10.140625" style="214" customWidth="1"/>
    <col min="7" max="7" width="46.28515625" style="214" customWidth="1"/>
    <col min="8" max="8" width="8.42578125" style="214" customWidth="1"/>
    <col min="9" max="9" width="17.42578125" style="215" customWidth="1"/>
    <col min="10" max="10" width="15" style="214" customWidth="1"/>
    <col min="11" max="11" width="16.7109375" style="271" customWidth="1"/>
    <col min="12" max="12" width="16.5703125" style="271" customWidth="1"/>
    <col min="13" max="16384" width="9.140625" style="271"/>
  </cols>
  <sheetData>
    <row r="1" spans="1:13" x14ac:dyDescent="0.25">
      <c r="A1" s="698" t="s">
        <v>2655</v>
      </c>
      <c r="B1" s="698"/>
      <c r="C1" s="698"/>
      <c r="D1" s="698"/>
      <c r="E1" s="698"/>
      <c r="F1" s="698" t="s">
        <v>2655</v>
      </c>
      <c r="G1" s="698"/>
      <c r="H1" s="698"/>
      <c r="I1" s="698"/>
      <c r="J1" s="698"/>
    </row>
    <row r="2" spans="1:13" x14ac:dyDescent="0.25">
      <c r="A2" s="426"/>
      <c r="B2" s="698" t="s">
        <v>1089</v>
      </c>
      <c r="C2" s="698"/>
      <c r="D2" s="698"/>
      <c r="E2" s="442"/>
      <c r="F2" s="442"/>
      <c r="G2" s="698" t="s">
        <v>1089</v>
      </c>
      <c r="H2" s="698"/>
      <c r="I2" s="698"/>
      <c r="J2" s="426"/>
      <c r="K2" s="426"/>
      <c r="L2" s="426"/>
      <c r="M2" s="426"/>
    </row>
    <row r="3" spans="1:13" x14ac:dyDescent="0.25">
      <c r="A3" s="699" t="s">
        <v>3453</v>
      </c>
      <c r="B3" s="699"/>
      <c r="C3" s="699"/>
      <c r="D3" s="699"/>
      <c r="E3" s="699"/>
      <c r="F3" s="699" t="s">
        <v>3453</v>
      </c>
      <c r="G3" s="699"/>
      <c r="H3" s="699"/>
      <c r="I3" s="699"/>
      <c r="J3" s="699"/>
      <c r="K3" s="395"/>
      <c r="L3" s="426"/>
      <c r="M3" s="426"/>
    </row>
    <row r="4" spans="1:13" x14ac:dyDescent="0.25">
      <c r="A4" s="700" t="s">
        <v>3756</v>
      </c>
      <c r="B4" s="700"/>
      <c r="C4" s="700"/>
      <c r="D4" s="700"/>
      <c r="E4" s="700"/>
      <c r="F4" s="700" t="s">
        <v>3756</v>
      </c>
      <c r="G4" s="700"/>
      <c r="H4" s="700"/>
      <c r="I4" s="700"/>
      <c r="J4" s="700"/>
      <c r="K4" s="395"/>
      <c r="L4" s="426"/>
      <c r="M4" s="426"/>
    </row>
    <row r="5" spans="1:13" x14ac:dyDescent="0.25">
      <c r="A5" s="431" t="s">
        <v>1090</v>
      </c>
      <c r="B5" s="433" t="s">
        <v>1091</v>
      </c>
      <c r="C5" s="443" t="s">
        <v>1092</v>
      </c>
      <c r="D5" s="433" t="s">
        <v>3454</v>
      </c>
      <c r="E5" s="431" t="s">
        <v>3455</v>
      </c>
      <c r="F5" s="431" t="s">
        <v>1090</v>
      </c>
      <c r="G5" s="444" t="s">
        <v>1091</v>
      </c>
      <c r="H5" s="443" t="s">
        <v>1092</v>
      </c>
      <c r="I5" s="433" t="s">
        <v>3454</v>
      </c>
      <c r="J5" s="431" t="s">
        <v>3455</v>
      </c>
      <c r="K5" s="445"/>
      <c r="L5" s="445"/>
      <c r="M5" s="445"/>
    </row>
    <row r="6" spans="1:13" ht="16.5" x14ac:dyDescent="0.25">
      <c r="A6" s="544"/>
      <c r="B6" s="446" t="e">
        <f>VLOOKUP(A6,база!A:F,2,FALSE)</f>
        <v>#N/A</v>
      </c>
      <c r="C6" s="447" t="s">
        <v>3460</v>
      </c>
      <c r="D6" s="543"/>
      <c r="E6" s="446" t="e">
        <f>VLOOKUP(A6,база!A:F,5,FALSE)</f>
        <v>#N/A</v>
      </c>
      <c r="F6" s="555">
        <v>2024</v>
      </c>
      <c r="G6" s="365" t="str">
        <f>VLOOKUP(F6,база!A:F,2,FALSE)</f>
        <v>Филиппов Владимир Петрович</v>
      </c>
      <c r="H6" s="554" t="s">
        <v>3460</v>
      </c>
      <c r="I6" s="557">
        <v>-1000</v>
      </c>
      <c r="J6" s="365">
        <f>VLOOKUP(F6,база!A:F,5,FALSE)</f>
        <v>0</v>
      </c>
      <c r="K6" s="426"/>
      <c r="L6" s="426"/>
      <c r="M6" s="426"/>
    </row>
    <row r="7" spans="1:13" ht="16.5" x14ac:dyDescent="0.25">
      <c r="A7" s="435"/>
      <c r="B7" s="433" t="s">
        <v>3461</v>
      </c>
      <c r="C7" s="443"/>
      <c r="D7" s="557">
        <f>SUM(D6:D6)</f>
        <v>0</v>
      </c>
      <c r="E7" s="435"/>
      <c r="F7" s="555">
        <v>45588</v>
      </c>
      <c r="G7" s="365" t="str">
        <f>VLOOKUP(F7,база!A:F,2,FALSE)</f>
        <v>Давыдова Лилия Газимовна</v>
      </c>
      <c r="H7" s="554" t="s">
        <v>3460</v>
      </c>
      <c r="I7" s="557">
        <v>-40.5</v>
      </c>
      <c r="J7" s="365">
        <f>VLOOKUP(F7,база!A:F,5,FALSE)</f>
        <v>0</v>
      </c>
      <c r="K7" s="426"/>
      <c r="L7" s="426"/>
      <c r="M7" s="426"/>
    </row>
    <row r="8" spans="1:13" ht="16.5" x14ac:dyDescent="0.25">
      <c r="A8" s="196"/>
      <c r="B8" s="83"/>
      <c r="C8" s="84"/>
      <c r="D8" s="460"/>
      <c r="E8" s="428"/>
      <c r="F8" s="555">
        <v>175635</v>
      </c>
      <c r="G8" s="365" t="str">
        <f>VLOOKUP(F8,база!A:F,2,FALSE)</f>
        <v>Бердин Владислав Владимирович</v>
      </c>
      <c r="H8" s="554" t="s">
        <v>3460</v>
      </c>
      <c r="I8" s="557">
        <v>-12348</v>
      </c>
      <c r="J8" s="365">
        <f>VLOOKUP(F8,база!A:F,5,FALSE)</f>
        <v>0</v>
      </c>
      <c r="K8" s="426"/>
      <c r="L8" s="426"/>
      <c r="M8" s="426"/>
    </row>
    <row r="9" spans="1:13" ht="16.5" x14ac:dyDescent="0.25">
      <c r="A9" s="83" t="s">
        <v>150</v>
      </c>
      <c r="B9" s="84"/>
      <c r="C9" s="84"/>
      <c r="D9" s="83" t="s">
        <v>1057</v>
      </c>
      <c r="E9" s="428"/>
      <c r="F9" s="435"/>
      <c r="G9" s="436" t="s">
        <v>1058</v>
      </c>
      <c r="H9" s="447"/>
      <c r="I9" s="585">
        <f>SUM(I6:I8)</f>
        <v>-13388.5</v>
      </c>
      <c r="J9" s="450"/>
      <c r="K9" s="426"/>
      <c r="L9" s="426"/>
      <c r="M9" s="426"/>
    </row>
    <row r="10" spans="1:13" x14ac:dyDescent="0.25">
      <c r="A10" s="196"/>
      <c r="B10" s="83"/>
      <c r="C10" s="84"/>
      <c r="D10" s="453"/>
      <c r="E10" s="438"/>
      <c r="F10" s="416"/>
      <c r="G10" s="438"/>
      <c r="H10" s="438"/>
      <c r="I10" s="460"/>
      <c r="J10" s="83"/>
      <c r="K10" s="426"/>
      <c r="L10" s="426"/>
      <c r="M10" s="426"/>
    </row>
    <row r="11" spans="1:13" x14ac:dyDescent="0.25">
      <c r="A11" s="196"/>
      <c r="B11" s="83"/>
      <c r="C11" s="84"/>
      <c r="D11" s="453"/>
      <c r="E11" s="438"/>
      <c r="F11" s="196"/>
      <c r="G11" s="83" t="s">
        <v>150</v>
      </c>
      <c r="H11" s="84"/>
      <c r="I11" s="83" t="s">
        <v>1057</v>
      </c>
      <c r="J11" s="83"/>
      <c r="K11" s="426"/>
      <c r="L11" s="426"/>
      <c r="M11" s="426"/>
    </row>
    <row r="12" spans="1:13" x14ac:dyDescent="0.25">
      <c r="A12" s="196"/>
      <c r="B12" s="83"/>
      <c r="C12" s="84"/>
      <c r="D12" s="453"/>
      <c r="E12" s="438"/>
      <c r="F12" s="438"/>
      <c r="G12" s="438"/>
      <c r="H12" s="438"/>
      <c r="I12" s="83"/>
      <c r="J12" s="83"/>
      <c r="K12" s="426"/>
      <c r="L12" s="426"/>
      <c r="M12" s="426"/>
    </row>
    <row r="13" spans="1:13" x14ac:dyDescent="0.25">
      <c r="A13" s="698" t="s">
        <v>2655</v>
      </c>
      <c r="B13" s="698"/>
      <c r="C13" s="698"/>
      <c r="D13" s="698"/>
      <c r="E13" s="698"/>
      <c r="F13" s="438"/>
      <c r="G13" s="438"/>
      <c r="H13" s="438"/>
      <c r="I13" s="83"/>
      <c r="J13" s="83"/>
      <c r="K13" s="426"/>
      <c r="L13" s="426"/>
      <c r="M13" s="426"/>
    </row>
    <row r="14" spans="1:13" x14ac:dyDescent="0.25">
      <c r="A14" s="698" t="s">
        <v>1089</v>
      </c>
      <c r="B14" s="698"/>
      <c r="C14" s="698"/>
      <c r="D14" s="698"/>
      <c r="E14" s="698"/>
      <c r="F14" s="438"/>
      <c r="G14" s="438"/>
      <c r="H14" s="438"/>
      <c r="I14" s="83"/>
      <c r="J14" s="83"/>
      <c r="K14" s="426"/>
      <c r="L14" s="426"/>
      <c r="M14" s="426"/>
    </row>
    <row r="15" spans="1:13" x14ac:dyDescent="0.25">
      <c r="A15" s="699" t="s">
        <v>3453</v>
      </c>
      <c r="B15" s="699"/>
      <c r="C15" s="699"/>
      <c r="D15" s="699"/>
      <c r="E15" s="699"/>
      <c r="F15" s="698" t="s">
        <v>2655</v>
      </c>
      <c r="G15" s="698"/>
      <c r="H15" s="698"/>
      <c r="I15" s="698"/>
      <c r="J15" s="698"/>
      <c r="K15" s="426"/>
      <c r="L15" s="426"/>
      <c r="M15" s="426"/>
    </row>
    <row r="16" spans="1:13" x14ac:dyDescent="0.25">
      <c r="A16" s="700" t="s">
        <v>3756</v>
      </c>
      <c r="B16" s="700"/>
      <c r="C16" s="700"/>
      <c r="D16" s="700"/>
      <c r="E16" s="700"/>
      <c r="F16" s="699" t="s">
        <v>3457</v>
      </c>
      <c r="G16" s="699"/>
      <c r="H16" s="699"/>
      <c r="I16" s="699"/>
      <c r="J16" s="699"/>
      <c r="K16" s="196"/>
      <c r="L16" s="426"/>
      <c r="M16" s="426"/>
    </row>
    <row r="17" spans="1:11" x14ac:dyDescent="0.25">
      <c r="A17" s="435" t="s">
        <v>1090</v>
      </c>
      <c r="B17" s="450" t="s">
        <v>1091</v>
      </c>
      <c r="C17" s="447" t="s">
        <v>1092</v>
      </c>
      <c r="D17" s="450" t="s">
        <v>3454</v>
      </c>
      <c r="E17" s="435" t="s">
        <v>3455</v>
      </c>
      <c r="F17" s="700" t="s">
        <v>3756</v>
      </c>
      <c r="G17" s="700"/>
      <c r="H17" s="700"/>
      <c r="I17" s="700"/>
      <c r="J17" s="700"/>
      <c r="K17" s="461"/>
    </row>
    <row r="18" spans="1:11" x14ac:dyDescent="0.25">
      <c r="A18" s="544"/>
      <c r="B18" s="446" t="e">
        <f>VLOOKUP(A18,база!A:F,2,FALSE)</f>
        <v>#N/A</v>
      </c>
      <c r="C18" s="447" t="s">
        <v>3460</v>
      </c>
      <c r="D18" s="543"/>
      <c r="E18" s="446" t="e">
        <f>VLOOKUP(A18,база!A:F,5,FALSE)</f>
        <v>#N/A</v>
      </c>
      <c r="F18" s="435" t="s">
        <v>1090</v>
      </c>
      <c r="G18" s="452" t="s">
        <v>1091</v>
      </c>
      <c r="H18" s="452"/>
      <c r="I18" s="450" t="s">
        <v>3454</v>
      </c>
      <c r="J18" s="435" t="s">
        <v>3455</v>
      </c>
      <c r="K18" s="461"/>
    </row>
    <row r="19" spans="1:11" ht="16.5" x14ac:dyDescent="0.25">
      <c r="A19" s="435"/>
      <c r="B19" s="433" t="s">
        <v>3461</v>
      </c>
      <c r="C19" s="443"/>
      <c r="D19" s="433">
        <f>SUM(D18:D18)</f>
        <v>0</v>
      </c>
      <c r="E19" s="431"/>
      <c r="F19" s="555">
        <v>11060</v>
      </c>
      <c r="G19" s="365" t="str">
        <f>VLOOKUP(F19,база!A:F,2,FALSE)</f>
        <v>Климковский Михаил Емельянович</v>
      </c>
      <c r="H19" s="554" t="s">
        <v>3460</v>
      </c>
      <c r="I19" s="557">
        <v>-3633</v>
      </c>
      <c r="J19" s="365" t="str">
        <f>VLOOKUP(F19,база!A:F,5,FALSE)</f>
        <v xml:space="preserve">рук </v>
      </c>
      <c r="K19" s="461"/>
    </row>
    <row r="20" spans="1:11" ht="16.5" x14ac:dyDescent="0.25">
      <c r="A20" s="438"/>
      <c r="B20" s="454"/>
      <c r="C20" s="455"/>
      <c r="D20" s="454"/>
      <c r="E20" s="445"/>
      <c r="F20" s="435"/>
      <c r="G20" s="436" t="s">
        <v>1058</v>
      </c>
      <c r="H20" s="436"/>
      <c r="I20" s="585">
        <f>SUM(I19:I19)</f>
        <v>-3633</v>
      </c>
      <c r="J20" s="450"/>
      <c r="K20" s="461"/>
    </row>
    <row r="21" spans="1:11" x14ac:dyDescent="0.25">
      <c r="A21" s="83" t="s">
        <v>150</v>
      </c>
      <c r="B21" s="84"/>
      <c r="C21" s="84"/>
      <c r="D21" s="83" t="s">
        <v>1057</v>
      </c>
      <c r="E21" s="428"/>
      <c r="F21" s="438"/>
      <c r="G21" s="438"/>
      <c r="H21" s="438"/>
      <c r="I21" s="83"/>
      <c r="J21" s="83"/>
      <c r="K21" s="461"/>
    </row>
    <row r="22" spans="1:11" x14ac:dyDescent="0.25">
      <c r="A22" s="196"/>
      <c r="B22" s="83"/>
      <c r="C22" s="84"/>
      <c r="D22" s="453"/>
      <c r="E22" s="438"/>
      <c r="F22" s="438"/>
      <c r="G22" s="83" t="s">
        <v>150</v>
      </c>
      <c r="H22" s="84"/>
      <c r="I22" s="83" t="s">
        <v>1057</v>
      </c>
      <c r="J22" s="83"/>
      <c r="K22" s="461"/>
    </row>
    <row r="23" spans="1:11" x14ac:dyDescent="0.25">
      <c r="A23" s="196"/>
      <c r="B23" s="83"/>
      <c r="C23" s="84"/>
      <c r="D23" s="453"/>
      <c r="E23" s="438"/>
      <c r="F23" s="438"/>
      <c r="G23" s="438"/>
      <c r="H23" s="438"/>
      <c r="I23" s="83"/>
      <c r="J23" s="83"/>
      <c r="K23" s="461"/>
    </row>
    <row r="24" spans="1:11" x14ac:dyDescent="0.25">
      <c r="A24" s="196"/>
      <c r="B24" s="83"/>
      <c r="C24" s="84"/>
      <c r="D24" s="453"/>
      <c r="E24" s="438"/>
      <c r="F24" s="438"/>
      <c r="G24" s="438"/>
      <c r="H24" s="438"/>
      <c r="I24" s="83"/>
      <c r="J24" s="83"/>
      <c r="K24" s="461"/>
    </row>
    <row r="25" spans="1:11" x14ac:dyDescent="0.25">
      <c r="A25" s="83"/>
      <c r="B25" s="387" t="s">
        <v>1334</v>
      </c>
      <c r="C25" s="455"/>
      <c r="D25" s="454">
        <f>D7</f>
        <v>0</v>
      </c>
      <c r="E25" s="438"/>
      <c r="F25" s="387" t="s">
        <v>1334</v>
      </c>
      <c r="G25" s="387"/>
      <c r="H25" s="387"/>
      <c r="I25" s="394">
        <f>I9</f>
        <v>-13388.5</v>
      </c>
      <c r="J25" s="387"/>
      <c r="K25" s="461"/>
    </row>
    <row r="26" spans="1:11" x14ac:dyDescent="0.25">
      <c r="A26" s="438"/>
      <c r="B26" s="387" t="s">
        <v>1157</v>
      </c>
      <c r="C26" s="455"/>
      <c r="D26" s="454">
        <f>D19</f>
        <v>0</v>
      </c>
      <c r="E26" s="83"/>
      <c r="F26" s="387" t="s">
        <v>1157</v>
      </c>
      <c r="G26" s="387"/>
      <c r="H26" s="387"/>
      <c r="I26" s="394">
        <f>I20</f>
        <v>-3633</v>
      </c>
      <c r="J26" s="387"/>
      <c r="K26" s="461"/>
    </row>
    <row r="27" spans="1:11" x14ac:dyDescent="0.25">
      <c r="A27" s="438"/>
      <c r="B27" s="454" t="s">
        <v>1058</v>
      </c>
      <c r="C27" s="455"/>
      <c r="D27" s="454">
        <f>SUM(D25:D26)</f>
        <v>0</v>
      </c>
      <c r="E27" s="460"/>
      <c r="F27" s="387" t="s">
        <v>1058</v>
      </c>
      <c r="G27" s="387"/>
      <c r="H27" s="387"/>
      <c r="I27" s="394">
        <f>SUM(I25:I26)</f>
        <v>-17021.5</v>
      </c>
      <c r="J27" s="388"/>
      <c r="K27" s="461"/>
    </row>
    <row r="28" spans="1:11" x14ac:dyDescent="0.25">
      <c r="A28" s="438"/>
      <c r="B28" s="83"/>
      <c r="C28" s="84"/>
      <c r="D28" s="83"/>
      <c r="E28" s="458"/>
      <c r="F28" s="387"/>
      <c r="G28" s="387" t="s">
        <v>173</v>
      </c>
      <c r="H28" s="387"/>
      <c r="I28" s="394" t="s">
        <v>1057</v>
      </c>
      <c r="J28" s="387"/>
      <c r="K28" s="461"/>
    </row>
    <row r="29" spans="1:11" x14ac:dyDescent="0.25">
      <c r="A29" s="83" t="s">
        <v>150</v>
      </c>
      <c r="B29" s="84"/>
      <c r="C29" s="84"/>
      <c r="D29" s="83" t="s">
        <v>1057</v>
      </c>
      <c r="E29" s="428"/>
      <c r="K29" s="461"/>
    </row>
    <row r="30" spans="1:11" x14ac:dyDescent="0.25">
      <c r="A30" s="196"/>
      <c r="B30" s="83"/>
      <c r="C30" s="84"/>
      <c r="D30" s="459" t="s">
        <v>1058</v>
      </c>
      <c r="E30" s="463">
        <f>D25+I25</f>
        <v>-13388.5</v>
      </c>
      <c r="K30" s="461"/>
    </row>
    <row r="31" spans="1:11" x14ac:dyDescent="0.25">
      <c r="A31" s="196"/>
      <c r="B31" s="83"/>
      <c r="C31" s="84"/>
      <c r="D31" s="453"/>
      <c r="E31" s="83"/>
      <c r="K31" s="461"/>
    </row>
    <row r="32" spans="1:11" x14ac:dyDescent="0.25">
      <c r="A32" s="196"/>
      <c r="B32" s="83"/>
      <c r="C32" s="84"/>
      <c r="D32" s="459" t="s">
        <v>3459</v>
      </c>
      <c r="E32" s="463">
        <f>D27+I27</f>
        <v>-17021.5</v>
      </c>
      <c r="K32" s="461"/>
    </row>
    <row r="33" spans="1:13" x14ac:dyDescent="0.25">
      <c r="A33" s="196"/>
      <c r="B33" s="83"/>
      <c r="C33" s="84"/>
      <c r="D33" s="453"/>
      <c r="E33" s="439"/>
      <c r="K33" s="461"/>
    </row>
    <row r="34" spans="1:13" x14ac:dyDescent="0.25">
      <c r="A34" s="196"/>
      <c r="B34" s="83"/>
      <c r="C34" s="84"/>
      <c r="D34" s="453"/>
      <c r="E34" s="439"/>
      <c r="K34" s="461"/>
    </row>
    <row r="35" spans="1:13" x14ac:dyDescent="0.25">
      <c r="F35" s="464"/>
      <c r="G35" s="464"/>
      <c r="H35" s="464"/>
      <c r="I35" s="545"/>
      <c r="J35" s="464"/>
      <c r="K35" s="461"/>
    </row>
    <row r="36" spans="1:13" x14ac:dyDescent="0.25">
      <c r="F36" s="698" t="s">
        <v>2655</v>
      </c>
      <c r="G36" s="698"/>
      <c r="H36" s="698"/>
      <c r="I36" s="698"/>
      <c r="J36" s="698"/>
      <c r="K36" s="461"/>
    </row>
    <row r="37" spans="1:13" x14ac:dyDescent="0.25">
      <c r="F37" s="395" t="s">
        <v>3462</v>
      </c>
      <c r="G37" s="395"/>
      <c r="H37" s="395"/>
      <c r="I37" s="395"/>
      <c r="J37" s="395"/>
      <c r="K37" s="461"/>
    </row>
    <row r="38" spans="1:13" x14ac:dyDescent="0.25">
      <c r="E38" s="232"/>
      <c r="F38" s="700" t="s">
        <v>3756</v>
      </c>
      <c r="G38" s="700"/>
      <c r="H38" s="700"/>
      <c r="I38" s="700"/>
      <c r="J38" s="700"/>
      <c r="K38" s="461"/>
    </row>
    <row r="39" spans="1:13" x14ac:dyDescent="0.25">
      <c r="F39" s="435" t="s">
        <v>1090</v>
      </c>
      <c r="G39" s="452" t="s">
        <v>1091</v>
      </c>
      <c r="H39" s="452"/>
      <c r="I39" s="450" t="s">
        <v>3454</v>
      </c>
      <c r="J39" s="435" t="s">
        <v>3455</v>
      </c>
      <c r="K39" s="450" t="s">
        <v>3463</v>
      </c>
    </row>
    <row r="40" spans="1:13" ht="16.5" x14ac:dyDescent="0.25">
      <c r="F40" s="555">
        <v>98254</v>
      </c>
      <c r="G40" s="365" t="str">
        <f>VLOOKUP(F40,база!A:F,2,FALSE)</f>
        <v>Кильдиярова Инна Владимировна</v>
      </c>
      <c r="H40" s="554" t="s">
        <v>3460</v>
      </c>
      <c r="I40" s="557">
        <v>-55012</v>
      </c>
      <c r="J40" s="365">
        <f>VLOOKUP(F40,база!A:F,5,FALSE)</f>
        <v>0</v>
      </c>
      <c r="K40" s="629">
        <v>45303</v>
      </c>
    </row>
    <row r="41" spans="1:13" ht="16.5" x14ac:dyDescent="0.25">
      <c r="F41" s="555">
        <v>2184</v>
      </c>
      <c r="G41" s="365" t="str">
        <f>VLOOKUP(F41,база!A:F,2,FALSE)</f>
        <v>Воронина Ирина Диевна</v>
      </c>
      <c r="H41" s="554" t="s">
        <v>3460</v>
      </c>
      <c r="I41" s="557">
        <v>-41768</v>
      </c>
      <c r="J41" s="365">
        <f>VLOOKUP(F41,база!A:F,5,FALSE)</f>
        <v>0</v>
      </c>
      <c r="K41" s="629">
        <v>45303</v>
      </c>
    </row>
    <row r="42" spans="1:13" ht="16.5" x14ac:dyDescent="0.25">
      <c r="F42" s="555">
        <v>145956</v>
      </c>
      <c r="G42" s="365" t="str">
        <f>VLOOKUP(F42,база!A:F,2,FALSE)</f>
        <v>Газетова Ирина Петровна</v>
      </c>
      <c r="H42" s="554" t="s">
        <v>3460</v>
      </c>
      <c r="I42" s="557">
        <v>-29619</v>
      </c>
      <c r="J42" s="365">
        <f>VLOOKUP(F42,база!A:F,5,FALSE)</f>
        <v>0</v>
      </c>
      <c r="K42" s="629">
        <v>45308</v>
      </c>
    </row>
    <row r="43" spans="1:13" ht="16.5" x14ac:dyDescent="0.25">
      <c r="F43" s="555">
        <v>2178</v>
      </c>
      <c r="G43" s="365" t="str">
        <f>VLOOKUP(F43,база!A:F,2,FALSE)</f>
        <v>Рябухина Юлия Александровна</v>
      </c>
      <c r="H43" s="554" t="s">
        <v>3460</v>
      </c>
      <c r="I43" s="557">
        <v>-9474.5</v>
      </c>
      <c r="J43" s="365">
        <f>VLOOKUP(F43,база!A:F,5,FALSE)</f>
        <v>0</v>
      </c>
      <c r="K43" s="629">
        <v>45308</v>
      </c>
    </row>
    <row r="44" spans="1:13" ht="16.5" x14ac:dyDescent="0.25">
      <c r="F44" s="555">
        <v>1146</v>
      </c>
      <c r="G44" s="365" t="str">
        <f>VLOOKUP(F44,база!A:F,2,FALSE)</f>
        <v>Левина Юлия Сергеевна</v>
      </c>
      <c r="H44" s="554" t="s">
        <v>3460</v>
      </c>
      <c r="I44" s="557">
        <v>-35738</v>
      </c>
      <c r="J44" s="365">
        <f>VLOOKUP(F44,база!A:F,5,FALSE)</f>
        <v>0</v>
      </c>
      <c r="K44" s="629">
        <v>45310</v>
      </c>
    </row>
    <row r="45" spans="1:13" ht="16.5" x14ac:dyDescent="0.25">
      <c r="F45" s="555">
        <v>26857</v>
      </c>
      <c r="G45" s="365" t="str">
        <f>VLOOKUP(F45,база!A:F,2,FALSE)</f>
        <v>Левин Вадим Геннадьевич</v>
      </c>
      <c r="H45" s="554" t="s">
        <v>3460</v>
      </c>
      <c r="I45" s="557">
        <v>-35737</v>
      </c>
      <c r="J45" s="365">
        <f>VLOOKUP(F45,база!A:F,5,FALSE)</f>
        <v>0</v>
      </c>
      <c r="K45" s="629">
        <v>45310</v>
      </c>
    </row>
    <row r="46" spans="1:13" ht="16.5" customHeight="1" x14ac:dyDescent="0.25">
      <c r="F46" s="555">
        <v>603</v>
      </c>
      <c r="G46" s="365" t="str">
        <f>VLOOKUP(F46,база!A:F,2,FALSE)</f>
        <v>Рарицкая Надежда Владимировна</v>
      </c>
      <c r="H46" s="554" t="s">
        <v>3460</v>
      </c>
      <c r="I46" s="557">
        <v>-30070</v>
      </c>
      <c r="J46" s="365">
        <f>VLOOKUP(F46,база!A:F,5,FALSE)</f>
        <v>0</v>
      </c>
      <c r="K46" s="629">
        <v>45317</v>
      </c>
    </row>
    <row r="47" spans="1:13" ht="16.5" x14ac:dyDescent="0.25">
      <c r="F47" s="555">
        <v>35761</v>
      </c>
      <c r="G47" s="365" t="str">
        <f>VLOOKUP(F47,база!A:F,2,FALSE)</f>
        <v>Чувилин Дмитрий Сергеевич</v>
      </c>
      <c r="H47" s="554" t="s">
        <v>3460</v>
      </c>
      <c r="I47" s="557">
        <v>-41039</v>
      </c>
      <c r="J47" s="365">
        <f>VLOOKUP(F47,база!A:F,5,FALSE)</f>
        <v>0</v>
      </c>
      <c r="K47" s="629">
        <v>45320</v>
      </c>
    </row>
    <row r="48" spans="1:13" ht="16.5" x14ac:dyDescent="0.25">
      <c r="F48" s="555">
        <v>276943</v>
      </c>
      <c r="G48" s="365" t="str">
        <f>VLOOKUP(F48,база!A:F,2,FALSE)</f>
        <v>Карпухина Екатерина Андреевна</v>
      </c>
      <c r="H48" s="554" t="s">
        <v>3460</v>
      </c>
      <c r="I48" s="557">
        <v>-23130</v>
      </c>
      <c r="J48" s="365">
        <f>VLOOKUP(F48,база!A:F,5,FALSE)</f>
        <v>0</v>
      </c>
      <c r="K48" s="629">
        <v>45320</v>
      </c>
      <c r="L48" s="426"/>
      <c r="M48" s="426"/>
    </row>
    <row r="49" spans="6:13" ht="16.5" x14ac:dyDescent="0.25">
      <c r="F49" s="555">
        <v>25514</v>
      </c>
      <c r="G49" s="365" t="str">
        <f>VLOOKUP(F49,база!A:F,2,FALSE)</f>
        <v>Горин Алексей Васильевич</v>
      </c>
      <c r="H49" s="554" t="s">
        <v>3460</v>
      </c>
      <c r="I49" s="557">
        <v>-10005</v>
      </c>
      <c r="J49" s="365">
        <f>VLOOKUP(F49,база!A:F,5,FALSE)</f>
        <v>0</v>
      </c>
      <c r="K49" s="629">
        <v>45322</v>
      </c>
      <c r="L49" s="426"/>
      <c r="M49" s="426"/>
    </row>
    <row r="50" spans="6:13" ht="16.5" x14ac:dyDescent="0.25">
      <c r="F50" s="555">
        <v>2024</v>
      </c>
      <c r="G50" s="365" t="str">
        <f>VLOOKUP(F50,база!A:F,2,FALSE)</f>
        <v>Филиппов Владимир Петрович</v>
      </c>
      <c r="H50" s="554" t="s">
        <v>3460</v>
      </c>
      <c r="I50" s="557">
        <v>-1000</v>
      </c>
      <c r="J50" s="365">
        <f>VLOOKUP(F50,база!A:F,5,FALSE)</f>
        <v>0</v>
      </c>
      <c r="K50" s="629" t="s">
        <v>3712</v>
      </c>
      <c r="L50" s="426"/>
      <c r="M50" s="426"/>
    </row>
    <row r="51" spans="6:13" ht="16.5" x14ac:dyDescent="0.25">
      <c r="F51" s="555">
        <v>45588</v>
      </c>
      <c r="G51" s="365" t="str">
        <f>VLOOKUP(F51,база!A:F,2,FALSE)</f>
        <v>Давыдова Лилия Газимовна</v>
      </c>
      <c r="H51" s="554" t="s">
        <v>3460</v>
      </c>
      <c r="I51" s="557">
        <v>-40.5</v>
      </c>
      <c r="J51" s="365">
        <f>VLOOKUP(F51,база!A:F,5,FALSE)</f>
        <v>0</v>
      </c>
      <c r="K51" s="629" t="s">
        <v>3712</v>
      </c>
      <c r="L51" s="426"/>
      <c r="M51" s="426"/>
    </row>
    <row r="52" spans="6:13" ht="16.5" x14ac:dyDescent="0.25">
      <c r="F52" s="555">
        <v>175635</v>
      </c>
      <c r="G52" s="365" t="str">
        <f>VLOOKUP(F52,база!A:F,2,FALSE)</f>
        <v>Бердин Владислав Владимирович</v>
      </c>
      <c r="H52" s="554" t="s">
        <v>3460</v>
      </c>
      <c r="I52" s="557">
        <v>-12348</v>
      </c>
      <c r="J52" s="365">
        <f>VLOOKUP(F52,база!A:F,5,FALSE)</f>
        <v>0</v>
      </c>
      <c r="K52" s="629" t="s">
        <v>3712</v>
      </c>
      <c r="L52" s="426"/>
      <c r="M52" s="426"/>
    </row>
    <row r="53" spans="6:13" ht="16.5" x14ac:dyDescent="0.25">
      <c r="F53" s="555">
        <v>11060</v>
      </c>
      <c r="G53" s="365" t="str">
        <f>VLOOKUP(F53,база!A:F,2,FALSE)</f>
        <v>Климковский Михаил Емельянович</v>
      </c>
      <c r="H53" s="554" t="s">
        <v>3460</v>
      </c>
      <c r="I53" s="557">
        <v>-3633</v>
      </c>
      <c r="J53" s="365" t="str">
        <f>VLOOKUP(F53,база!A:F,5,FALSE)</f>
        <v xml:space="preserve">рук </v>
      </c>
      <c r="K53" s="629">
        <v>45315</v>
      </c>
      <c r="L53" s="426"/>
      <c r="M53" s="426"/>
    </row>
    <row r="54" spans="6:13" ht="16.5" x14ac:dyDescent="0.25">
      <c r="F54" s="435"/>
      <c r="G54" s="436" t="s">
        <v>1058</v>
      </c>
      <c r="H54" s="436"/>
      <c r="I54" s="631">
        <f>SUM(I40:I53)</f>
        <v>-328614</v>
      </c>
      <c r="J54" s="450"/>
      <c r="K54" s="630"/>
      <c r="L54" s="426"/>
      <c r="M54" s="426"/>
    </row>
    <row r="55" spans="6:13" x14ac:dyDescent="0.25">
      <c r="F55" s="438"/>
      <c r="G55" s="466"/>
      <c r="H55" s="466"/>
      <c r="I55" s="454"/>
      <c r="J55" s="83"/>
      <c r="L55" s="426"/>
      <c r="M55" s="426"/>
    </row>
    <row r="56" spans="6:13" x14ac:dyDescent="0.25">
      <c r="F56" s="456" t="s">
        <v>1334</v>
      </c>
      <c r="G56" s="456"/>
      <c r="H56" s="456"/>
      <c r="I56" s="457">
        <f>SUM(I40:I52)</f>
        <v>-324981</v>
      </c>
      <c r="J56" s="215"/>
      <c r="K56" s="460"/>
      <c r="L56" s="426"/>
      <c r="M56" s="426"/>
    </row>
    <row r="57" spans="6:13" x14ac:dyDescent="0.25">
      <c r="F57" s="456" t="s">
        <v>1157</v>
      </c>
      <c r="G57" s="456"/>
      <c r="H57" s="456"/>
      <c r="I57" s="457">
        <f>I53</f>
        <v>-3633</v>
      </c>
      <c r="K57" s="227"/>
      <c r="L57" s="426"/>
      <c r="M57" s="426"/>
    </row>
    <row r="58" spans="6:13" x14ac:dyDescent="0.25">
      <c r="F58" s="456" t="s">
        <v>1058</v>
      </c>
      <c r="G58" s="456"/>
      <c r="H58" s="456"/>
      <c r="I58" s="457">
        <f>SUM(I56:I57)</f>
        <v>-328614</v>
      </c>
      <c r="J58" s="215"/>
      <c r="K58" s="227"/>
      <c r="L58" s="426"/>
      <c r="M58" s="426"/>
    </row>
    <row r="59" spans="6:13" x14ac:dyDescent="0.25">
      <c r="F59" s="456"/>
      <c r="G59" s="456"/>
      <c r="H59" s="456"/>
      <c r="I59" s="457"/>
      <c r="K59" s="227"/>
      <c r="L59" s="426"/>
      <c r="M59" s="426"/>
    </row>
    <row r="60" spans="6:13" x14ac:dyDescent="0.25">
      <c r="F60" s="468"/>
      <c r="G60" s="83" t="s">
        <v>150</v>
      </c>
      <c r="H60" s="468"/>
      <c r="I60" s="469" t="s">
        <v>1057</v>
      </c>
      <c r="J60" s="468"/>
      <c r="L60" s="426"/>
      <c r="M60" s="426"/>
    </row>
    <row r="61" spans="6:13" x14ac:dyDescent="0.25">
      <c r="F61" s="468"/>
      <c r="G61" s="468"/>
      <c r="H61" s="468"/>
      <c r="I61" s="469"/>
      <c r="J61" s="468"/>
      <c r="L61" s="426"/>
      <c r="M61" s="426"/>
    </row>
    <row r="62" spans="6:13" x14ac:dyDescent="0.25">
      <c r="L62" s="465"/>
      <c r="M62" s="426"/>
    </row>
    <row r="63" spans="6:13" x14ac:dyDescent="0.25">
      <c r="L63" s="426"/>
      <c r="M63" s="426"/>
    </row>
    <row r="64" spans="6:13" x14ac:dyDescent="0.25">
      <c r="L64" s="426"/>
      <c r="M64" s="426"/>
    </row>
    <row r="65" spans="12:13" x14ac:dyDescent="0.25">
      <c r="L65" s="426"/>
      <c r="M65" s="426"/>
    </row>
    <row r="66" spans="12:13" x14ac:dyDescent="0.25">
      <c r="L66" s="426"/>
      <c r="M66" s="426"/>
    </row>
    <row r="67" spans="12:13" x14ac:dyDescent="0.25">
      <c r="L67" s="426"/>
      <c r="M67" s="426"/>
    </row>
    <row r="68" spans="12:13" x14ac:dyDescent="0.25">
      <c r="L68" s="426"/>
      <c r="M68" s="426"/>
    </row>
    <row r="69" spans="12:13" x14ac:dyDescent="0.25">
      <c r="L69" s="426"/>
      <c r="M69" s="426"/>
    </row>
    <row r="70" spans="12:13" x14ac:dyDescent="0.25">
      <c r="L70" s="426"/>
      <c r="M70" s="426"/>
    </row>
    <row r="71" spans="12:13" x14ac:dyDescent="0.25">
      <c r="L71" s="426"/>
      <c r="M71" s="426"/>
    </row>
    <row r="72" spans="12:13" x14ac:dyDescent="0.25">
      <c r="L72" s="426"/>
      <c r="M72" s="426"/>
    </row>
    <row r="73" spans="12:13" x14ac:dyDescent="0.25">
      <c r="L73" s="426"/>
      <c r="M73" s="426"/>
    </row>
    <row r="74" spans="12:13" x14ac:dyDescent="0.25">
      <c r="L74" s="426"/>
      <c r="M74" s="426"/>
    </row>
    <row r="75" spans="12:13" x14ac:dyDescent="0.25">
      <c r="L75" s="426"/>
      <c r="M75" s="426"/>
    </row>
    <row r="76" spans="12:13" x14ac:dyDescent="0.25">
      <c r="L76" s="426"/>
      <c r="M76" s="426"/>
    </row>
    <row r="77" spans="12:13" x14ac:dyDescent="0.25">
      <c r="L77" s="426"/>
      <c r="M77" s="426"/>
    </row>
    <row r="78" spans="12:13" x14ac:dyDescent="0.25">
      <c r="L78" s="426"/>
      <c r="M78" s="426"/>
    </row>
    <row r="79" spans="12:13" x14ac:dyDescent="0.25">
      <c r="L79" s="426"/>
      <c r="M79" s="426"/>
    </row>
    <row r="80" spans="12:13" x14ac:dyDescent="0.25">
      <c r="L80" s="428"/>
      <c r="M80" s="428"/>
    </row>
    <row r="81" spans="12:13" x14ac:dyDescent="0.25">
      <c r="L81" s="426"/>
      <c r="M81" s="426"/>
    </row>
    <row r="240" spans="12:12" x14ac:dyDescent="0.25">
      <c r="L240" s="460"/>
    </row>
    <row r="244" spans="12:18" x14ac:dyDescent="0.25">
      <c r="L244" s="461"/>
      <c r="M244" s="461"/>
      <c r="N244" s="461"/>
      <c r="O244" s="461"/>
      <c r="P244" s="461"/>
      <c r="Q244" s="461"/>
      <c r="R244" s="461"/>
    </row>
    <row r="245" spans="12:18" x14ac:dyDescent="0.25">
      <c r="L245" s="196"/>
      <c r="M245" s="461"/>
      <c r="N245" s="461"/>
      <c r="O245" s="461"/>
      <c r="P245" s="461"/>
      <c r="Q245" s="470"/>
      <c r="R245" s="461"/>
    </row>
    <row r="246" spans="12:18" x14ac:dyDescent="0.25">
      <c r="L246" s="196"/>
      <c r="M246" s="461"/>
      <c r="N246" s="461"/>
      <c r="O246" s="461"/>
      <c r="P246" s="461"/>
      <c r="Q246" s="470"/>
      <c r="R246" s="461"/>
    </row>
    <row r="247" spans="12:18" x14ac:dyDescent="0.25">
      <c r="L247" s="196"/>
      <c r="M247" s="461"/>
      <c r="N247" s="461"/>
      <c r="O247" s="461"/>
      <c r="P247" s="461"/>
      <c r="Q247" s="470"/>
      <c r="R247" s="461"/>
    </row>
    <row r="248" spans="12:18" x14ac:dyDescent="0.25">
      <c r="L248" s="196"/>
      <c r="M248" s="461"/>
      <c r="N248" s="461"/>
      <c r="O248" s="461"/>
      <c r="P248" s="461"/>
      <c r="Q248" s="470"/>
      <c r="R248" s="461"/>
    </row>
    <row r="249" spans="12:18" x14ac:dyDescent="0.25">
      <c r="L249" s="196"/>
      <c r="M249" s="461"/>
      <c r="N249" s="461"/>
      <c r="O249" s="461"/>
      <c r="P249" s="461"/>
      <c r="Q249" s="470"/>
      <c r="R249" s="461"/>
    </row>
    <row r="250" spans="12:18" x14ac:dyDescent="0.25">
      <c r="L250" s="196"/>
      <c r="M250" s="461"/>
      <c r="N250" s="461"/>
      <c r="O250" s="461"/>
      <c r="P250" s="461"/>
      <c r="Q250" s="470"/>
      <c r="R250" s="461"/>
    </row>
    <row r="251" spans="12:18" x14ac:dyDescent="0.25">
      <c r="L251" s="196"/>
      <c r="M251" s="461"/>
      <c r="N251" s="461"/>
      <c r="O251" s="461"/>
      <c r="P251" s="461"/>
      <c r="Q251" s="470"/>
      <c r="R251" s="461"/>
    </row>
    <row r="252" spans="12:18" x14ac:dyDescent="0.25">
      <c r="L252" s="196"/>
      <c r="M252" s="461"/>
      <c r="N252" s="461"/>
      <c r="O252" s="461"/>
      <c r="P252" s="461"/>
      <c r="Q252" s="470"/>
      <c r="R252" s="461"/>
    </row>
    <row r="253" spans="12:18" x14ac:dyDescent="0.25">
      <c r="L253" s="196"/>
      <c r="M253" s="461"/>
      <c r="N253" s="461"/>
      <c r="O253" s="461"/>
      <c r="P253" s="461"/>
      <c r="Q253" s="470"/>
      <c r="R253" s="461"/>
    </row>
    <row r="254" spans="12:18" x14ac:dyDescent="0.25">
      <c r="L254" s="196"/>
      <c r="M254" s="461"/>
      <c r="N254" s="461"/>
      <c r="O254" s="461"/>
      <c r="P254" s="461"/>
      <c r="Q254" s="470"/>
      <c r="R254" s="461"/>
    </row>
    <row r="255" spans="12:18" x14ac:dyDescent="0.25">
      <c r="L255" s="461"/>
      <c r="M255" s="461"/>
      <c r="N255" s="461"/>
      <c r="O255" s="461"/>
      <c r="P255" s="461"/>
      <c r="Q255" s="461"/>
      <c r="R255" s="461"/>
    </row>
  </sheetData>
  <sortState ref="F223:K230">
    <sortCondition ref="K223:K230"/>
  </sortState>
  <mergeCells count="17">
    <mergeCell ref="A15:E15"/>
    <mergeCell ref="A16:E16"/>
    <mergeCell ref="F36:J36"/>
    <mergeCell ref="F38:J38"/>
    <mergeCell ref="A4:E4"/>
    <mergeCell ref="F4:J4"/>
    <mergeCell ref="F15:J15"/>
    <mergeCell ref="A13:E13"/>
    <mergeCell ref="F16:J16"/>
    <mergeCell ref="A14:E14"/>
    <mergeCell ref="F17:J17"/>
    <mergeCell ref="A1:E1"/>
    <mergeCell ref="F1:J1"/>
    <mergeCell ref="B2:D2"/>
    <mergeCell ref="G2:I2"/>
    <mergeCell ref="A3:E3"/>
    <mergeCell ref="F3:J3"/>
  </mergeCells>
  <pageMargins left="0.25" right="0.25" top="0.75" bottom="0.75" header="0.3" footer="0.3"/>
  <pageSetup paperSize="9" scale="47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844"/>
  <sheetViews>
    <sheetView topLeftCell="A76" zoomScale="60" zoomScaleNormal="60" workbookViewId="0">
      <selection activeCell="A106" sqref="A106"/>
    </sheetView>
  </sheetViews>
  <sheetFormatPr defaultColWidth="9.140625" defaultRowHeight="15" x14ac:dyDescent="0.25"/>
  <cols>
    <col min="1" max="1" width="11" style="440" customWidth="1"/>
    <col min="2" max="2" width="41.28515625" style="484" customWidth="1"/>
    <col min="3" max="3" width="15.85546875" style="170" customWidth="1"/>
    <col min="4" max="4" width="16.140625" style="170" customWidth="1"/>
    <col min="5" max="5" width="14.85546875" style="485" customWidth="1"/>
    <col min="6" max="6" width="18" style="170" customWidth="1"/>
    <col min="7" max="7" width="11.42578125" style="170" customWidth="1"/>
    <col min="8" max="8" width="19.7109375" style="486" customWidth="1"/>
    <col min="9" max="9" width="18.85546875" style="170" customWidth="1"/>
    <col min="10" max="16384" width="9.140625" style="170"/>
  </cols>
  <sheetData>
    <row r="1" spans="1:9" x14ac:dyDescent="0.25">
      <c r="A1" s="698" t="s">
        <v>2655</v>
      </c>
      <c r="B1" s="698"/>
      <c r="C1" s="698"/>
      <c r="D1" s="698"/>
      <c r="E1" s="698"/>
      <c r="F1" s="698"/>
      <c r="G1" s="698"/>
      <c r="H1" s="698"/>
      <c r="I1" s="698"/>
    </row>
    <row r="2" spans="1:9" x14ac:dyDescent="0.25">
      <c r="A2" s="698" t="s">
        <v>1089</v>
      </c>
      <c r="B2" s="698"/>
      <c r="C2" s="698"/>
      <c r="D2" s="698"/>
      <c r="E2" s="698"/>
      <c r="F2" s="698"/>
      <c r="G2" s="698"/>
      <c r="H2" s="698"/>
      <c r="I2" s="698"/>
    </row>
    <row r="3" spans="1:9" x14ac:dyDescent="0.25">
      <c r="A3" s="699" t="s">
        <v>3464</v>
      </c>
      <c r="B3" s="699"/>
      <c r="C3" s="699"/>
      <c r="D3" s="699"/>
      <c r="E3" s="699"/>
      <c r="F3" s="699"/>
      <c r="G3" s="699"/>
      <c r="H3" s="699"/>
      <c r="I3" s="699"/>
    </row>
    <row r="4" spans="1:9" x14ac:dyDescent="0.25">
      <c r="A4" s="699" t="s">
        <v>3755</v>
      </c>
      <c r="B4" s="699"/>
      <c r="C4" s="699"/>
      <c r="D4" s="699"/>
      <c r="E4" s="699"/>
      <c r="F4" s="699"/>
      <c r="G4" s="699"/>
      <c r="H4" s="699"/>
      <c r="I4" s="699"/>
    </row>
    <row r="5" spans="1:9" s="271" customFormat="1" x14ac:dyDescent="0.25">
      <c r="A5" s="404" t="s">
        <v>1090</v>
      </c>
      <c r="B5" s="471" t="s">
        <v>1091</v>
      </c>
      <c r="C5" s="472"/>
      <c r="D5" s="472"/>
      <c r="E5" s="473"/>
      <c r="F5" s="474"/>
      <c r="G5" s="474" t="s">
        <v>1092</v>
      </c>
      <c r="H5" s="472" t="s">
        <v>1055</v>
      </c>
      <c r="I5" s="474" t="s">
        <v>3455</v>
      </c>
    </row>
    <row r="6" spans="1:9" s="271" customFormat="1" ht="24.95" customHeight="1" x14ac:dyDescent="0.25">
      <c r="A6" s="400">
        <v>286</v>
      </c>
      <c r="B6" s="586" t="str">
        <f>VLOOKUP(A6,база!A:F,2,FALSE)</f>
        <v>Курочкин Виктор Васильевич</v>
      </c>
      <c r="C6" s="598">
        <v>45315</v>
      </c>
      <c r="D6" s="598">
        <v>45316</v>
      </c>
      <c r="E6" s="591">
        <f t="shared" ref="E6:E37" si="0">D6-C6+1</f>
        <v>2</v>
      </c>
      <c r="F6" s="587">
        <v>1300</v>
      </c>
      <c r="G6" s="559" t="s">
        <v>3465</v>
      </c>
      <c r="H6" s="588">
        <f t="shared" ref="H6:H37" si="1">F6*E6</f>
        <v>2600</v>
      </c>
      <c r="I6" s="589">
        <f>VLOOKUP(A6,база!A:F,5,FALSE)</f>
        <v>0</v>
      </c>
    </row>
    <row r="7" spans="1:9" s="271" customFormat="1" ht="24.95" customHeight="1" x14ac:dyDescent="0.25">
      <c r="A7" s="400">
        <v>308</v>
      </c>
      <c r="B7" s="586" t="str">
        <f>VLOOKUP(A7,база!A:F,2,FALSE)</f>
        <v>Гимранов Ринат Дамирович</v>
      </c>
      <c r="C7" s="598">
        <v>45317</v>
      </c>
      <c r="D7" s="598">
        <v>45318</v>
      </c>
      <c r="E7" s="591">
        <f t="shared" si="0"/>
        <v>2</v>
      </c>
      <c r="F7" s="587">
        <v>1300</v>
      </c>
      <c r="G7" s="559" t="s">
        <v>3465</v>
      </c>
      <c r="H7" s="588">
        <f t="shared" si="1"/>
        <v>2600</v>
      </c>
      <c r="I7" s="589">
        <f>VLOOKUP(A7,база!A:F,5,FALSE)</f>
        <v>0</v>
      </c>
    </row>
    <row r="8" spans="1:9" s="271" customFormat="1" ht="30.75" customHeight="1" x14ac:dyDescent="0.25">
      <c r="A8" s="400">
        <v>545</v>
      </c>
      <c r="B8" s="586" t="str">
        <f>VLOOKUP(A8,база!A:F,2,FALSE)</f>
        <v>Малышкина Любовь Альфредовна</v>
      </c>
      <c r="C8" s="598">
        <v>45284</v>
      </c>
      <c r="D8" s="598">
        <v>45290</v>
      </c>
      <c r="E8" s="591">
        <f t="shared" si="0"/>
        <v>7</v>
      </c>
      <c r="F8" s="587">
        <v>1300</v>
      </c>
      <c r="G8" s="559" t="s">
        <v>3465</v>
      </c>
      <c r="H8" s="588">
        <f t="shared" si="1"/>
        <v>9100</v>
      </c>
      <c r="I8" s="589">
        <f>VLOOKUP(A8,база!A:F,5,FALSE)</f>
        <v>0</v>
      </c>
    </row>
    <row r="9" spans="1:9" s="271" customFormat="1" ht="24.95" customHeight="1" x14ac:dyDescent="0.25">
      <c r="A9" s="400">
        <v>590</v>
      </c>
      <c r="B9" s="586" t="str">
        <f>VLOOKUP(A9,база!A:F,2,FALSE)</f>
        <v>Маглеванная Нина Юрьевна</v>
      </c>
      <c r="C9" s="598">
        <v>45305</v>
      </c>
      <c r="D9" s="598">
        <v>45306</v>
      </c>
      <c r="E9" s="591">
        <f t="shared" si="0"/>
        <v>2</v>
      </c>
      <c r="F9" s="587">
        <v>1300</v>
      </c>
      <c r="G9" s="559" t="s">
        <v>3465</v>
      </c>
      <c r="H9" s="588">
        <f t="shared" si="1"/>
        <v>2600</v>
      </c>
      <c r="I9" s="589">
        <f>VLOOKUP(A9,база!A:F,5,FALSE)</f>
        <v>0</v>
      </c>
    </row>
    <row r="10" spans="1:9" s="271" customFormat="1" ht="28.5" customHeight="1" x14ac:dyDescent="0.25">
      <c r="A10" s="400">
        <v>656</v>
      </c>
      <c r="B10" s="586" t="str">
        <f>VLOOKUP(A10,база!A:F,2,FALSE)</f>
        <v>Волынкина Александра Викторовна</v>
      </c>
      <c r="C10" s="598">
        <v>45308</v>
      </c>
      <c r="D10" s="598">
        <v>45310</v>
      </c>
      <c r="E10" s="591">
        <f t="shared" si="0"/>
        <v>3</v>
      </c>
      <c r="F10" s="587">
        <v>1300</v>
      </c>
      <c r="G10" s="559" t="s">
        <v>3465</v>
      </c>
      <c r="H10" s="588">
        <f t="shared" si="1"/>
        <v>3900</v>
      </c>
      <c r="I10" s="589">
        <f>VLOOKUP(A10,база!A:F,5,FALSE)</f>
        <v>0</v>
      </c>
    </row>
    <row r="11" spans="1:9" s="271" customFormat="1" ht="24.95" customHeight="1" x14ac:dyDescent="0.25">
      <c r="A11" s="400">
        <v>1773</v>
      </c>
      <c r="B11" s="586" t="str">
        <f>VLOOKUP(A11,база!A:F,2,FALSE)</f>
        <v>Колмаков Алексей Викторович</v>
      </c>
      <c r="C11" s="598">
        <v>45316</v>
      </c>
      <c r="D11" s="598">
        <v>45317</v>
      </c>
      <c r="E11" s="591">
        <f t="shared" si="0"/>
        <v>2</v>
      </c>
      <c r="F11" s="587">
        <v>1300</v>
      </c>
      <c r="G11" s="559" t="s">
        <v>3465</v>
      </c>
      <c r="H11" s="588">
        <f t="shared" si="1"/>
        <v>2600</v>
      </c>
      <c r="I11" s="589">
        <f>VLOOKUP(A11,база!A:F,5,FALSE)</f>
        <v>0</v>
      </c>
    </row>
    <row r="12" spans="1:9" s="271" customFormat="1" ht="24.95" customHeight="1" x14ac:dyDescent="0.25">
      <c r="A12" s="400">
        <v>1782</v>
      </c>
      <c r="B12" s="586" t="str">
        <f>VLOOKUP(A12,база!A:F,2,FALSE)</f>
        <v>Гукенгеймер Виталий Рудольфович</v>
      </c>
      <c r="C12" s="598">
        <v>45309</v>
      </c>
      <c r="D12" s="598">
        <v>45310</v>
      </c>
      <c r="E12" s="591">
        <f t="shared" si="0"/>
        <v>2</v>
      </c>
      <c r="F12" s="587">
        <v>1300</v>
      </c>
      <c r="G12" s="559" t="s">
        <v>3465</v>
      </c>
      <c r="H12" s="588">
        <f t="shared" si="1"/>
        <v>2600</v>
      </c>
      <c r="I12" s="589">
        <f>VLOOKUP(A12,база!A:F,5,FALSE)</f>
        <v>0</v>
      </c>
    </row>
    <row r="13" spans="1:9" s="271" customFormat="1" ht="24.95" customHeight="1" x14ac:dyDescent="0.25">
      <c r="A13" s="400">
        <v>1785</v>
      </c>
      <c r="B13" s="586" t="str">
        <f>VLOOKUP(A13,база!A:F,2,FALSE)</f>
        <v>Стачинская Оксана Владимировна</v>
      </c>
      <c r="C13" s="598">
        <v>45314</v>
      </c>
      <c r="D13" s="598">
        <v>45318</v>
      </c>
      <c r="E13" s="591">
        <f t="shared" si="0"/>
        <v>5</v>
      </c>
      <c r="F13" s="587">
        <v>1300</v>
      </c>
      <c r="G13" s="559" t="s">
        <v>3465</v>
      </c>
      <c r="H13" s="588">
        <f t="shared" si="1"/>
        <v>6500</v>
      </c>
      <c r="I13" s="589">
        <f>VLOOKUP(A13,база!A:F,5,FALSE)</f>
        <v>0</v>
      </c>
    </row>
    <row r="14" spans="1:9" s="271" customFormat="1" ht="24.95" customHeight="1" x14ac:dyDescent="0.25">
      <c r="A14" s="400">
        <v>2071</v>
      </c>
      <c r="B14" s="586" t="str">
        <f>VLOOKUP(A14,база!A:F,2,FALSE)</f>
        <v>Искорцева Марина Ивановна</v>
      </c>
      <c r="C14" s="598">
        <v>45277</v>
      </c>
      <c r="D14" s="598">
        <v>45289</v>
      </c>
      <c r="E14" s="591">
        <f t="shared" si="0"/>
        <v>13</v>
      </c>
      <c r="F14" s="587">
        <v>1300</v>
      </c>
      <c r="G14" s="559" t="s">
        <v>3465</v>
      </c>
      <c r="H14" s="588">
        <f t="shared" si="1"/>
        <v>16900</v>
      </c>
      <c r="I14" s="589">
        <f>VLOOKUP(A14,база!A:F,5,FALSE)</f>
        <v>0</v>
      </c>
    </row>
    <row r="15" spans="1:9" s="271" customFormat="1" ht="24.95" customHeight="1" x14ac:dyDescent="0.25">
      <c r="A15" s="400">
        <v>2095</v>
      </c>
      <c r="B15" s="586" t="str">
        <f>VLOOKUP(A15,база!A:F,2,FALSE)</f>
        <v>Ляховец Светлана Петровна</v>
      </c>
      <c r="C15" s="598">
        <v>45308</v>
      </c>
      <c r="D15" s="598">
        <v>45310</v>
      </c>
      <c r="E15" s="591">
        <f t="shared" si="0"/>
        <v>3</v>
      </c>
      <c r="F15" s="587">
        <v>1300</v>
      </c>
      <c r="G15" s="559" t="s">
        <v>3465</v>
      </c>
      <c r="H15" s="588">
        <f t="shared" si="1"/>
        <v>3900</v>
      </c>
      <c r="I15" s="589">
        <f>VLOOKUP(A15,база!A:F,5,FALSE)</f>
        <v>0</v>
      </c>
    </row>
    <row r="16" spans="1:9" s="271" customFormat="1" ht="24.95" customHeight="1" x14ac:dyDescent="0.25">
      <c r="A16" s="400">
        <v>2107</v>
      </c>
      <c r="B16" s="586" t="str">
        <f>VLOOKUP(A16,база!A:F,2,FALSE)</f>
        <v>Михайлова Елена Петровна</v>
      </c>
      <c r="C16" s="598">
        <v>45645</v>
      </c>
      <c r="D16" s="598">
        <v>45648</v>
      </c>
      <c r="E16" s="591">
        <f t="shared" si="0"/>
        <v>4</v>
      </c>
      <c r="F16" s="587">
        <v>1300</v>
      </c>
      <c r="G16" s="559" t="s">
        <v>3465</v>
      </c>
      <c r="H16" s="588">
        <f t="shared" si="1"/>
        <v>5200</v>
      </c>
      <c r="I16" s="589">
        <f>VLOOKUP(A16,база!A:F,5,FALSE)</f>
        <v>0</v>
      </c>
    </row>
    <row r="17" spans="1:9" s="271" customFormat="1" ht="24.95" customHeight="1" x14ac:dyDescent="0.25">
      <c r="A17" s="400">
        <v>2107</v>
      </c>
      <c r="B17" s="586" t="str">
        <f>VLOOKUP(A17,база!A:F,2,FALSE)</f>
        <v>Михайлова Елена Петровна</v>
      </c>
      <c r="C17" s="598">
        <v>45305</v>
      </c>
      <c r="D17" s="598">
        <v>45311</v>
      </c>
      <c r="E17" s="591">
        <f t="shared" si="0"/>
        <v>7</v>
      </c>
      <c r="F17" s="587">
        <v>1300</v>
      </c>
      <c r="G17" s="559" t="s">
        <v>3465</v>
      </c>
      <c r="H17" s="588">
        <f t="shared" si="1"/>
        <v>9100</v>
      </c>
      <c r="I17" s="589">
        <f>VLOOKUP(A17,база!A:F,5,FALSE)</f>
        <v>0</v>
      </c>
    </row>
    <row r="18" spans="1:9" ht="24.95" customHeight="1" x14ac:dyDescent="0.25">
      <c r="A18" s="400">
        <v>2129</v>
      </c>
      <c r="B18" s="586" t="str">
        <f>VLOOKUP(A18,база!A:F,2,FALSE)</f>
        <v>Лавренчук Татьяна Сергеевна</v>
      </c>
      <c r="C18" s="598">
        <v>45284</v>
      </c>
      <c r="D18" s="598">
        <v>45290</v>
      </c>
      <c r="E18" s="591">
        <f t="shared" si="0"/>
        <v>7</v>
      </c>
      <c r="F18" s="587">
        <v>1300</v>
      </c>
      <c r="G18" s="559" t="s">
        <v>3465</v>
      </c>
      <c r="H18" s="588">
        <f t="shared" si="1"/>
        <v>9100</v>
      </c>
      <c r="I18" s="589">
        <f>VLOOKUP(A18,база!A:F,5,FALSE)</f>
        <v>0</v>
      </c>
    </row>
    <row r="19" spans="1:9" ht="24.95" customHeight="1" x14ac:dyDescent="0.25">
      <c r="A19" s="400">
        <v>2172</v>
      </c>
      <c r="B19" s="586" t="str">
        <f>VLOOKUP(A19,база!A:F,2,FALSE)</f>
        <v>Чалей Иван Вацлавович</v>
      </c>
      <c r="C19" s="598">
        <v>45278</v>
      </c>
      <c r="D19" s="598">
        <v>45283</v>
      </c>
      <c r="E19" s="591">
        <f t="shared" si="0"/>
        <v>6</v>
      </c>
      <c r="F19" s="587">
        <v>1300</v>
      </c>
      <c r="G19" s="559" t="s">
        <v>3465</v>
      </c>
      <c r="H19" s="588">
        <f t="shared" si="1"/>
        <v>7800</v>
      </c>
      <c r="I19" s="589">
        <f>VLOOKUP(A19,база!A:F,5,FALSE)</f>
        <v>0</v>
      </c>
    </row>
    <row r="20" spans="1:9" ht="24.6" customHeight="1" x14ac:dyDescent="0.25">
      <c r="A20" s="400">
        <v>2177</v>
      </c>
      <c r="B20" s="586" t="str">
        <f>VLOOKUP(A20,база!A:F,2,FALSE)</f>
        <v>Кулишкина Анна Вячеславовна</v>
      </c>
      <c r="C20" s="598">
        <v>45313</v>
      </c>
      <c r="D20" s="598">
        <v>45316</v>
      </c>
      <c r="E20" s="591">
        <f t="shared" si="0"/>
        <v>4</v>
      </c>
      <c r="F20" s="587">
        <v>1300</v>
      </c>
      <c r="G20" s="559" t="s">
        <v>3465</v>
      </c>
      <c r="H20" s="588">
        <f t="shared" si="1"/>
        <v>5200</v>
      </c>
      <c r="I20" s="589">
        <f>VLOOKUP(A20,база!A:F,5,FALSE)</f>
        <v>0</v>
      </c>
    </row>
    <row r="21" spans="1:9" ht="24.95" customHeight="1" x14ac:dyDescent="0.25">
      <c r="A21" s="400">
        <v>2346</v>
      </c>
      <c r="B21" s="586" t="str">
        <f>VLOOKUP(A21,база!A:F,2,FALSE)</f>
        <v>Бурмасов Игорь Андреевич</v>
      </c>
      <c r="C21" s="598">
        <v>45316</v>
      </c>
      <c r="D21" s="598">
        <v>45318</v>
      </c>
      <c r="E21" s="591">
        <f t="shared" si="0"/>
        <v>3</v>
      </c>
      <c r="F21" s="587">
        <v>1300</v>
      </c>
      <c r="G21" s="559" t="s">
        <v>3465</v>
      </c>
      <c r="H21" s="588">
        <f t="shared" si="1"/>
        <v>3900</v>
      </c>
      <c r="I21" s="589">
        <f>VLOOKUP(A21,база!A:F,5,FALSE)</f>
        <v>0</v>
      </c>
    </row>
    <row r="22" spans="1:9" ht="24.95" customHeight="1" x14ac:dyDescent="0.25">
      <c r="A22" s="400">
        <v>2411</v>
      </c>
      <c r="B22" s="586" t="str">
        <f>VLOOKUP(A22,база!A:F,2,FALSE)</f>
        <v>Резчикова Евгения Ивановна</v>
      </c>
      <c r="C22" s="598">
        <v>45295</v>
      </c>
      <c r="D22" s="598">
        <v>45300</v>
      </c>
      <c r="E22" s="591">
        <f t="shared" si="0"/>
        <v>6</v>
      </c>
      <c r="F22" s="587">
        <v>1300</v>
      </c>
      <c r="G22" s="559" t="s">
        <v>3465</v>
      </c>
      <c r="H22" s="588">
        <f t="shared" si="1"/>
        <v>7800</v>
      </c>
      <c r="I22" s="589">
        <f>VLOOKUP(A22,база!A:F,5,FALSE)</f>
        <v>0</v>
      </c>
    </row>
    <row r="23" spans="1:9" ht="24.95" customHeight="1" x14ac:dyDescent="0.25">
      <c r="A23" s="400">
        <v>2459</v>
      </c>
      <c r="B23" s="586" t="str">
        <f>VLOOKUP(A23,база!A:F,2,FALSE)</f>
        <v>Панов Игорь Леонидович</v>
      </c>
      <c r="C23" s="598">
        <v>45285</v>
      </c>
      <c r="D23" s="598">
        <v>45286</v>
      </c>
      <c r="E23" s="591">
        <f t="shared" si="0"/>
        <v>2</v>
      </c>
      <c r="F23" s="587">
        <v>1300</v>
      </c>
      <c r="G23" s="559" t="s">
        <v>3465</v>
      </c>
      <c r="H23" s="588">
        <f t="shared" si="1"/>
        <v>2600</v>
      </c>
      <c r="I23" s="589">
        <f>VLOOKUP(A23,база!A:F,5,FALSE)</f>
        <v>0</v>
      </c>
    </row>
    <row r="24" spans="1:9" ht="24.95" customHeight="1" x14ac:dyDescent="0.25">
      <c r="A24" s="400">
        <v>2476</v>
      </c>
      <c r="B24" s="586" t="str">
        <f>VLOOKUP(A24,база!A:F,2,FALSE)</f>
        <v>Бэц Олег Ионович</v>
      </c>
      <c r="C24" s="598">
        <v>45306</v>
      </c>
      <c r="D24" s="598">
        <v>45308</v>
      </c>
      <c r="E24" s="591">
        <f t="shared" si="0"/>
        <v>3</v>
      </c>
      <c r="F24" s="587">
        <v>1300</v>
      </c>
      <c r="G24" s="559" t="s">
        <v>3465</v>
      </c>
      <c r="H24" s="588">
        <f t="shared" si="1"/>
        <v>3900</v>
      </c>
      <c r="I24" s="589">
        <f>VLOOKUP(A24,база!A:F,5,FALSE)</f>
        <v>0</v>
      </c>
    </row>
    <row r="25" spans="1:9" ht="24.95" customHeight="1" x14ac:dyDescent="0.25">
      <c r="A25" s="400">
        <v>2524</v>
      </c>
      <c r="B25" s="586" t="str">
        <f>VLOOKUP(A25,база!A:F,2,FALSE)</f>
        <v>Моиспанова Ольга Анатольевна</v>
      </c>
      <c r="C25" s="598">
        <v>45308</v>
      </c>
      <c r="D25" s="598">
        <v>45311</v>
      </c>
      <c r="E25" s="591">
        <f t="shared" si="0"/>
        <v>4</v>
      </c>
      <c r="F25" s="587">
        <v>1300</v>
      </c>
      <c r="G25" s="559" t="s">
        <v>3465</v>
      </c>
      <c r="H25" s="588">
        <f t="shared" si="1"/>
        <v>5200</v>
      </c>
      <c r="I25" s="589">
        <f>VLOOKUP(A25,база!A:F,5,FALSE)</f>
        <v>0</v>
      </c>
    </row>
    <row r="26" spans="1:9" ht="24.95" customHeight="1" x14ac:dyDescent="0.25">
      <c r="A26" s="400">
        <v>2524</v>
      </c>
      <c r="B26" s="586" t="str">
        <f>VLOOKUP(A26,база!A:F,2,FALSE)</f>
        <v>Моиспанова Ольга Анатольевна</v>
      </c>
      <c r="C26" s="598">
        <v>45316</v>
      </c>
      <c r="D26" s="598">
        <v>45318</v>
      </c>
      <c r="E26" s="591">
        <f t="shared" si="0"/>
        <v>3</v>
      </c>
      <c r="F26" s="587">
        <v>1300</v>
      </c>
      <c r="G26" s="559" t="s">
        <v>3465</v>
      </c>
      <c r="H26" s="588">
        <f t="shared" si="1"/>
        <v>3900</v>
      </c>
      <c r="I26" s="589">
        <f>VLOOKUP(A26,база!A:F,5,FALSE)</f>
        <v>0</v>
      </c>
    </row>
    <row r="27" spans="1:9" ht="33.75" customHeight="1" x14ac:dyDescent="0.25">
      <c r="A27" s="400">
        <v>2532</v>
      </c>
      <c r="B27" s="586" t="str">
        <f>VLOOKUP(A27,база!A:F,2,FALSE)</f>
        <v>Панасюк Александр Александрович</v>
      </c>
      <c r="C27" s="598">
        <v>45288</v>
      </c>
      <c r="D27" s="598">
        <v>45289</v>
      </c>
      <c r="E27" s="591">
        <f t="shared" si="0"/>
        <v>2</v>
      </c>
      <c r="F27" s="587">
        <v>1300</v>
      </c>
      <c r="G27" s="559" t="s">
        <v>3465</v>
      </c>
      <c r="H27" s="588">
        <f t="shared" si="1"/>
        <v>2600</v>
      </c>
      <c r="I27" s="589">
        <f>VLOOKUP(A27,база!A:F,5,FALSE)</f>
        <v>0</v>
      </c>
    </row>
    <row r="28" spans="1:9" ht="37.5" customHeight="1" x14ac:dyDescent="0.25">
      <c r="A28" s="400">
        <v>2613</v>
      </c>
      <c r="B28" s="586" t="str">
        <f>VLOOKUP(A28,база!A:F,2,FALSE)</f>
        <v>Сафиуллина Светлана Геннадьевна</v>
      </c>
      <c r="C28" s="598">
        <v>45307</v>
      </c>
      <c r="D28" s="598">
        <v>45311</v>
      </c>
      <c r="E28" s="591">
        <f t="shared" si="0"/>
        <v>5</v>
      </c>
      <c r="F28" s="587">
        <v>1300</v>
      </c>
      <c r="G28" s="559" t="s">
        <v>3465</v>
      </c>
      <c r="H28" s="588">
        <f t="shared" si="1"/>
        <v>6500</v>
      </c>
      <c r="I28" s="589">
        <f>VLOOKUP(A28,база!A:F,5,FALSE)</f>
        <v>0</v>
      </c>
    </row>
    <row r="29" spans="1:9" ht="24.95" customHeight="1" x14ac:dyDescent="0.25">
      <c r="A29" s="400">
        <v>2671</v>
      </c>
      <c r="B29" s="586" t="str">
        <f>VLOOKUP(A29,база!A:F,2,FALSE)</f>
        <v>Мазалов Константин Валерьевич</v>
      </c>
      <c r="C29" s="598">
        <v>45279</v>
      </c>
      <c r="D29" s="598">
        <v>45282</v>
      </c>
      <c r="E29" s="591">
        <f t="shared" si="0"/>
        <v>4</v>
      </c>
      <c r="F29" s="587">
        <v>1300</v>
      </c>
      <c r="G29" s="559" t="s">
        <v>3465</v>
      </c>
      <c r="H29" s="588">
        <f t="shared" si="1"/>
        <v>5200</v>
      </c>
      <c r="I29" s="589">
        <f>VLOOKUP(A29,база!A:F,5,FALSE)</f>
        <v>0</v>
      </c>
    </row>
    <row r="30" spans="1:9" ht="24.95" customHeight="1" x14ac:dyDescent="0.25">
      <c r="A30" s="400">
        <v>2672</v>
      </c>
      <c r="B30" s="586" t="str">
        <f>VLOOKUP(A30,база!A:F,2,FALSE)</f>
        <v>Чижиков Леонид Борисович</v>
      </c>
      <c r="C30" s="598">
        <v>45279</v>
      </c>
      <c r="D30" s="598">
        <v>45282</v>
      </c>
      <c r="E30" s="591">
        <f t="shared" si="0"/>
        <v>4</v>
      </c>
      <c r="F30" s="587">
        <v>1300</v>
      </c>
      <c r="G30" s="559" t="s">
        <v>3465</v>
      </c>
      <c r="H30" s="588">
        <f t="shared" si="1"/>
        <v>5200</v>
      </c>
      <c r="I30" s="589">
        <f>VLOOKUP(A30,база!A:F,5,FALSE)</f>
        <v>0</v>
      </c>
    </row>
    <row r="31" spans="1:9" ht="36" customHeight="1" x14ac:dyDescent="0.25">
      <c r="A31" s="400">
        <v>2673</v>
      </c>
      <c r="B31" s="586" t="str">
        <f>VLOOKUP(A31,база!A:F,2,FALSE)</f>
        <v>Сластенин Сергей Александрович</v>
      </c>
      <c r="C31" s="598">
        <v>45279</v>
      </c>
      <c r="D31" s="598">
        <v>45282</v>
      </c>
      <c r="E31" s="591">
        <f t="shared" si="0"/>
        <v>4</v>
      </c>
      <c r="F31" s="587">
        <v>1300</v>
      </c>
      <c r="G31" s="559" t="s">
        <v>3465</v>
      </c>
      <c r="H31" s="588">
        <f t="shared" si="1"/>
        <v>5200</v>
      </c>
      <c r="I31" s="589">
        <f>VLOOKUP(A31,база!A:F,5,FALSE)</f>
        <v>0</v>
      </c>
    </row>
    <row r="32" spans="1:9" ht="33.6" customHeight="1" x14ac:dyDescent="0.25">
      <c r="A32" s="400">
        <v>2677</v>
      </c>
      <c r="B32" s="586" t="str">
        <f>VLOOKUP(A32,база!A:F,2,FALSE)</f>
        <v>Михайленко Александр Владимирович</v>
      </c>
      <c r="C32" s="598">
        <v>45315</v>
      </c>
      <c r="D32" s="598">
        <v>45318</v>
      </c>
      <c r="E32" s="591">
        <f t="shared" si="0"/>
        <v>4</v>
      </c>
      <c r="F32" s="587">
        <v>1300</v>
      </c>
      <c r="G32" s="559" t="s">
        <v>3465</v>
      </c>
      <c r="H32" s="588">
        <f t="shared" si="1"/>
        <v>5200</v>
      </c>
      <c r="I32" s="589">
        <f>VLOOKUP(A32,база!A:F,5,FALSE)</f>
        <v>0</v>
      </c>
    </row>
    <row r="33" spans="1:9" ht="24.95" customHeight="1" x14ac:dyDescent="0.25">
      <c r="A33" s="400">
        <v>2689</v>
      </c>
      <c r="B33" s="586" t="str">
        <f>VLOOKUP(A33,база!A:F,2,FALSE)</f>
        <v>Иванов Дмитрий Владимирович</v>
      </c>
      <c r="C33" s="598">
        <v>45637</v>
      </c>
      <c r="D33" s="598">
        <v>45640</v>
      </c>
      <c r="E33" s="591">
        <f t="shared" si="0"/>
        <v>4</v>
      </c>
      <c r="F33" s="587">
        <v>1300</v>
      </c>
      <c r="G33" s="559" t="s">
        <v>3465</v>
      </c>
      <c r="H33" s="588">
        <f t="shared" si="1"/>
        <v>5200</v>
      </c>
      <c r="I33" s="589">
        <f>VLOOKUP(A33,база!A:F,5,FALSE)</f>
        <v>0</v>
      </c>
    </row>
    <row r="34" spans="1:9" ht="24.95" customHeight="1" x14ac:dyDescent="0.25">
      <c r="A34" s="400">
        <v>2709</v>
      </c>
      <c r="B34" s="586" t="str">
        <f>VLOOKUP(A34,база!A:F,2,FALSE)</f>
        <v>Жуков Сергей Вячеславович</v>
      </c>
      <c r="C34" s="598">
        <v>45308</v>
      </c>
      <c r="D34" s="598">
        <v>45310</v>
      </c>
      <c r="E34" s="591">
        <f t="shared" si="0"/>
        <v>3</v>
      </c>
      <c r="F34" s="587">
        <v>1300</v>
      </c>
      <c r="G34" s="559" t="s">
        <v>3465</v>
      </c>
      <c r="H34" s="588">
        <f t="shared" si="1"/>
        <v>3900</v>
      </c>
      <c r="I34" s="589">
        <f>VLOOKUP(A34,база!A:F,5,FALSE)</f>
        <v>0</v>
      </c>
    </row>
    <row r="35" spans="1:9" ht="24.95" customHeight="1" x14ac:dyDescent="0.25">
      <c r="A35" s="400">
        <v>2709</v>
      </c>
      <c r="B35" s="586" t="str">
        <f>VLOOKUP(A35,база!A:F,2,FALSE)</f>
        <v>Жуков Сергей Вячеславович</v>
      </c>
      <c r="C35" s="598">
        <v>45314</v>
      </c>
      <c r="D35" s="598">
        <v>45318</v>
      </c>
      <c r="E35" s="591">
        <f t="shared" si="0"/>
        <v>5</v>
      </c>
      <c r="F35" s="587">
        <v>1300</v>
      </c>
      <c r="G35" s="559" t="s">
        <v>3465</v>
      </c>
      <c r="H35" s="588">
        <f t="shared" si="1"/>
        <v>6500</v>
      </c>
      <c r="I35" s="589">
        <f>VLOOKUP(A35,база!A:F,5,FALSE)</f>
        <v>0</v>
      </c>
    </row>
    <row r="36" spans="1:9" ht="24.95" customHeight="1" x14ac:dyDescent="0.25">
      <c r="A36" s="400">
        <v>2802</v>
      </c>
      <c r="B36" s="586" t="str">
        <f>VLOOKUP(A36,база!A:F,2,FALSE)</f>
        <v>Хасбиев Арсений Фларисович</v>
      </c>
      <c r="C36" s="598">
        <v>45279</v>
      </c>
      <c r="D36" s="598">
        <v>45282</v>
      </c>
      <c r="E36" s="591">
        <f t="shared" si="0"/>
        <v>4</v>
      </c>
      <c r="F36" s="587">
        <v>1300</v>
      </c>
      <c r="G36" s="559" t="s">
        <v>3465</v>
      </c>
      <c r="H36" s="588">
        <f t="shared" si="1"/>
        <v>5200</v>
      </c>
      <c r="I36" s="589">
        <f>VLOOKUP(A36,база!A:F,5,FALSE)</f>
        <v>0</v>
      </c>
    </row>
    <row r="37" spans="1:9" ht="33.75" customHeight="1" x14ac:dyDescent="0.25">
      <c r="A37" s="400">
        <v>2843</v>
      </c>
      <c r="B37" s="586" t="str">
        <f>VLOOKUP(A37,база!A:F,2,FALSE)</f>
        <v>Феденков Владимир Владимирович</v>
      </c>
      <c r="C37" s="598">
        <v>45315</v>
      </c>
      <c r="D37" s="598">
        <v>45316</v>
      </c>
      <c r="E37" s="591">
        <f t="shared" si="0"/>
        <v>2</v>
      </c>
      <c r="F37" s="587">
        <v>1300</v>
      </c>
      <c r="G37" s="559" t="s">
        <v>3465</v>
      </c>
      <c r="H37" s="588">
        <f t="shared" si="1"/>
        <v>2600</v>
      </c>
      <c r="I37" s="589">
        <f>VLOOKUP(A37,база!A:F,5,FALSE)</f>
        <v>0</v>
      </c>
    </row>
    <row r="38" spans="1:9" ht="24.95" customHeight="1" x14ac:dyDescent="0.25">
      <c r="A38" s="400">
        <v>2914</v>
      </c>
      <c r="B38" s="586" t="str">
        <f>VLOOKUP(A38,база!A:F,2,FALSE)</f>
        <v>Чудина Анастасия Геннадьевна</v>
      </c>
      <c r="C38" s="598">
        <v>45277</v>
      </c>
      <c r="D38" s="598">
        <v>45281</v>
      </c>
      <c r="E38" s="591">
        <f t="shared" ref="E38:E62" si="2">D38-C38+1</f>
        <v>5</v>
      </c>
      <c r="F38" s="587">
        <v>1300</v>
      </c>
      <c r="G38" s="559" t="s">
        <v>3465</v>
      </c>
      <c r="H38" s="588">
        <f t="shared" ref="H38:H69" si="3">F38*E38</f>
        <v>6500</v>
      </c>
      <c r="I38" s="589">
        <f>VLOOKUP(A38,база!A:F,5,FALSE)</f>
        <v>0</v>
      </c>
    </row>
    <row r="39" spans="1:9" ht="24.95" customHeight="1" x14ac:dyDescent="0.25">
      <c r="A39" s="400">
        <v>2962</v>
      </c>
      <c r="B39" s="586" t="str">
        <f>VLOOKUP(A39,база!A:F,2,FALSE)</f>
        <v>Крюкова Ксения Константиновна</v>
      </c>
      <c r="C39" s="598">
        <v>45314</v>
      </c>
      <c r="D39" s="598">
        <v>45318</v>
      </c>
      <c r="E39" s="591">
        <f t="shared" si="2"/>
        <v>5</v>
      </c>
      <c r="F39" s="587">
        <v>1300</v>
      </c>
      <c r="G39" s="559" t="s">
        <v>3465</v>
      </c>
      <c r="H39" s="588">
        <f t="shared" si="3"/>
        <v>6500</v>
      </c>
      <c r="I39" s="589">
        <f>VLOOKUP(A39,база!A:F,5,FALSE)</f>
        <v>0</v>
      </c>
    </row>
    <row r="40" spans="1:9" ht="24.95" customHeight="1" x14ac:dyDescent="0.25">
      <c r="A40" s="400">
        <v>12936</v>
      </c>
      <c r="B40" s="586" t="str">
        <f>VLOOKUP(A40,база!A:F,2,FALSE)</f>
        <v>Кастерин Анатолий Алексеевич</v>
      </c>
      <c r="C40" s="598">
        <v>45300</v>
      </c>
      <c r="D40" s="598">
        <v>45301</v>
      </c>
      <c r="E40" s="591">
        <f t="shared" si="2"/>
        <v>2</v>
      </c>
      <c r="F40" s="587">
        <v>1300</v>
      </c>
      <c r="G40" s="559" t="s">
        <v>3465</v>
      </c>
      <c r="H40" s="588">
        <f t="shared" si="3"/>
        <v>2600</v>
      </c>
      <c r="I40" s="589">
        <f>VLOOKUP(A40,база!A:F,5,FALSE)</f>
        <v>0</v>
      </c>
    </row>
    <row r="41" spans="1:9" ht="24.95" customHeight="1" x14ac:dyDescent="0.25">
      <c r="A41" s="400">
        <v>13570</v>
      </c>
      <c r="B41" s="586" t="str">
        <f>VLOOKUP(A41,база!A:F,2,FALSE)</f>
        <v>Самыкин Виктор Николаевич</v>
      </c>
      <c r="C41" s="598">
        <v>45307</v>
      </c>
      <c r="D41" s="598">
        <v>45310</v>
      </c>
      <c r="E41" s="591">
        <f t="shared" si="2"/>
        <v>4</v>
      </c>
      <c r="F41" s="587">
        <v>1300</v>
      </c>
      <c r="G41" s="559" t="s">
        <v>3465</v>
      </c>
      <c r="H41" s="588">
        <f t="shared" si="3"/>
        <v>5200</v>
      </c>
      <c r="I41" s="589">
        <f>VLOOKUP(A41,база!A:F,5,FALSE)</f>
        <v>0</v>
      </c>
    </row>
    <row r="42" spans="1:9" ht="24.95" customHeight="1" x14ac:dyDescent="0.25">
      <c r="A42" s="400">
        <v>13570</v>
      </c>
      <c r="B42" s="586" t="str">
        <f>VLOOKUP(A42,база!A:F,2,FALSE)</f>
        <v>Самыкин Виктор Николаевич</v>
      </c>
      <c r="C42" s="598">
        <v>45315</v>
      </c>
      <c r="D42" s="598">
        <v>45317</v>
      </c>
      <c r="E42" s="591">
        <f t="shared" si="2"/>
        <v>3</v>
      </c>
      <c r="F42" s="587">
        <v>1300</v>
      </c>
      <c r="G42" s="559" t="s">
        <v>3465</v>
      </c>
      <c r="H42" s="588">
        <f t="shared" si="3"/>
        <v>3900</v>
      </c>
      <c r="I42" s="589">
        <f>VLOOKUP(A42,база!A:F,5,FALSE)</f>
        <v>0</v>
      </c>
    </row>
    <row r="43" spans="1:9" ht="24.95" customHeight="1" x14ac:dyDescent="0.25">
      <c r="A43" s="400">
        <v>14239</v>
      </c>
      <c r="B43" s="586" t="str">
        <f>VLOOKUP(A43,база!A:F,2,FALSE)</f>
        <v>Антонова Ольга Сергеевна</v>
      </c>
      <c r="C43" s="598">
        <v>45306</v>
      </c>
      <c r="D43" s="598">
        <v>45307</v>
      </c>
      <c r="E43" s="591">
        <f t="shared" si="2"/>
        <v>2</v>
      </c>
      <c r="F43" s="587">
        <v>1300</v>
      </c>
      <c r="G43" s="559" t="s">
        <v>3465</v>
      </c>
      <c r="H43" s="588">
        <f t="shared" si="3"/>
        <v>2600</v>
      </c>
      <c r="I43" s="589">
        <f>VLOOKUP(A43,база!A:F,5,FALSE)</f>
        <v>0</v>
      </c>
    </row>
    <row r="44" spans="1:9" ht="24.95" customHeight="1" x14ac:dyDescent="0.25">
      <c r="A44" s="400">
        <v>15329</v>
      </c>
      <c r="B44" s="586" t="str">
        <f>VLOOKUP(A44,база!A:F,2,FALSE)</f>
        <v>Миннуллин Ренат Фанильевич</v>
      </c>
      <c r="C44" s="598">
        <v>45280</v>
      </c>
      <c r="D44" s="598">
        <v>45290</v>
      </c>
      <c r="E44" s="591">
        <f t="shared" si="2"/>
        <v>11</v>
      </c>
      <c r="F44" s="587">
        <v>1300</v>
      </c>
      <c r="G44" s="559" t="s">
        <v>3465</v>
      </c>
      <c r="H44" s="588">
        <f t="shared" si="3"/>
        <v>14300</v>
      </c>
      <c r="I44" s="589">
        <f>VLOOKUP(A44,база!A:F,5,FALSE)</f>
        <v>0</v>
      </c>
    </row>
    <row r="45" spans="1:9" ht="24.95" customHeight="1" x14ac:dyDescent="0.25">
      <c r="A45" s="400">
        <v>19714</v>
      </c>
      <c r="B45" s="586" t="str">
        <f>VLOOKUP(A45,база!A:F,2,FALSE)</f>
        <v>Идрисов Раиль Инилович</v>
      </c>
      <c r="C45" s="598">
        <v>45301</v>
      </c>
      <c r="D45" s="598">
        <v>45303</v>
      </c>
      <c r="E45" s="591">
        <f t="shared" si="2"/>
        <v>3</v>
      </c>
      <c r="F45" s="587">
        <v>1300</v>
      </c>
      <c r="G45" s="559" t="s">
        <v>3465</v>
      </c>
      <c r="H45" s="588">
        <f t="shared" si="3"/>
        <v>3900</v>
      </c>
      <c r="I45" s="589">
        <f>VLOOKUP(A45,база!A:F,5,FALSE)</f>
        <v>0</v>
      </c>
    </row>
    <row r="46" spans="1:9" ht="24.95" customHeight="1" x14ac:dyDescent="0.25">
      <c r="A46" s="400">
        <v>25430</v>
      </c>
      <c r="B46" s="586" t="str">
        <f>VLOOKUP(A46,база!A:F,2,FALSE)</f>
        <v>Овчаренко Андрей Владимирович</v>
      </c>
      <c r="C46" s="598">
        <v>45301</v>
      </c>
      <c r="D46" s="598">
        <v>45303</v>
      </c>
      <c r="E46" s="591">
        <f t="shared" si="2"/>
        <v>3</v>
      </c>
      <c r="F46" s="587">
        <v>1300</v>
      </c>
      <c r="G46" s="559" t="s">
        <v>3465</v>
      </c>
      <c r="H46" s="588">
        <f t="shared" si="3"/>
        <v>3900</v>
      </c>
      <c r="I46" s="589">
        <f>VLOOKUP(A46,база!A:F,5,FALSE)</f>
        <v>0</v>
      </c>
    </row>
    <row r="47" spans="1:9" ht="24.95" customHeight="1" x14ac:dyDescent="0.25">
      <c r="A47" s="400">
        <v>26611</v>
      </c>
      <c r="B47" s="586" t="str">
        <f>VLOOKUP(A47,база!A:F,2,FALSE)</f>
        <v>Плешивых Евгений Васильевич</v>
      </c>
      <c r="C47" s="598">
        <v>45287</v>
      </c>
      <c r="D47" s="598">
        <v>45288</v>
      </c>
      <c r="E47" s="591">
        <f t="shared" si="2"/>
        <v>2</v>
      </c>
      <c r="F47" s="587">
        <v>1300</v>
      </c>
      <c r="G47" s="559" t="s">
        <v>3465</v>
      </c>
      <c r="H47" s="588">
        <f t="shared" si="3"/>
        <v>2600</v>
      </c>
      <c r="I47" s="589">
        <f>VLOOKUP(A47,база!A:F,5,FALSE)</f>
        <v>0</v>
      </c>
    </row>
    <row r="48" spans="1:9" ht="24.95" customHeight="1" x14ac:dyDescent="0.25">
      <c r="A48" s="400">
        <v>40179</v>
      </c>
      <c r="B48" s="586" t="str">
        <f>VLOOKUP(A48,база!A:F,2,FALSE)</f>
        <v>Лаптев Александр Владимирович</v>
      </c>
      <c r="C48" s="598">
        <v>45294</v>
      </c>
      <c r="D48" s="598">
        <v>45303</v>
      </c>
      <c r="E48" s="591">
        <f t="shared" si="2"/>
        <v>10</v>
      </c>
      <c r="F48" s="587">
        <v>1300</v>
      </c>
      <c r="G48" s="559" t="s">
        <v>3465</v>
      </c>
      <c r="H48" s="588">
        <f t="shared" si="3"/>
        <v>13000</v>
      </c>
      <c r="I48" s="589">
        <f>VLOOKUP(A48,база!A:F,5,FALSE)</f>
        <v>0</v>
      </c>
    </row>
    <row r="49" spans="1:9" ht="24.95" customHeight="1" x14ac:dyDescent="0.25">
      <c r="A49" s="400">
        <v>41976</v>
      </c>
      <c r="B49" s="586" t="str">
        <f>VLOOKUP(A49,база!A:F,2,FALSE)</f>
        <v>Рыбакова Татьяна Сергеевна</v>
      </c>
      <c r="C49" s="598">
        <v>45315</v>
      </c>
      <c r="D49" s="598">
        <v>45317</v>
      </c>
      <c r="E49" s="591">
        <f t="shared" si="2"/>
        <v>3</v>
      </c>
      <c r="F49" s="587">
        <v>1300</v>
      </c>
      <c r="G49" s="559" t="s">
        <v>3465</v>
      </c>
      <c r="H49" s="588">
        <f t="shared" si="3"/>
        <v>3900</v>
      </c>
      <c r="I49" s="589">
        <f>VLOOKUP(A49,база!A:F,5,FALSE)</f>
        <v>0</v>
      </c>
    </row>
    <row r="50" spans="1:9" ht="24.95" customHeight="1" x14ac:dyDescent="0.25">
      <c r="A50" s="400">
        <v>43715</v>
      </c>
      <c r="B50" s="586" t="str">
        <f>VLOOKUP(A50,база!A:F,2,FALSE)</f>
        <v>Курбанов Даниил Маратович</v>
      </c>
      <c r="C50" s="598">
        <v>45302</v>
      </c>
      <c r="D50" s="598">
        <v>45306</v>
      </c>
      <c r="E50" s="591">
        <f t="shared" si="2"/>
        <v>5</v>
      </c>
      <c r="F50" s="587">
        <v>1300</v>
      </c>
      <c r="G50" s="559" t="s">
        <v>3465</v>
      </c>
      <c r="H50" s="588">
        <f t="shared" si="3"/>
        <v>6500</v>
      </c>
      <c r="I50" s="589">
        <f>VLOOKUP(A50,база!A:F,5,FALSE)</f>
        <v>0</v>
      </c>
    </row>
    <row r="51" spans="1:9" ht="24.95" customHeight="1" x14ac:dyDescent="0.25">
      <c r="A51" s="400">
        <v>48767</v>
      </c>
      <c r="B51" s="586" t="str">
        <f>VLOOKUP(A51,база!A:F,2,FALSE)</f>
        <v>Афанасьев Виталий Викторович</v>
      </c>
      <c r="C51" s="598">
        <v>45306</v>
      </c>
      <c r="D51" s="598">
        <v>45308</v>
      </c>
      <c r="E51" s="591">
        <f t="shared" si="2"/>
        <v>3</v>
      </c>
      <c r="F51" s="587">
        <v>1300</v>
      </c>
      <c r="G51" s="559" t="s">
        <v>3465</v>
      </c>
      <c r="H51" s="588">
        <f t="shared" si="3"/>
        <v>3900</v>
      </c>
      <c r="I51" s="589">
        <f>VLOOKUP(A51,база!A:F,5,FALSE)</f>
        <v>0</v>
      </c>
    </row>
    <row r="52" spans="1:9" ht="24.95" customHeight="1" x14ac:dyDescent="0.25">
      <c r="A52" s="400">
        <v>49189</v>
      </c>
      <c r="B52" s="586" t="str">
        <f>VLOOKUP(A52,база!A:F,2,FALSE)</f>
        <v>Габдрафиков Рашид Тагирович</v>
      </c>
      <c r="C52" s="598">
        <v>45316</v>
      </c>
      <c r="D52" s="598">
        <v>45318</v>
      </c>
      <c r="E52" s="591">
        <f t="shared" si="2"/>
        <v>3</v>
      </c>
      <c r="F52" s="587">
        <v>1300</v>
      </c>
      <c r="G52" s="559" t="s">
        <v>3465</v>
      </c>
      <c r="H52" s="588">
        <f t="shared" si="3"/>
        <v>3900</v>
      </c>
      <c r="I52" s="589">
        <f>VLOOKUP(A52,база!A:F,5,FALSE)</f>
        <v>0</v>
      </c>
    </row>
    <row r="53" spans="1:9" ht="24.95" customHeight="1" x14ac:dyDescent="0.25">
      <c r="A53" s="400">
        <v>57288</v>
      </c>
      <c r="B53" s="586" t="str">
        <f>VLOOKUP(A53,база!A:F,2,FALSE)</f>
        <v>Шпак Денис Викторович</v>
      </c>
      <c r="C53" s="598">
        <v>45310</v>
      </c>
      <c r="D53" s="598">
        <v>45311</v>
      </c>
      <c r="E53" s="591">
        <f t="shared" si="2"/>
        <v>2</v>
      </c>
      <c r="F53" s="587">
        <v>1300</v>
      </c>
      <c r="G53" s="559" t="s">
        <v>3465</v>
      </c>
      <c r="H53" s="588">
        <f t="shared" si="3"/>
        <v>2600</v>
      </c>
      <c r="I53" s="589">
        <f>VLOOKUP(A53,база!A:F,5,FALSE)</f>
        <v>0</v>
      </c>
    </row>
    <row r="54" spans="1:9" ht="24.95" customHeight="1" x14ac:dyDescent="0.25">
      <c r="A54" s="400">
        <v>69629</v>
      </c>
      <c r="B54" s="586" t="str">
        <f>VLOOKUP(A54,база!A:F,2,FALSE)</f>
        <v>Рахманин Алексей Николаевич</v>
      </c>
      <c r="C54" s="598">
        <v>45298</v>
      </c>
      <c r="D54" s="598">
        <v>45299</v>
      </c>
      <c r="E54" s="591">
        <f t="shared" si="2"/>
        <v>2</v>
      </c>
      <c r="F54" s="587">
        <v>1300</v>
      </c>
      <c r="G54" s="559" t="s">
        <v>3465</v>
      </c>
      <c r="H54" s="588">
        <f t="shared" si="3"/>
        <v>2600</v>
      </c>
      <c r="I54" s="589">
        <f>VLOOKUP(A54,база!A:F,5,FALSE)</f>
        <v>0</v>
      </c>
    </row>
    <row r="55" spans="1:9" ht="24.95" customHeight="1" x14ac:dyDescent="0.25">
      <c r="A55" s="400">
        <v>69629</v>
      </c>
      <c r="B55" s="586" t="str">
        <f>VLOOKUP(A55,база!A:F,2,FALSE)</f>
        <v>Рахманин Алексей Николаевич</v>
      </c>
      <c r="C55" s="598">
        <v>45310</v>
      </c>
      <c r="D55" s="598">
        <v>45311</v>
      </c>
      <c r="E55" s="591">
        <f t="shared" si="2"/>
        <v>2</v>
      </c>
      <c r="F55" s="587">
        <v>1300</v>
      </c>
      <c r="G55" s="559" t="s">
        <v>3465</v>
      </c>
      <c r="H55" s="588">
        <f t="shared" si="3"/>
        <v>2600</v>
      </c>
      <c r="I55" s="589">
        <f>VLOOKUP(A55,база!A:F,5,FALSE)</f>
        <v>0</v>
      </c>
    </row>
    <row r="56" spans="1:9" ht="24.95" customHeight="1" x14ac:dyDescent="0.25">
      <c r="A56" s="400">
        <v>76377</v>
      </c>
      <c r="B56" s="586" t="str">
        <f>VLOOKUP(A56,база!A:F,2,FALSE)</f>
        <v>Гареев Филус Фанусович</v>
      </c>
      <c r="C56" s="598">
        <v>45300</v>
      </c>
      <c r="D56" s="598">
        <v>45303</v>
      </c>
      <c r="E56" s="591">
        <f t="shared" si="2"/>
        <v>4</v>
      </c>
      <c r="F56" s="587">
        <v>1300</v>
      </c>
      <c r="G56" s="559" t="s">
        <v>3465</v>
      </c>
      <c r="H56" s="588">
        <f t="shared" si="3"/>
        <v>5200</v>
      </c>
      <c r="I56" s="589">
        <f>VLOOKUP(A56,база!A:F,5,FALSE)</f>
        <v>0</v>
      </c>
    </row>
    <row r="57" spans="1:9" ht="24.95" customHeight="1" x14ac:dyDescent="0.25">
      <c r="A57" s="400">
        <v>82383</v>
      </c>
      <c r="B57" s="586" t="str">
        <f>VLOOKUP(A57,база!A:F,2,FALSE)</f>
        <v>Власов Дмитрий Михайлович</v>
      </c>
      <c r="C57" s="598">
        <v>45314</v>
      </c>
      <c r="D57" s="598">
        <v>45316</v>
      </c>
      <c r="E57" s="591">
        <f t="shared" si="2"/>
        <v>3</v>
      </c>
      <c r="F57" s="587">
        <v>1300</v>
      </c>
      <c r="G57" s="559" t="s">
        <v>3465</v>
      </c>
      <c r="H57" s="588">
        <f t="shared" si="3"/>
        <v>3900</v>
      </c>
      <c r="I57" s="589">
        <f>VLOOKUP(A57,база!A:F,5,FALSE)</f>
        <v>0</v>
      </c>
    </row>
    <row r="58" spans="1:9" ht="24.95" customHeight="1" x14ac:dyDescent="0.25">
      <c r="A58" s="400">
        <v>83048</v>
      </c>
      <c r="B58" s="586" t="str">
        <f>VLOOKUP(A58,база!A:F,2,FALSE)</f>
        <v>Зива Алексей Валерьевич</v>
      </c>
      <c r="C58" s="598">
        <v>45307</v>
      </c>
      <c r="D58" s="598">
        <v>45308</v>
      </c>
      <c r="E58" s="591">
        <f t="shared" si="2"/>
        <v>2</v>
      </c>
      <c r="F58" s="587">
        <v>1300</v>
      </c>
      <c r="G58" s="559" t="s">
        <v>3465</v>
      </c>
      <c r="H58" s="588">
        <f t="shared" si="3"/>
        <v>2600</v>
      </c>
      <c r="I58" s="589">
        <f>VLOOKUP(A58,база!A:F,5,FALSE)</f>
        <v>0</v>
      </c>
    </row>
    <row r="59" spans="1:9" ht="24.95" customHeight="1" x14ac:dyDescent="0.25">
      <c r="A59" s="400">
        <v>89021</v>
      </c>
      <c r="B59" s="586" t="str">
        <f>VLOOKUP(A59,база!A:F,2,FALSE)</f>
        <v>Болгарова Светлана Андреевна</v>
      </c>
      <c r="C59" s="598">
        <v>45300</v>
      </c>
      <c r="D59" s="598">
        <v>45310</v>
      </c>
      <c r="E59" s="591">
        <f t="shared" si="2"/>
        <v>11</v>
      </c>
      <c r="F59" s="587">
        <v>1300</v>
      </c>
      <c r="G59" s="559" t="s">
        <v>3465</v>
      </c>
      <c r="H59" s="588">
        <f t="shared" si="3"/>
        <v>14300</v>
      </c>
      <c r="I59" s="589">
        <f>VLOOKUP(A59,база!A:F,5,FALSE)</f>
        <v>0</v>
      </c>
    </row>
    <row r="60" spans="1:9" ht="24.95" customHeight="1" x14ac:dyDescent="0.25">
      <c r="A60" s="400">
        <v>90380</v>
      </c>
      <c r="B60" s="586" t="str">
        <f>VLOOKUP(A60,база!A:F,2,FALSE)</f>
        <v>Билый Александр Игоревич</v>
      </c>
      <c r="C60" s="598">
        <v>45308</v>
      </c>
      <c r="D60" s="598">
        <v>45311</v>
      </c>
      <c r="E60" s="591">
        <f t="shared" si="2"/>
        <v>4</v>
      </c>
      <c r="F60" s="587">
        <v>1300</v>
      </c>
      <c r="G60" s="559" t="s">
        <v>3465</v>
      </c>
      <c r="H60" s="588">
        <f t="shared" si="3"/>
        <v>5200</v>
      </c>
      <c r="I60" s="589">
        <f>VLOOKUP(A60,база!A:F,5,FALSE)</f>
        <v>0</v>
      </c>
    </row>
    <row r="61" spans="1:9" ht="24.95" customHeight="1" x14ac:dyDescent="0.25">
      <c r="A61" s="400">
        <v>92738</v>
      </c>
      <c r="B61" s="586" t="str">
        <f>VLOOKUP(A61,база!A:F,2,FALSE)</f>
        <v>Цесарж Антон Николаевич</v>
      </c>
      <c r="C61" s="598">
        <v>45287</v>
      </c>
      <c r="D61" s="598">
        <v>45288</v>
      </c>
      <c r="E61" s="591">
        <f t="shared" si="2"/>
        <v>2</v>
      </c>
      <c r="F61" s="587">
        <v>1300</v>
      </c>
      <c r="G61" s="559" t="s">
        <v>3465</v>
      </c>
      <c r="H61" s="588">
        <f t="shared" si="3"/>
        <v>2600</v>
      </c>
      <c r="I61" s="589">
        <f>VLOOKUP(A61,база!A:F,5,FALSE)</f>
        <v>0</v>
      </c>
    </row>
    <row r="62" spans="1:9" ht="24.95" customHeight="1" x14ac:dyDescent="0.25">
      <c r="A62" s="400">
        <v>106594</v>
      </c>
      <c r="B62" s="586" t="str">
        <f>VLOOKUP(A62,база!A:F,2,FALSE)</f>
        <v>Кучеренко Андрей Юрьевич</v>
      </c>
      <c r="C62" s="598">
        <v>45313</v>
      </c>
      <c r="D62" s="598">
        <v>45317</v>
      </c>
      <c r="E62" s="591">
        <f t="shared" si="2"/>
        <v>5</v>
      </c>
      <c r="F62" s="587">
        <v>1300</v>
      </c>
      <c r="G62" s="559" t="s">
        <v>3465</v>
      </c>
      <c r="H62" s="588">
        <f t="shared" si="3"/>
        <v>6500</v>
      </c>
      <c r="I62" s="589">
        <f>VLOOKUP(A62,база!A:F,5,FALSE)</f>
        <v>0</v>
      </c>
    </row>
    <row r="63" spans="1:9" ht="24.95" customHeight="1" x14ac:dyDescent="0.25">
      <c r="A63" s="400">
        <v>107052</v>
      </c>
      <c r="B63" s="586" t="str">
        <f>VLOOKUP(A63,база!A:F,2,FALSE)</f>
        <v>Исаков Сергей Викторович</v>
      </c>
      <c r="C63" s="598">
        <v>45315</v>
      </c>
      <c r="D63" s="598">
        <v>45317</v>
      </c>
      <c r="E63" s="591">
        <v>2.5</v>
      </c>
      <c r="F63" s="587">
        <v>1300</v>
      </c>
      <c r="G63" s="559" t="s">
        <v>3465</v>
      </c>
      <c r="H63" s="588">
        <f t="shared" si="3"/>
        <v>3250</v>
      </c>
      <c r="I63" s="589">
        <f>VLOOKUP(A63,база!A:F,5,FALSE)</f>
        <v>0</v>
      </c>
    </row>
    <row r="64" spans="1:9" ht="24.95" customHeight="1" x14ac:dyDescent="0.25">
      <c r="A64" s="400">
        <v>113837</v>
      </c>
      <c r="B64" s="586" t="str">
        <f>VLOOKUP(A64,база!A:F,2,FALSE)</f>
        <v>Сушинцев Валерий Валентинович</v>
      </c>
      <c r="C64" s="598">
        <v>45315</v>
      </c>
      <c r="D64" s="598">
        <v>45318</v>
      </c>
      <c r="E64" s="591">
        <f>D64-C64+1</f>
        <v>4</v>
      </c>
      <c r="F64" s="587">
        <v>1300</v>
      </c>
      <c r="G64" s="559" t="s">
        <v>3465</v>
      </c>
      <c r="H64" s="588">
        <f t="shared" si="3"/>
        <v>5200</v>
      </c>
      <c r="I64" s="589">
        <f>VLOOKUP(A64,база!A:F,5,FALSE)</f>
        <v>0</v>
      </c>
    </row>
    <row r="65" spans="1:9" ht="24.95" customHeight="1" x14ac:dyDescent="0.25">
      <c r="A65" s="400">
        <v>118542</v>
      </c>
      <c r="B65" s="586" t="str">
        <f>VLOOKUP(A65,база!A:F,2,FALSE)</f>
        <v>Газизов Илдар Шамилович</v>
      </c>
      <c r="C65" s="598">
        <v>45296</v>
      </c>
      <c r="D65" s="598">
        <v>45303</v>
      </c>
      <c r="E65" s="591">
        <f>D65-C65+1</f>
        <v>8</v>
      </c>
      <c r="F65" s="587">
        <v>1300</v>
      </c>
      <c r="G65" s="559" t="s">
        <v>3465</v>
      </c>
      <c r="H65" s="588">
        <f t="shared" si="3"/>
        <v>10400</v>
      </c>
      <c r="I65" s="589">
        <f>VLOOKUP(A65,база!A:F,5,FALSE)</f>
        <v>0</v>
      </c>
    </row>
    <row r="66" spans="1:9" ht="24.95" customHeight="1" x14ac:dyDescent="0.25">
      <c r="A66" s="400">
        <v>123558</v>
      </c>
      <c r="B66" s="586" t="str">
        <f>VLOOKUP(A66,база!A:F,2,FALSE)</f>
        <v>Андреев Михаил Александрович</v>
      </c>
      <c r="C66" s="598">
        <v>45306</v>
      </c>
      <c r="D66" s="598">
        <v>45307</v>
      </c>
      <c r="E66" s="591">
        <f>D66-C66+1</f>
        <v>2</v>
      </c>
      <c r="F66" s="587">
        <v>1300</v>
      </c>
      <c r="G66" s="559" t="s">
        <v>3465</v>
      </c>
      <c r="H66" s="588">
        <f t="shared" si="3"/>
        <v>2600</v>
      </c>
      <c r="I66" s="589">
        <f>VLOOKUP(A66,база!A:F,5,FALSE)</f>
        <v>0</v>
      </c>
    </row>
    <row r="67" spans="1:9" ht="24.95" customHeight="1" x14ac:dyDescent="0.25">
      <c r="A67" s="400">
        <v>124532</v>
      </c>
      <c r="B67" s="586" t="str">
        <f>VLOOKUP(A67,база!A:F,2,FALSE)</f>
        <v>Куза Руслан Ростиславович</v>
      </c>
      <c r="C67" s="598">
        <v>45307</v>
      </c>
      <c r="D67" s="598">
        <v>45308</v>
      </c>
      <c r="E67" s="591">
        <f>D67-C67+1</f>
        <v>2</v>
      </c>
      <c r="F67" s="587">
        <v>1300</v>
      </c>
      <c r="G67" s="559" t="s">
        <v>3465</v>
      </c>
      <c r="H67" s="588">
        <f t="shared" si="3"/>
        <v>2600</v>
      </c>
      <c r="I67" s="589">
        <f>VLOOKUP(A67,база!A:F,5,FALSE)</f>
        <v>0</v>
      </c>
    </row>
    <row r="68" spans="1:9" ht="24.95" customHeight="1" x14ac:dyDescent="0.25">
      <c r="A68" s="400">
        <v>129747</v>
      </c>
      <c r="B68" s="586" t="str">
        <f>VLOOKUP(A68,база!A:F,2,FALSE)</f>
        <v>Музафарова Надежда Андреевна</v>
      </c>
      <c r="C68" s="598">
        <v>45300</v>
      </c>
      <c r="D68" s="598">
        <v>45307</v>
      </c>
      <c r="E68" s="591">
        <f>D68-C68+1</f>
        <v>8</v>
      </c>
      <c r="F68" s="587">
        <v>1300</v>
      </c>
      <c r="G68" s="559" t="s">
        <v>3465</v>
      </c>
      <c r="H68" s="588">
        <f t="shared" si="3"/>
        <v>10400</v>
      </c>
      <c r="I68" s="589">
        <f>VLOOKUP(A68,база!A:F,5,FALSE)</f>
        <v>0</v>
      </c>
    </row>
    <row r="69" spans="1:9" ht="24.95" customHeight="1" x14ac:dyDescent="0.25">
      <c r="A69" s="400">
        <v>140828</v>
      </c>
      <c r="B69" s="586" t="str">
        <f>VLOOKUP(A69,база!A:F,2,FALSE)</f>
        <v>Дряхленков Максим Юрьевич</v>
      </c>
      <c r="C69" s="598">
        <v>45315</v>
      </c>
      <c r="D69" s="598">
        <v>45317</v>
      </c>
      <c r="E69" s="591">
        <v>2.5</v>
      </c>
      <c r="F69" s="587">
        <v>1300</v>
      </c>
      <c r="G69" s="559" t="s">
        <v>3465</v>
      </c>
      <c r="H69" s="588">
        <f t="shared" si="3"/>
        <v>3250</v>
      </c>
      <c r="I69" s="589">
        <f>VLOOKUP(A69,база!A:F,5,FALSE)</f>
        <v>0</v>
      </c>
    </row>
    <row r="70" spans="1:9" ht="24.95" customHeight="1" x14ac:dyDescent="0.25">
      <c r="A70" s="400">
        <v>141799</v>
      </c>
      <c r="B70" s="586" t="str">
        <f>VLOOKUP(A70,база!A:F,2,FALSE)</f>
        <v>Башлыков Дмитрий Викторович</v>
      </c>
      <c r="C70" s="598">
        <v>45310</v>
      </c>
      <c r="D70" s="598">
        <v>45312</v>
      </c>
      <c r="E70" s="591">
        <f t="shared" ref="E70:E85" si="4">D70-C70+1</f>
        <v>3</v>
      </c>
      <c r="F70" s="587">
        <v>1300</v>
      </c>
      <c r="G70" s="559" t="s">
        <v>3465</v>
      </c>
      <c r="H70" s="588">
        <f t="shared" ref="H70:H85" si="5">F70*E70</f>
        <v>3900</v>
      </c>
      <c r="I70" s="589">
        <f>VLOOKUP(A70,база!A:F,5,FALSE)</f>
        <v>0</v>
      </c>
    </row>
    <row r="71" spans="1:9" ht="24.95" customHeight="1" x14ac:dyDescent="0.25">
      <c r="A71" s="400">
        <v>160425</v>
      </c>
      <c r="B71" s="586" t="str">
        <f>VLOOKUP(A71,база!A:F,2,FALSE)</f>
        <v>Карпухин Федор Геннадьевич</v>
      </c>
      <c r="C71" s="598">
        <v>45313</v>
      </c>
      <c r="D71" s="598">
        <v>45317</v>
      </c>
      <c r="E71" s="591">
        <f t="shared" si="4"/>
        <v>5</v>
      </c>
      <c r="F71" s="587">
        <v>1300</v>
      </c>
      <c r="G71" s="559" t="s">
        <v>3465</v>
      </c>
      <c r="H71" s="588">
        <f t="shared" si="5"/>
        <v>6500</v>
      </c>
      <c r="I71" s="589">
        <f>VLOOKUP(A71,база!A:F,5,FALSE)</f>
        <v>0</v>
      </c>
    </row>
    <row r="72" spans="1:9" ht="24.95" customHeight="1" x14ac:dyDescent="0.25">
      <c r="A72" s="400">
        <v>160425</v>
      </c>
      <c r="B72" s="586" t="str">
        <f>VLOOKUP(A72,база!A:F,2,FALSE)</f>
        <v>Карпухин Федор Геннадьевич</v>
      </c>
      <c r="C72" s="598">
        <v>45306</v>
      </c>
      <c r="D72" s="598">
        <v>45310</v>
      </c>
      <c r="E72" s="591">
        <f t="shared" si="4"/>
        <v>5</v>
      </c>
      <c r="F72" s="587">
        <v>1300</v>
      </c>
      <c r="G72" s="559" t="s">
        <v>3465</v>
      </c>
      <c r="H72" s="588">
        <f t="shared" si="5"/>
        <v>6500</v>
      </c>
      <c r="I72" s="589">
        <f>VLOOKUP(A72,база!A:F,5,FALSE)</f>
        <v>0</v>
      </c>
    </row>
    <row r="73" spans="1:9" ht="24.95" customHeight="1" x14ac:dyDescent="0.25">
      <c r="A73" s="400">
        <v>161850</v>
      </c>
      <c r="B73" s="586" t="str">
        <f>VLOOKUP(A73,база!A:F,2,FALSE)</f>
        <v>Юрасова Анна Владимировна</v>
      </c>
      <c r="C73" s="598">
        <v>45302</v>
      </c>
      <c r="D73" s="598">
        <v>45303</v>
      </c>
      <c r="E73" s="591">
        <f t="shared" si="4"/>
        <v>2</v>
      </c>
      <c r="F73" s="587">
        <v>1300</v>
      </c>
      <c r="G73" s="559" t="s">
        <v>3465</v>
      </c>
      <c r="H73" s="588">
        <f t="shared" si="5"/>
        <v>2600</v>
      </c>
      <c r="I73" s="589">
        <f>VLOOKUP(A73,база!A:F,5,FALSE)</f>
        <v>0</v>
      </c>
    </row>
    <row r="74" spans="1:9" ht="34.5" customHeight="1" x14ac:dyDescent="0.25">
      <c r="A74" s="400">
        <v>174122</v>
      </c>
      <c r="B74" s="586" t="str">
        <f>VLOOKUP(A74,база!A:F,2,FALSE)</f>
        <v>Качубей Александр Александрович</v>
      </c>
      <c r="C74" s="598">
        <v>45305</v>
      </c>
      <c r="D74" s="598">
        <v>45308</v>
      </c>
      <c r="E74" s="591">
        <f t="shared" si="4"/>
        <v>4</v>
      </c>
      <c r="F74" s="587">
        <v>1300</v>
      </c>
      <c r="G74" s="559" t="s">
        <v>3465</v>
      </c>
      <c r="H74" s="588">
        <f t="shared" si="5"/>
        <v>5200</v>
      </c>
      <c r="I74" s="589">
        <f>VLOOKUP(A74,база!A:F,5,FALSE)</f>
        <v>0</v>
      </c>
    </row>
    <row r="75" spans="1:9" ht="37.5" customHeight="1" x14ac:dyDescent="0.25">
      <c r="A75" s="400">
        <v>179213</v>
      </c>
      <c r="B75" s="586" t="str">
        <f>VLOOKUP(A75,база!A:F,2,FALSE)</f>
        <v>Слепцов Александр Константинович</v>
      </c>
      <c r="C75" s="598">
        <v>45315</v>
      </c>
      <c r="D75" s="598">
        <v>45316</v>
      </c>
      <c r="E75" s="591">
        <f t="shared" si="4"/>
        <v>2</v>
      </c>
      <c r="F75" s="587">
        <v>1300</v>
      </c>
      <c r="G75" s="559" t="s">
        <v>3465</v>
      </c>
      <c r="H75" s="588">
        <f t="shared" si="5"/>
        <v>2600</v>
      </c>
      <c r="I75" s="589">
        <f>VLOOKUP(A75,база!A:F,5,FALSE)</f>
        <v>0</v>
      </c>
    </row>
    <row r="76" spans="1:9" ht="31.9" customHeight="1" x14ac:dyDescent="0.25">
      <c r="A76" s="400">
        <v>190736</v>
      </c>
      <c r="B76" s="586" t="str">
        <f>VLOOKUP(A76,база!A:F,2,FALSE)</f>
        <v>Белугин Дмитрий Анатольевич</v>
      </c>
      <c r="C76" s="598">
        <v>45272</v>
      </c>
      <c r="D76" s="598">
        <v>45275</v>
      </c>
      <c r="E76" s="591">
        <f t="shared" si="4"/>
        <v>4</v>
      </c>
      <c r="F76" s="587">
        <v>1300</v>
      </c>
      <c r="G76" s="559" t="s">
        <v>3465</v>
      </c>
      <c r="H76" s="588">
        <f t="shared" si="5"/>
        <v>5200</v>
      </c>
      <c r="I76" s="589">
        <f>VLOOKUP(A76,база!A:F,5,FALSE)</f>
        <v>0</v>
      </c>
    </row>
    <row r="77" spans="1:9" ht="24.95" customHeight="1" x14ac:dyDescent="0.25">
      <c r="A77" s="400">
        <v>204448</v>
      </c>
      <c r="B77" s="586" t="str">
        <f>VLOOKUP(A77,база!A:F,2,FALSE)</f>
        <v>Цуканов Кирилл Владимирович</v>
      </c>
      <c r="C77" s="598">
        <v>45306</v>
      </c>
      <c r="D77" s="598">
        <v>45310</v>
      </c>
      <c r="E77" s="591">
        <f t="shared" si="4"/>
        <v>5</v>
      </c>
      <c r="F77" s="587">
        <v>1300</v>
      </c>
      <c r="G77" s="559" t="s">
        <v>3465</v>
      </c>
      <c r="H77" s="588">
        <f t="shared" si="5"/>
        <v>6500</v>
      </c>
      <c r="I77" s="589">
        <f>VLOOKUP(A77,база!A:F,5,FALSE)</f>
        <v>0</v>
      </c>
    </row>
    <row r="78" spans="1:9" ht="24.95" customHeight="1" x14ac:dyDescent="0.25">
      <c r="A78" s="400">
        <v>213458</v>
      </c>
      <c r="B78" s="586" t="str">
        <f>VLOOKUP(A78,база!A:F,2,FALSE)</f>
        <v>Колбай Анастасия Александровна</v>
      </c>
      <c r="C78" s="598">
        <v>45284</v>
      </c>
      <c r="D78" s="598">
        <v>45290</v>
      </c>
      <c r="E78" s="591">
        <f t="shared" si="4"/>
        <v>7</v>
      </c>
      <c r="F78" s="587">
        <v>1300</v>
      </c>
      <c r="G78" s="559" t="s">
        <v>3465</v>
      </c>
      <c r="H78" s="588">
        <f t="shared" si="5"/>
        <v>9100</v>
      </c>
      <c r="I78" s="589">
        <f>VLOOKUP(A78,база!A:F,5,FALSE)</f>
        <v>0</v>
      </c>
    </row>
    <row r="79" spans="1:9" ht="24.95" customHeight="1" x14ac:dyDescent="0.25">
      <c r="A79" s="400">
        <v>231433</v>
      </c>
      <c r="B79" s="586" t="str">
        <f>VLOOKUP(A79,база!A:F,2,FALSE)</f>
        <v>Фетисов Павел Сергеевич</v>
      </c>
      <c r="C79" s="598">
        <v>45300</v>
      </c>
      <c r="D79" s="598">
        <v>45309</v>
      </c>
      <c r="E79" s="591">
        <f t="shared" si="4"/>
        <v>10</v>
      </c>
      <c r="F79" s="587">
        <v>1300</v>
      </c>
      <c r="G79" s="559" t="s">
        <v>3465</v>
      </c>
      <c r="H79" s="588">
        <f t="shared" si="5"/>
        <v>13000</v>
      </c>
      <c r="I79" s="589">
        <f>VLOOKUP(A79,база!A:F,5,FALSE)</f>
        <v>0</v>
      </c>
    </row>
    <row r="80" spans="1:9" ht="24.95" customHeight="1" x14ac:dyDescent="0.25">
      <c r="A80" s="400">
        <v>241630</v>
      </c>
      <c r="B80" s="586" t="str">
        <f>VLOOKUP(A80,база!A:F,2,FALSE)</f>
        <v>Потапов Андрей Юрьевич</v>
      </c>
      <c r="C80" s="598">
        <v>45294</v>
      </c>
      <c r="D80" s="598">
        <v>45299</v>
      </c>
      <c r="E80" s="591">
        <f t="shared" si="4"/>
        <v>6</v>
      </c>
      <c r="F80" s="587">
        <v>1300</v>
      </c>
      <c r="G80" s="559" t="s">
        <v>3465</v>
      </c>
      <c r="H80" s="588">
        <f t="shared" si="5"/>
        <v>7800</v>
      </c>
      <c r="I80" s="589">
        <f>VLOOKUP(A80,база!A:F,5,FALSE)</f>
        <v>0</v>
      </c>
    </row>
    <row r="81" spans="1:9" ht="24.95" customHeight="1" x14ac:dyDescent="0.25">
      <c r="A81" s="400">
        <v>245601</v>
      </c>
      <c r="B81" s="586" t="str">
        <f>VLOOKUP(A81,база!A:F,2,FALSE)</f>
        <v>Писарев Дмитрий Сергеевич</v>
      </c>
      <c r="C81" s="598">
        <v>45307</v>
      </c>
      <c r="D81" s="598">
        <v>45308</v>
      </c>
      <c r="E81" s="591">
        <f t="shared" si="4"/>
        <v>2</v>
      </c>
      <c r="F81" s="587">
        <v>1300</v>
      </c>
      <c r="G81" s="559" t="s">
        <v>3465</v>
      </c>
      <c r="H81" s="588">
        <f t="shared" si="5"/>
        <v>2600</v>
      </c>
      <c r="I81" s="589">
        <f>VLOOKUP(A81,база!A:F,5,FALSE)</f>
        <v>0</v>
      </c>
    </row>
    <row r="82" spans="1:9" ht="33.6" customHeight="1" x14ac:dyDescent="0.25">
      <c r="A82" s="400">
        <v>246934</v>
      </c>
      <c r="B82" s="586" t="str">
        <f>VLOOKUP(A82,база!A:F,2,FALSE)</f>
        <v>Шаповалова Светлана Владимировна</v>
      </c>
      <c r="C82" s="598">
        <v>45313</v>
      </c>
      <c r="D82" s="598">
        <v>45315</v>
      </c>
      <c r="E82" s="591">
        <f t="shared" si="4"/>
        <v>3</v>
      </c>
      <c r="F82" s="587">
        <v>1300</v>
      </c>
      <c r="G82" s="559" t="s">
        <v>3465</v>
      </c>
      <c r="H82" s="588">
        <f t="shared" si="5"/>
        <v>3900</v>
      </c>
      <c r="I82" s="589">
        <f>VLOOKUP(A82,база!A:F,5,FALSE)</f>
        <v>0</v>
      </c>
    </row>
    <row r="83" spans="1:9" ht="24.95" customHeight="1" x14ac:dyDescent="0.25">
      <c r="A83" s="400">
        <v>259046</v>
      </c>
      <c r="B83" s="586" t="str">
        <f>VLOOKUP(A83,база!A:F,2,FALSE)</f>
        <v>Евсиевич Михаил Олегович</v>
      </c>
      <c r="C83" s="598">
        <v>45308</v>
      </c>
      <c r="D83" s="598">
        <v>45311</v>
      </c>
      <c r="E83" s="591">
        <f t="shared" si="4"/>
        <v>4</v>
      </c>
      <c r="F83" s="587">
        <v>1300</v>
      </c>
      <c r="G83" s="559" t="s">
        <v>3465</v>
      </c>
      <c r="H83" s="588">
        <f t="shared" si="5"/>
        <v>5200</v>
      </c>
      <c r="I83" s="589">
        <f>VLOOKUP(A83,база!A:F,5,FALSE)</f>
        <v>0</v>
      </c>
    </row>
    <row r="84" spans="1:9" ht="24.95" customHeight="1" x14ac:dyDescent="0.25">
      <c r="A84" s="400">
        <v>261616</v>
      </c>
      <c r="B84" s="586" t="str">
        <f>VLOOKUP(A84,база!A:F,2,FALSE)</f>
        <v>Жебит Павел Михайлович</v>
      </c>
      <c r="C84" s="598">
        <v>45313</v>
      </c>
      <c r="D84" s="598">
        <v>45316</v>
      </c>
      <c r="E84" s="591">
        <f t="shared" si="4"/>
        <v>4</v>
      </c>
      <c r="F84" s="587">
        <v>1300</v>
      </c>
      <c r="G84" s="559" t="s">
        <v>3465</v>
      </c>
      <c r="H84" s="588">
        <f t="shared" si="5"/>
        <v>5200</v>
      </c>
      <c r="I84" s="589">
        <f>VLOOKUP(A84,база!A:F,5,FALSE)</f>
        <v>0</v>
      </c>
    </row>
    <row r="85" spans="1:9" ht="24.95" customHeight="1" x14ac:dyDescent="0.25">
      <c r="A85" s="400">
        <v>306740</v>
      </c>
      <c r="B85" s="586" t="str">
        <f>VLOOKUP(A85,база!A:F,2,FALSE)</f>
        <v>Семенов Дмитрий Александрович</v>
      </c>
      <c r="C85" s="598">
        <v>45313</v>
      </c>
      <c r="D85" s="598">
        <v>45315</v>
      </c>
      <c r="E85" s="591">
        <f t="shared" si="4"/>
        <v>3</v>
      </c>
      <c r="F85" s="587">
        <v>1300</v>
      </c>
      <c r="G85" s="559" t="s">
        <v>3465</v>
      </c>
      <c r="H85" s="588">
        <f t="shared" si="5"/>
        <v>3900</v>
      </c>
      <c r="I85" s="589">
        <f>VLOOKUP(A85,база!A:F,5,FALSE)</f>
        <v>0</v>
      </c>
    </row>
    <row r="86" spans="1:9" ht="24.95" customHeight="1" x14ac:dyDescent="0.25">
      <c r="A86" s="476"/>
      <c r="B86" s="477" t="s">
        <v>1334</v>
      </c>
      <c r="C86" s="430"/>
      <c r="D86" s="430"/>
      <c r="E86" s="478">
        <f>SUM(E6:E85)</f>
        <v>330</v>
      </c>
      <c r="F86" s="444"/>
      <c r="G86" s="444"/>
      <c r="H86" s="479">
        <f>SUM(H6:H85)</f>
        <v>429000</v>
      </c>
      <c r="I86" s="436"/>
    </row>
    <row r="87" spans="1:9" ht="24.95" customHeight="1" x14ac:dyDescent="0.25">
      <c r="A87" s="421"/>
      <c r="B87" s="480"/>
      <c r="C87" s="40"/>
      <c r="D87" s="40"/>
      <c r="E87" s="395"/>
      <c r="F87" s="481"/>
      <c r="G87" s="481"/>
      <c r="H87" s="482"/>
      <c r="I87" s="422"/>
    </row>
    <row r="88" spans="1:9" ht="24.95" customHeight="1" x14ac:dyDescent="0.25">
      <c r="B88" s="83" t="s">
        <v>150</v>
      </c>
      <c r="C88" s="84"/>
      <c r="D88" s="84"/>
      <c r="E88" s="85"/>
      <c r="F88" s="40"/>
      <c r="G88" s="483"/>
      <c r="H88" s="85" t="s">
        <v>1057</v>
      </c>
      <c r="I88" s="40"/>
    </row>
    <row r="89" spans="1:9" ht="24.95" customHeight="1" x14ac:dyDescent="0.25">
      <c r="I89" s="487"/>
    </row>
    <row r="90" spans="1:9" ht="24.95" customHeight="1" x14ac:dyDescent="0.25">
      <c r="A90" s="421"/>
      <c r="B90" s="441"/>
      <c r="C90" s="488"/>
      <c r="D90" s="40"/>
      <c r="E90" s="169"/>
      <c r="F90" s="40"/>
      <c r="G90" s="489" t="s">
        <v>1334</v>
      </c>
      <c r="H90" s="490">
        <f>H86</f>
        <v>429000</v>
      </c>
      <c r="I90" s="491"/>
    </row>
    <row r="91" spans="1:9" ht="24.95" customHeight="1" x14ac:dyDescent="0.25">
      <c r="A91" s="492" t="s">
        <v>3466</v>
      </c>
      <c r="B91" s="493">
        <f>Командировки!F93*2000</f>
        <v>730000</v>
      </c>
      <c r="D91" s="40"/>
      <c r="E91" s="169"/>
      <c r="F91" s="40"/>
      <c r="G91" s="489" t="s">
        <v>1157</v>
      </c>
      <c r="H91" s="490">
        <f>H107</f>
        <v>45500</v>
      </c>
      <c r="I91" s="491"/>
    </row>
    <row r="92" spans="1:9" ht="24.95" customHeight="1" x14ac:dyDescent="0.25">
      <c r="A92" s="494">
        <f>Командировки!F93</f>
        <v>365</v>
      </c>
      <c r="B92" s="493">
        <f>Командировки!H93</f>
        <v>474500</v>
      </c>
      <c r="C92" s="488"/>
      <c r="D92" s="40"/>
      <c r="E92" s="169"/>
      <c r="F92" s="422"/>
      <c r="G92" s="489" t="s">
        <v>1058</v>
      </c>
      <c r="H92" s="490">
        <f>SUM(H90:H91)</f>
        <v>474500</v>
      </c>
      <c r="I92" s="441"/>
    </row>
    <row r="93" spans="1:9" ht="24.95" customHeight="1" x14ac:dyDescent="0.25">
      <c r="B93" s="84"/>
      <c r="C93" s="84"/>
      <c r="D93" s="85"/>
      <c r="E93" s="495"/>
      <c r="F93" s="40"/>
      <c r="G93" s="483"/>
      <c r="H93" s="496"/>
      <c r="I93" s="491"/>
    </row>
    <row r="94" spans="1:9" ht="24.95" customHeight="1" x14ac:dyDescent="0.25">
      <c r="B94" s="83" t="s">
        <v>150</v>
      </c>
      <c r="C94" s="84"/>
      <c r="D94" s="84"/>
      <c r="E94" s="85"/>
      <c r="F94" s="40"/>
      <c r="G94" s="483"/>
      <c r="H94" s="85" t="s">
        <v>1057</v>
      </c>
      <c r="I94" s="40"/>
    </row>
    <row r="95" spans="1:9" ht="24.95" customHeight="1" x14ac:dyDescent="0.25"/>
    <row r="96" spans="1:9" s="271" customFormat="1" ht="24.95" customHeight="1" x14ac:dyDescent="0.25">
      <c r="A96" s="698" t="s">
        <v>2655</v>
      </c>
      <c r="B96" s="698"/>
      <c r="C96" s="698"/>
      <c r="D96" s="698"/>
      <c r="E96" s="698"/>
      <c r="F96" s="698"/>
      <c r="G96" s="698"/>
      <c r="H96" s="698"/>
      <c r="I96" s="698"/>
    </row>
    <row r="97" spans="1:9" s="271" customFormat="1" ht="24.95" customHeight="1" x14ac:dyDescent="0.25">
      <c r="A97" s="698" t="s">
        <v>1089</v>
      </c>
      <c r="B97" s="698"/>
      <c r="C97" s="698"/>
      <c r="D97" s="698"/>
      <c r="E97" s="698"/>
      <c r="F97" s="698"/>
      <c r="G97" s="698"/>
      <c r="H97" s="698"/>
      <c r="I97" s="698"/>
    </row>
    <row r="98" spans="1:9" s="271" customFormat="1" ht="24.95" customHeight="1" x14ac:dyDescent="0.25">
      <c r="A98" s="699" t="s">
        <v>3467</v>
      </c>
      <c r="B98" s="699"/>
      <c r="C98" s="699"/>
      <c r="D98" s="699"/>
      <c r="E98" s="699"/>
      <c r="F98" s="699"/>
      <c r="G98" s="699"/>
      <c r="H98" s="699"/>
      <c r="I98" s="699"/>
    </row>
    <row r="99" spans="1:9" s="271" customFormat="1" ht="24.95" customHeight="1" x14ac:dyDescent="0.25">
      <c r="A99" s="699" t="s">
        <v>3755</v>
      </c>
      <c r="B99" s="699"/>
      <c r="C99" s="699"/>
      <c r="D99" s="699"/>
      <c r="E99" s="699"/>
      <c r="F99" s="699"/>
      <c r="G99" s="699"/>
      <c r="H99" s="699"/>
      <c r="I99" s="699"/>
    </row>
    <row r="100" spans="1:9" s="271" customFormat="1" ht="25.5" customHeight="1" x14ac:dyDescent="0.25">
      <c r="A100" s="404" t="s">
        <v>1090</v>
      </c>
      <c r="B100" s="471" t="s">
        <v>1091</v>
      </c>
      <c r="C100" s="472"/>
      <c r="D100" s="472"/>
      <c r="E100" s="473"/>
      <c r="F100" s="474"/>
      <c r="G100" s="474" t="s">
        <v>1092</v>
      </c>
      <c r="H100" s="472" t="s">
        <v>1055</v>
      </c>
      <c r="I100" s="474" t="s">
        <v>3455</v>
      </c>
    </row>
    <row r="101" spans="1:9" s="271" customFormat="1" ht="30" customHeight="1" x14ac:dyDescent="0.25">
      <c r="A101" s="400">
        <v>26321</v>
      </c>
      <c r="B101" s="586" t="str">
        <f>VLOOKUP(A101,база!A:F,2,FALSE)</f>
        <v>Березкин Кирилл Аркадьевич</v>
      </c>
      <c r="C101" s="598">
        <v>45315</v>
      </c>
      <c r="D101" s="598">
        <v>45316</v>
      </c>
      <c r="E101" s="591">
        <f t="shared" ref="E101:E106" si="6">D101-C101+1</f>
        <v>2</v>
      </c>
      <c r="F101" s="587">
        <v>1300</v>
      </c>
      <c r="G101" s="559" t="s">
        <v>3465</v>
      </c>
      <c r="H101" s="588">
        <f t="shared" ref="H101:H106" si="7">F101*E101</f>
        <v>2600</v>
      </c>
      <c r="I101" s="589" t="str">
        <f>VLOOKUP(A101,база!A:F,5,FALSE)</f>
        <v>рук</v>
      </c>
    </row>
    <row r="102" spans="1:9" s="271" customFormat="1" ht="33.75" customHeight="1" x14ac:dyDescent="0.25">
      <c r="A102" s="400">
        <v>33698</v>
      </c>
      <c r="B102" s="586" t="str">
        <f>VLOOKUP(A102,база!A:F,2,FALSE)</f>
        <v>Абдрахимов Олег Фанилович</v>
      </c>
      <c r="C102" s="598">
        <v>45295</v>
      </c>
      <c r="D102" s="598">
        <v>45303</v>
      </c>
      <c r="E102" s="591">
        <f t="shared" si="6"/>
        <v>9</v>
      </c>
      <c r="F102" s="587">
        <v>1300</v>
      </c>
      <c r="G102" s="559" t="s">
        <v>3465</v>
      </c>
      <c r="H102" s="588">
        <f t="shared" si="7"/>
        <v>11700</v>
      </c>
      <c r="I102" s="589" t="str">
        <f>VLOOKUP(A102,база!A:F,5,FALSE)</f>
        <v>рук</v>
      </c>
    </row>
    <row r="103" spans="1:9" s="271" customFormat="1" ht="33.75" customHeight="1" x14ac:dyDescent="0.25">
      <c r="A103" s="400">
        <v>39725</v>
      </c>
      <c r="B103" s="586" t="str">
        <f>VLOOKUP(A103,база!A:F,2,FALSE)</f>
        <v>Бутузов Владимир Александрович</v>
      </c>
      <c r="C103" s="598">
        <v>45290</v>
      </c>
      <c r="D103" s="598">
        <v>45294</v>
      </c>
      <c r="E103" s="591">
        <f t="shared" si="6"/>
        <v>5</v>
      </c>
      <c r="F103" s="587">
        <v>1300</v>
      </c>
      <c r="G103" s="559" t="s">
        <v>3465</v>
      </c>
      <c r="H103" s="588">
        <f t="shared" si="7"/>
        <v>6500</v>
      </c>
      <c r="I103" s="589" t="str">
        <f>VLOOKUP(A103,база!A:F,5,FALSE)</f>
        <v>рук</v>
      </c>
    </row>
    <row r="104" spans="1:9" s="271" customFormat="1" ht="36" customHeight="1" x14ac:dyDescent="0.25">
      <c r="A104" s="400">
        <v>39725</v>
      </c>
      <c r="B104" s="586" t="str">
        <f>VLOOKUP(A104,база!A:F,2,FALSE)</f>
        <v>Бутузов Владимир Александрович</v>
      </c>
      <c r="C104" s="598">
        <v>45308</v>
      </c>
      <c r="D104" s="598">
        <v>45310</v>
      </c>
      <c r="E104" s="591">
        <f t="shared" si="6"/>
        <v>3</v>
      </c>
      <c r="F104" s="587">
        <v>1300</v>
      </c>
      <c r="G104" s="559" t="s">
        <v>3465</v>
      </c>
      <c r="H104" s="588">
        <f t="shared" si="7"/>
        <v>3900</v>
      </c>
      <c r="I104" s="589" t="str">
        <f>VLOOKUP(A104,база!A:F,5,FALSE)</f>
        <v>рук</v>
      </c>
    </row>
    <row r="105" spans="1:9" s="271" customFormat="1" ht="34.5" customHeight="1" x14ac:dyDescent="0.25">
      <c r="A105" s="400">
        <v>118375</v>
      </c>
      <c r="B105" s="586" t="str">
        <f>VLOOKUP(A105,база!A:F,2,FALSE)</f>
        <v>Постыляков Павел Николаевич</v>
      </c>
      <c r="C105" s="598">
        <v>45313</v>
      </c>
      <c r="D105" s="598">
        <v>45316</v>
      </c>
      <c r="E105" s="591">
        <f t="shared" si="6"/>
        <v>4</v>
      </c>
      <c r="F105" s="587">
        <v>1300</v>
      </c>
      <c r="G105" s="559" t="s">
        <v>3465</v>
      </c>
      <c r="H105" s="588">
        <f t="shared" si="7"/>
        <v>5200</v>
      </c>
      <c r="I105" s="589" t="str">
        <f>VLOOKUP(A105,база!A:F,5,FALSE)</f>
        <v>рук</v>
      </c>
    </row>
    <row r="106" spans="1:9" s="271" customFormat="1" ht="34.5" customHeight="1" x14ac:dyDescent="0.25">
      <c r="A106" s="400">
        <v>188704</v>
      </c>
      <c r="B106" s="586" t="str">
        <f>VLOOKUP(A106,база!A:F,2,FALSE)</f>
        <v>Крафт Андрей Анатольевич</v>
      </c>
      <c r="C106" s="598">
        <v>45284</v>
      </c>
      <c r="D106" s="598">
        <v>45295</v>
      </c>
      <c r="E106" s="591">
        <f t="shared" si="6"/>
        <v>12</v>
      </c>
      <c r="F106" s="587">
        <v>1300</v>
      </c>
      <c r="G106" s="559" t="s">
        <v>3465</v>
      </c>
      <c r="H106" s="588">
        <f t="shared" si="7"/>
        <v>15600</v>
      </c>
      <c r="I106" s="589" t="str">
        <f>VLOOKUP(A106,база!A:F,5,FALSE)</f>
        <v>рук</v>
      </c>
    </row>
    <row r="107" spans="1:9" s="271" customFormat="1" ht="24.95" customHeight="1" x14ac:dyDescent="0.25">
      <c r="A107" s="476"/>
      <c r="B107" s="497" t="s">
        <v>3468</v>
      </c>
      <c r="C107" s="430"/>
      <c r="D107" s="430"/>
      <c r="E107" s="498">
        <f>SUM(E101:E106)</f>
        <v>35</v>
      </c>
      <c r="F107" s="444"/>
      <c r="G107" s="444"/>
      <c r="H107" s="479">
        <f>SUM(H101:H106)</f>
        <v>45500</v>
      </c>
      <c r="I107" s="436"/>
    </row>
    <row r="108" spans="1:9" s="271" customFormat="1" ht="24.95" customHeight="1" x14ac:dyDescent="0.25">
      <c r="A108" s="320"/>
      <c r="B108" s="499"/>
      <c r="C108" s="214"/>
      <c r="D108" s="214"/>
      <c r="E108" s="500"/>
      <c r="F108" s="214"/>
      <c r="G108" s="214"/>
      <c r="H108" s="501"/>
      <c r="I108" s="214"/>
    </row>
    <row r="109" spans="1:9" s="271" customFormat="1" ht="24.95" customHeight="1" x14ac:dyDescent="0.25">
      <c r="A109" s="502"/>
      <c r="B109" s="83" t="s">
        <v>150</v>
      </c>
      <c r="C109" s="84"/>
      <c r="D109" s="84"/>
      <c r="E109" s="83"/>
      <c r="F109" s="428"/>
      <c r="G109" s="483"/>
      <c r="H109" s="83" t="s">
        <v>1057</v>
      </c>
      <c r="I109" s="428"/>
    </row>
    <row r="110" spans="1:9" s="271" customFormat="1" ht="24.95" customHeight="1" x14ac:dyDescent="0.25">
      <c r="A110" s="503"/>
      <c r="B110" s="504"/>
      <c r="C110" s="113"/>
      <c r="D110" s="113"/>
      <c r="E110" s="505"/>
      <c r="F110" s="113"/>
      <c r="G110" s="113"/>
      <c r="H110" s="506"/>
      <c r="I110" s="113"/>
    </row>
    <row r="111" spans="1:9" s="271" customFormat="1" ht="24.95" customHeight="1" x14ac:dyDescent="0.25">
      <c r="A111" s="503"/>
      <c r="B111" s="504"/>
      <c r="C111" s="113"/>
      <c r="D111" s="113"/>
      <c r="E111" s="505"/>
      <c r="F111" s="113"/>
      <c r="G111" s="113"/>
      <c r="H111" s="506"/>
      <c r="I111" s="113"/>
    </row>
    <row r="112" spans="1:9" s="271" customFormat="1" ht="24.95" customHeight="1" x14ac:dyDescent="0.25">
      <c r="A112" s="440"/>
      <c r="B112" s="484"/>
      <c r="C112" s="170"/>
      <c r="D112" s="170"/>
      <c r="E112" s="485"/>
      <c r="F112" s="170"/>
      <c r="G112" s="170"/>
      <c r="H112" s="486"/>
      <c r="I112" s="170"/>
    </row>
    <row r="113" spans="1:9" s="271" customFormat="1" ht="24.95" customHeight="1" x14ac:dyDescent="0.25">
      <c r="A113" s="440"/>
      <c r="B113" s="484"/>
      <c r="C113" s="170"/>
      <c r="D113" s="170"/>
      <c r="E113" s="485"/>
      <c r="F113" s="170"/>
      <c r="G113" s="170"/>
      <c r="H113" s="486"/>
      <c r="I113" s="170"/>
    </row>
    <row r="114" spans="1:9" s="271" customFormat="1" ht="24.95" customHeight="1" x14ac:dyDescent="0.25">
      <c r="A114" s="440"/>
      <c r="B114" s="484"/>
      <c r="C114" s="170"/>
      <c r="D114" s="170"/>
      <c r="E114" s="485"/>
      <c r="F114" s="170"/>
      <c r="G114" s="170"/>
      <c r="H114" s="486"/>
      <c r="I114" s="170"/>
    </row>
    <row r="115" spans="1:9" s="271" customFormat="1" ht="24.95" customHeight="1" x14ac:dyDescent="0.25">
      <c r="A115" s="440"/>
      <c r="B115" s="484"/>
      <c r="C115" s="170"/>
      <c r="D115" s="170"/>
      <c r="E115" s="485"/>
      <c r="F115" s="170"/>
      <c r="G115" s="170"/>
      <c r="H115" s="486"/>
      <c r="I115" s="170"/>
    </row>
    <row r="116" spans="1:9" ht="24.95" customHeight="1" x14ac:dyDescent="0.25"/>
    <row r="117" spans="1:9" ht="24.95" customHeight="1" x14ac:dyDescent="0.25"/>
    <row r="118" spans="1:9" ht="24.95" customHeight="1" x14ac:dyDescent="0.25"/>
    <row r="119" spans="1:9" ht="24.95" customHeight="1" x14ac:dyDescent="0.25"/>
    <row r="120" spans="1:9" ht="24.95" customHeight="1" x14ac:dyDescent="0.25"/>
    <row r="121" spans="1:9" ht="24.95" customHeight="1" x14ac:dyDescent="0.25"/>
    <row r="122" spans="1:9" ht="24.95" customHeight="1" x14ac:dyDescent="0.25"/>
    <row r="123" spans="1:9" ht="24.95" customHeight="1" x14ac:dyDescent="0.25"/>
    <row r="124" spans="1:9" ht="24.95" customHeight="1" x14ac:dyDescent="0.25"/>
    <row r="125" spans="1:9" ht="24.95" customHeight="1" x14ac:dyDescent="0.25"/>
    <row r="126" spans="1:9" ht="24.95" customHeight="1" x14ac:dyDescent="0.25"/>
    <row r="127" spans="1:9" ht="24.95" customHeight="1" x14ac:dyDescent="0.25"/>
    <row r="128" spans="1:9" ht="24.95" customHeight="1" x14ac:dyDescent="0.25"/>
    <row r="129" spans="1:9" ht="24.95" customHeight="1" x14ac:dyDescent="0.25"/>
    <row r="130" spans="1:9" s="113" customFormat="1" ht="25.9" customHeight="1" x14ac:dyDescent="0.25">
      <c r="A130" s="440"/>
      <c r="B130" s="484"/>
      <c r="C130" s="170"/>
      <c r="D130" s="170"/>
      <c r="E130" s="485"/>
      <c r="F130" s="170"/>
      <c r="G130" s="170"/>
      <c r="H130" s="486"/>
      <c r="I130" s="170"/>
    </row>
    <row r="131" spans="1:9" s="113" customFormat="1" ht="24.95" customHeight="1" x14ac:dyDescent="0.25">
      <c r="A131" s="440"/>
      <c r="B131" s="484"/>
      <c r="C131" s="170"/>
      <c r="D131" s="170"/>
      <c r="E131" s="485"/>
      <c r="F131" s="170"/>
      <c r="G131" s="170"/>
      <c r="H131" s="486"/>
      <c r="I131" s="170"/>
    </row>
    <row r="132" spans="1:9" s="113" customFormat="1" ht="24.95" customHeight="1" x14ac:dyDescent="0.25">
      <c r="A132" s="440"/>
      <c r="B132" s="484"/>
      <c r="C132" s="170"/>
      <c r="D132" s="170"/>
      <c r="E132" s="485"/>
      <c r="F132" s="170"/>
      <c r="G132" s="170"/>
      <c r="H132" s="486"/>
      <c r="I132" s="170"/>
    </row>
    <row r="133" spans="1:9" s="113" customFormat="1" ht="24.95" customHeight="1" x14ac:dyDescent="0.25">
      <c r="A133" s="440"/>
      <c r="B133" s="484"/>
      <c r="C133" s="170"/>
      <c r="D133" s="170"/>
      <c r="E133" s="485"/>
      <c r="F133" s="170"/>
      <c r="G133" s="170"/>
      <c r="H133" s="486"/>
      <c r="I133" s="170"/>
    </row>
    <row r="134" spans="1:9" s="113" customFormat="1" ht="24.95" customHeight="1" x14ac:dyDescent="0.25">
      <c r="A134" s="440"/>
      <c r="B134" s="484"/>
      <c r="C134" s="170"/>
      <c r="D134" s="170"/>
      <c r="E134" s="485"/>
      <c r="F134" s="170"/>
      <c r="G134" s="170"/>
      <c r="H134" s="486"/>
      <c r="I134" s="170"/>
    </row>
    <row r="135" spans="1:9" s="113" customFormat="1" ht="24.95" customHeight="1" x14ac:dyDescent="0.25">
      <c r="A135" s="440"/>
      <c r="B135" s="484"/>
      <c r="C135" s="170"/>
      <c r="D135" s="170"/>
      <c r="E135" s="485"/>
      <c r="F135" s="170"/>
      <c r="G135" s="170"/>
      <c r="H135" s="486"/>
      <c r="I135" s="170"/>
    </row>
    <row r="136" spans="1:9" ht="24.95" customHeight="1" x14ac:dyDescent="0.25"/>
    <row r="137" spans="1:9" ht="24.95" customHeight="1" x14ac:dyDescent="0.25"/>
    <row r="138" spans="1:9" ht="24.95" customHeight="1" x14ac:dyDescent="0.25"/>
    <row r="139" spans="1:9" ht="24.95" customHeight="1" x14ac:dyDescent="0.25"/>
    <row r="140" spans="1:9" ht="24.95" customHeight="1" x14ac:dyDescent="0.25"/>
    <row r="141" spans="1:9" ht="24.95" customHeight="1" x14ac:dyDescent="0.25"/>
    <row r="142" spans="1:9" ht="24.95" customHeight="1" x14ac:dyDescent="0.25"/>
    <row r="143" spans="1:9" ht="24.95" customHeight="1" x14ac:dyDescent="0.25"/>
    <row r="144" spans="1:9" ht="24.95" customHeight="1" x14ac:dyDescent="0.25"/>
    <row r="145" spans="1:9" ht="24.95" customHeight="1" x14ac:dyDescent="0.25"/>
    <row r="146" spans="1:9" ht="24.95" customHeight="1" x14ac:dyDescent="0.25"/>
    <row r="147" spans="1:9" ht="24.95" customHeight="1" x14ac:dyDescent="0.25"/>
    <row r="148" spans="1:9" s="113" customFormat="1" ht="24" customHeight="1" x14ac:dyDescent="0.25">
      <c r="A148" s="440"/>
      <c r="B148" s="484"/>
      <c r="C148" s="170"/>
      <c r="D148" s="170"/>
      <c r="E148" s="485"/>
      <c r="F148" s="170"/>
      <c r="G148" s="170"/>
      <c r="H148" s="486"/>
      <c r="I148" s="170"/>
    </row>
    <row r="149" spans="1:9" s="113" customFormat="1" ht="24" customHeight="1" x14ac:dyDescent="0.25">
      <c r="A149" s="440"/>
      <c r="B149" s="484"/>
      <c r="C149" s="170"/>
      <c r="D149" s="170"/>
      <c r="E149" s="485"/>
      <c r="F149" s="170"/>
      <c r="G149" s="170"/>
      <c r="H149" s="486"/>
      <c r="I149" s="170"/>
    </row>
    <row r="150" spans="1:9" s="113" customFormat="1" ht="24" customHeight="1" x14ac:dyDescent="0.25">
      <c r="A150" s="440"/>
      <c r="B150" s="484"/>
      <c r="C150" s="170"/>
      <c r="D150" s="170"/>
      <c r="E150" s="485"/>
      <c r="F150" s="170"/>
      <c r="G150" s="170"/>
      <c r="H150" s="486"/>
      <c r="I150" s="170"/>
    </row>
    <row r="151" spans="1:9" s="113" customFormat="1" ht="24" customHeight="1" x14ac:dyDescent="0.25">
      <c r="A151" s="440"/>
      <c r="B151" s="484"/>
      <c r="C151" s="170"/>
      <c r="D151" s="170"/>
      <c r="E151" s="485"/>
      <c r="F151" s="170"/>
      <c r="G151" s="170"/>
      <c r="H151" s="486"/>
      <c r="I151" s="170"/>
    </row>
    <row r="152" spans="1:9" s="113" customFormat="1" ht="24" customHeight="1" x14ac:dyDescent="0.25">
      <c r="A152" s="440"/>
      <c r="B152" s="484"/>
      <c r="C152" s="170"/>
      <c r="D152" s="170"/>
      <c r="E152" s="485"/>
      <c r="F152" s="170"/>
      <c r="G152" s="170"/>
      <c r="H152" s="486"/>
      <c r="I152" s="170"/>
    </row>
    <row r="153" spans="1:9" ht="24" customHeight="1" x14ac:dyDescent="0.25"/>
    <row r="154" spans="1:9" ht="24" customHeight="1" x14ac:dyDescent="0.25"/>
    <row r="155" spans="1:9" ht="24" customHeight="1" x14ac:dyDescent="0.25"/>
    <row r="156" spans="1:9" ht="24.95" customHeight="1" x14ac:dyDescent="0.25"/>
    <row r="157" spans="1:9" ht="24.95" customHeight="1" x14ac:dyDescent="0.25"/>
    <row r="158" spans="1:9" ht="24.95" customHeight="1" x14ac:dyDescent="0.25"/>
    <row r="159" spans="1:9" ht="24.95" customHeight="1" x14ac:dyDescent="0.25"/>
    <row r="160" spans="1:9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spans="10:10" ht="24.95" customHeight="1" x14ac:dyDescent="0.25"/>
    <row r="178" spans="10:10" ht="24.95" customHeight="1" x14ac:dyDescent="0.25"/>
    <row r="179" spans="10:10" ht="24.95" customHeight="1" x14ac:dyDescent="0.25"/>
    <row r="180" spans="10:10" ht="24.95" customHeight="1" x14ac:dyDescent="0.25"/>
    <row r="181" spans="10:10" ht="24.95" customHeight="1" x14ac:dyDescent="0.25"/>
    <row r="182" spans="10:10" ht="24.95" customHeight="1" x14ac:dyDescent="0.25"/>
    <row r="183" spans="10:10" ht="24.95" customHeight="1" x14ac:dyDescent="0.25"/>
    <row r="184" spans="10:10" ht="24.95" customHeight="1" x14ac:dyDescent="0.25"/>
    <row r="185" spans="10:10" ht="24.95" customHeight="1" x14ac:dyDescent="0.25"/>
    <row r="186" spans="10:10" ht="24.95" customHeight="1" x14ac:dyDescent="0.25"/>
    <row r="187" spans="10:10" ht="24.95" customHeight="1" x14ac:dyDescent="0.25"/>
    <row r="188" spans="10:10" ht="24.95" customHeight="1" x14ac:dyDescent="0.25"/>
    <row r="189" spans="10:10" ht="24.95" customHeight="1" x14ac:dyDescent="0.25">
      <c r="J189" s="441"/>
    </row>
    <row r="190" spans="10:10" ht="24.95" customHeight="1" x14ac:dyDescent="0.25">
      <c r="J190" s="441"/>
    </row>
    <row r="191" spans="10:10" ht="24.95" customHeight="1" x14ac:dyDescent="0.25">
      <c r="J191" s="441"/>
    </row>
    <row r="192" spans="10:10" ht="24.95" customHeight="1" x14ac:dyDescent="0.25">
      <c r="J192" s="441"/>
    </row>
    <row r="193" spans="10:10" ht="24.95" customHeight="1" x14ac:dyDescent="0.25">
      <c r="J193" s="441"/>
    </row>
    <row r="194" spans="10:10" ht="24.95" customHeight="1" x14ac:dyDescent="0.25">
      <c r="J194" s="441"/>
    </row>
    <row r="195" spans="10:10" ht="24.95" customHeight="1" x14ac:dyDescent="0.25">
      <c r="J195" s="441"/>
    </row>
    <row r="196" spans="10:10" ht="24.95" customHeight="1" x14ac:dyDescent="0.25">
      <c r="J196" s="441"/>
    </row>
    <row r="197" spans="10:10" ht="24.95" customHeight="1" x14ac:dyDescent="0.25">
      <c r="J197" s="441"/>
    </row>
    <row r="198" spans="10:10" ht="24.95" customHeight="1" x14ac:dyDescent="0.25">
      <c r="J198" s="441"/>
    </row>
    <row r="199" spans="10:10" ht="24.95" customHeight="1" x14ac:dyDescent="0.25">
      <c r="J199" s="441"/>
    </row>
    <row r="200" spans="10:10" ht="24.95" customHeight="1" x14ac:dyDescent="0.25">
      <c r="J200" s="441"/>
    </row>
    <row r="201" spans="10:10" ht="24.95" customHeight="1" x14ac:dyDescent="0.25">
      <c r="J201" s="441"/>
    </row>
    <row r="202" spans="10:10" ht="24.95" customHeight="1" x14ac:dyDescent="0.25">
      <c r="J202" s="441"/>
    </row>
    <row r="203" spans="10:10" ht="24.95" customHeight="1" x14ac:dyDescent="0.25">
      <c r="J203" s="441"/>
    </row>
    <row r="204" spans="10:10" ht="24.95" customHeight="1" x14ac:dyDescent="0.25">
      <c r="J204" s="441"/>
    </row>
    <row r="205" spans="10:10" ht="24.95" customHeight="1" x14ac:dyDescent="0.25">
      <c r="J205" s="441"/>
    </row>
    <row r="206" spans="10:10" ht="24.95" customHeight="1" x14ac:dyDescent="0.25">
      <c r="J206" s="441"/>
    </row>
    <row r="207" spans="10:10" ht="24.95" customHeight="1" x14ac:dyDescent="0.25">
      <c r="J207" s="441"/>
    </row>
    <row r="208" spans="10:10" ht="24.95" customHeight="1" x14ac:dyDescent="0.25">
      <c r="J208" s="441"/>
    </row>
    <row r="209" spans="10:10" ht="24.95" customHeight="1" x14ac:dyDescent="0.25">
      <c r="J209" s="441"/>
    </row>
    <row r="210" spans="10:10" ht="24.95" customHeight="1" x14ac:dyDescent="0.25">
      <c r="J210" s="441"/>
    </row>
    <row r="211" spans="10:10" ht="24.95" customHeight="1" x14ac:dyDescent="0.25">
      <c r="J211" s="441"/>
    </row>
    <row r="212" spans="10:10" ht="24.95" customHeight="1" x14ac:dyDescent="0.25">
      <c r="J212" s="441"/>
    </row>
    <row r="213" spans="10:10" ht="24.95" customHeight="1" x14ac:dyDescent="0.25">
      <c r="J213" s="441"/>
    </row>
    <row r="214" spans="10:10" ht="24.95" customHeight="1" x14ac:dyDescent="0.25">
      <c r="J214" s="441"/>
    </row>
    <row r="215" spans="10:10" ht="24.95" customHeight="1" x14ac:dyDescent="0.25">
      <c r="J215" s="441"/>
    </row>
    <row r="216" spans="10:10" ht="24.95" customHeight="1" x14ac:dyDescent="0.25">
      <c r="J216" s="441"/>
    </row>
    <row r="217" spans="10:10" ht="24.95" customHeight="1" x14ac:dyDescent="0.25">
      <c r="J217" s="441"/>
    </row>
    <row r="218" spans="10:10" ht="24.95" customHeight="1" x14ac:dyDescent="0.25">
      <c r="J218" s="441"/>
    </row>
    <row r="219" spans="10:10" ht="24.95" customHeight="1" x14ac:dyDescent="0.25">
      <c r="J219" s="441"/>
    </row>
    <row r="220" spans="10:10" ht="24.95" customHeight="1" x14ac:dyDescent="0.25">
      <c r="J220" s="441"/>
    </row>
    <row r="221" spans="10:10" ht="24.95" customHeight="1" x14ac:dyDescent="0.25">
      <c r="J221" s="441"/>
    </row>
    <row r="222" spans="10:10" ht="24.95" customHeight="1" x14ac:dyDescent="0.25">
      <c r="J222" s="441"/>
    </row>
    <row r="223" spans="10:10" ht="24.95" customHeight="1" x14ac:dyDescent="0.25">
      <c r="J223" s="441"/>
    </row>
    <row r="224" spans="10:10" ht="24.95" customHeight="1" x14ac:dyDescent="0.25">
      <c r="J224" s="441"/>
    </row>
    <row r="225" spans="10:15" ht="24.95" customHeight="1" x14ac:dyDescent="0.25">
      <c r="J225" s="441"/>
    </row>
    <row r="226" spans="10:15" ht="24.95" customHeight="1" x14ac:dyDescent="0.25">
      <c r="J226" s="441"/>
    </row>
    <row r="227" spans="10:15" ht="24.95" customHeight="1" x14ac:dyDescent="0.25">
      <c r="J227" s="441"/>
    </row>
    <row r="228" spans="10:15" ht="24.95" customHeight="1" x14ac:dyDescent="0.25">
      <c r="J228" s="441"/>
    </row>
    <row r="229" spans="10:15" ht="24.95" customHeight="1" x14ac:dyDescent="0.25">
      <c r="J229" s="441"/>
    </row>
    <row r="230" spans="10:15" ht="24.95" customHeight="1" x14ac:dyDescent="0.25">
      <c r="J230" s="441"/>
      <c r="K230" s="441"/>
      <c r="L230" s="507"/>
      <c r="M230" s="441"/>
      <c r="O230" s="441"/>
    </row>
    <row r="231" spans="10:15" ht="24.95" customHeight="1" x14ac:dyDescent="0.25">
      <c r="J231" s="441"/>
      <c r="K231" s="441"/>
      <c r="L231" s="507"/>
      <c r="M231" s="441"/>
      <c r="O231" s="441"/>
    </row>
    <row r="232" spans="10:15" ht="24.95" customHeight="1" x14ac:dyDescent="0.25">
      <c r="J232" s="441"/>
      <c r="K232" s="441"/>
      <c r="L232" s="507"/>
      <c r="M232" s="441"/>
      <c r="O232" s="441"/>
    </row>
    <row r="233" spans="10:15" ht="24.95" customHeight="1" x14ac:dyDescent="0.25">
      <c r="J233" s="441"/>
      <c r="K233" s="441"/>
      <c r="L233" s="507"/>
      <c r="M233" s="441"/>
      <c r="O233" s="441"/>
    </row>
    <row r="234" spans="10:15" ht="24.95" customHeight="1" x14ac:dyDescent="0.25">
      <c r="J234" s="441"/>
      <c r="K234" s="441"/>
      <c r="L234" s="507"/>
      <c r="M234" s="441"/>
      <c r="O234" s="441"/>
    </row>
    <row r="235" spans="10:15" ht="24.95" customHeight="1" x14ac:dyDescent="0.25">
      <c r="J235" s="441"/>
      <c r="K235" s="441"/>
      <c r="L235" s="507"/>
      <c r="M235" s="441"/>
      <c r="O235" s="441"/>
    </row>
    <row r="236" spans="10:15" ht="24.95" customHeight="1" x14ac:dyDescent="0.25">
      <c r="J236" s="441"/>
      <c r="K236" s="441"/>
      <c r="L236" s="507"/>
      <c r="M236" s="441"/>
      <c r="O236" s="441"/>
    </row>
    <row r="237" spans="10:15" ht="24.95" customHeight="1" x14ac:dyDescent="0.25">
      <c r="J237" s="441"/>
      <c r="K237" s="441"/>
      <c r="L237" s="507"/>
      <c r="M237" s="441"/>
      <c r="O237" s="441"/>
    </row>
    <row r="238" spans="10:15" ht="24.95" customHeight="1" x14ac:dyDescent="0.25">
      <c r="J238" s="441"/>
      <c r="K238" s="441"/>
      <c r="L238" s="507"/>
      <c r="M238" s="441"/>
      <c r="O238" s="441"/>
    </row>
    <row r="239" spans="10:15" ht="24.95" customHeight="1" x14ac:dyDescent="0.25">
      <c r="J239" s="441"/>
      <c r="K239" s="441"/>
      <c r="L239" s="507"/>
      <c r="M239" s="441"/>
      <c r="O239" s="441"/>
    </row>
    <row r="240" spans="10:15" ht="24.95" customHeight="1" x14ac:dyDescent="0.25">
      <c r="J240" s="441"/>
      <c r="K240" s="441"/>
      <c r="L240" s="507"/>
      <c r="M240" s="441"/>
      <c r="O240" s="441"/>
    </row>
    <row r="241" spans="10:15" ht="24.95" customHeight="1" x14ac:dyDescent="0.25">
      <c r="J241" s="441"/>
      <c r="K241" s="441"/>
      <c r="L241" s="507"/>
      <c r="M241" s="441"/>
      <c r="O241" s="441"/>
    </row>
    <row r="242" spans="10:15" ht="24.95" customHeight="1" x14ac:dyDescent="0.25">
      <c r="J242" s="441"/>
      <c r="K242" s="441"/>
      <c r="L242" s="507"/>
      <c r="M242" s="441"/>
      <c r="O242" s="441"/>
    </row>
    <row r="243" spans="10:15" ht="24.95" customHeight="1" x14ac:dyDescent="0.25">
      <c r="J243" s="441"/>
      <c r="K243" s="441"/>
      <c r="L243" s="507"/>
      <c r="M243" s="441"/>
      <c r="O243" s="441"/>
    </row>
    <row r="244" spans="10:15" ht="24.95" customHeight="1" x14ac:dyDescent="0.25">
      <c r="J244" s="441"/>
      <c r="K244" s="441"/>
      <c r="L244" s="507"/>
      <c r="M244" s="441"/>
      <c r="O244" s="441"/>
    </row>
    <row r="245" spans="10:15" ht="24.95" customHeight="1" x14ac:dyDescent="0.25">
      <c r="J245" s="441"/>
      <c r="K245" s="441"/>
      <c r="L245" s="507"/>
      <c r="M245" s="441"/>
      <c r="O245" s="441"/>
    </row>
    <row r="246" spans="10:15" ht="24.95" customHeight="1" x14ac:dyDescent="0.25">
      <c r="K246" s="441"/>
      <c r="L246" s="507"/>
      <c r="M246" s="441"/>
      <c r="O246" s="441"/>
    </row>
    <row r="247" spans="10:15" ht="24.95" customHeight="1" x14ac:dyDescent="0.25">
      <c r="K247" s="441"/>
      <c r="L247" s="507"/>
      <c r="M247" s="441"/>
      <c r="O247" s="441"/>
    </row>
    <row r="248" spans="10:15" ht="24.95" customHeight="1" x14ac:dyDescent="0.25">
      <c r="K248" s="441"/>
      <c r="L248" s="507"/>
      <c r="M248" s="441"/>
      <c r="O248" s="441"/>
    </row>
    <row r="249" spans="10:15" ht="24.95" customHeight="1" x14ac:dyDescent="0.25">
      <c r="K249" s="441"/>
      <c r="L249" s="507"/>
      <c r="M249" s="441"/>
      <c r="O249" s="441"/>
    </row>
    <row r="250" spans="10:15" ht="24.95" customHeight="1" x14ac:dyDescent="0.25">
      <c r="K250" s="441"/>
      <c r="L250" s="507"/>
      <c r="M250" s="441"/>
      <c r="O250" s="441"/>
    </row>
    <row r="251" spans="10:15" ht="24.95" customHeight="1" x14ac:dyDescent="0.25">
      <c r="K251" s="441"/>
      <c r="L251" s="507"/>
      <c r="M251" s="441"/>
      <c r="O251" s="441"/>
    </row>
    <row r="252" spans="10:15" ht="24.95" customHeight="1" x14ac:dyDescent="0.25">
      <c r="K252" s="441"/>
      <c r="L252" s="507"/>
      <c r="M252" s="441"/>
      <c r="O252" s="441"/>
    </row>
    <row r="253" spans="10:15" ht="24.95" customHeight="1" x14ac:dyDescent="0.25">
      <c r="K253" s="441"/>
      <c r="L253" s="507"/>
      <c r="M253" s="441"/>
      <c r="O253" s="441"/>
    </row>
    <row r="254" spans="10:15" ht="24.95" customHeight="1" x14ac:dyDescent="0.25">
      <c r="K254" s="441"/>
      <c r="L254" s="507"/>
      <c r="M254" s="441"/>
      <c r="O254" s="441"/>
    </row>
    <row r="255" spans="10:15" ht="24.95" customHeight="1" x14ac:dyDescent="0.25">
      <c r="K255" s="441"/>
      <c r="L255" s="507"/>
      <c r="M255" s="441"/>
      <c r="O255" s="441"/>
    </row>
    <row r="256" spans="10:15" ht="24.95" customHeight="1" x14ac:dyDescent="0.25">
      <c r="K256" s="441"/>
      <c r="L256" s="507"/>
      <c r="M256" s="441"/>
      <c r="O256" s="441"/>
    </row>
    <row r="257" spans="11:15" ht="24.95" customHeight="1" x14ac:dyDescent="0.25">
      <c r="K257" s="441"/>
      <c r="L257" s="507"/>
      <c r="M257" s="441"/>
      <c r="O257" s="441"/>
    </row>
    <row r="258" spans="11:15" ht="24.95" customHeight="1" x14ac:dyDescent="0.25">
      <c r="K258" s="441"/>
      <c r="L258" s="507"/>
      <c r="M258" s="441"/>
      <c r="O258" s="441"/>
    </row>
    <row r="259" spans="11:15" ht="24.95" customHeight="1" x14ac:dyDescent="0.25">
      <c r="K259" s="441"/>
      <c r="L259" s="507"/>
      <c r="M259" s="441"/>
      <c r="O259" s="441"/>
    </row>
    <row r="260" spans="11:15" ht="24.95" customHeight="1" x14ac:dyDescent="0.25">
      <c r="K260" s="441"/>
      <c r="L260" s="507"/>
      <c r="M260" s="441"/>
      <c r="O260" s="441"/>
    </row>
    <row r="261" spans="11:15" ht="24.95" customHeight="1" x14ac:dyDescent="0.25">
      <c r="K261" s="441"/>
      <c r="L261" s="507"/>
      <c r="M261" s="441"/>
      <c r="O261" s="441"/>
    </row>
    <row r="262" spans="11:15" ht="24.95" customHeight="1" x14ac:dyDescent="0.25">
      <c r="K262" s="441"/>
      <c r="L262" s="507"/>
      <c r="M262" s="441"/>
      <c r="O262" s="441"/>
    </row>
    <row r="263" spans="11:15" ht="24.95" customHeight="1" x14ac:dyDescent="0.25">
      <c r="K263" s="441"/>
      <c r="L263" s="507"/>
      <c r="M263" s="441"/>
      <c r="O263" s="441"/>
    </row>
    <row r="264" spans="11:15" ht="24.95" customHeight="1" x14ac:dyDescent="0.25">
      <c r="K264" s="441"/>
      <c r="L264" s="507"/>
      <c r="M264" s="441"/>
      <c r="O264" s="441"/>
    </row>
    <row r="265" spans="11:15" ht="24.95" customHeight="1" x14ac:dyDescent="0.25">
      <c r="K265" s="441"/>
      <c r="L265" s="507"/>
      <c r="M265" s="441"/>
      <c r="O265" s="441"/>
    </row>
    <row r="266" spans="11:15" ht="24.95" customHeight="1" x14ac:dyDescent="0.25">
      <c r="K266" s="441"/>
      <c r="L266" s="507"/>
      <c r="M266" s="441"/>
      <c r="O266" s="441"/>
    </row>
    <row r="267" spans="11:15" ht="24.95" customHeight="1" x14ac:dyDescent="0.25">
      <c r="K267" s="441"/>
      <c r="L267" s="507"/>
      <c r="M267" s="441"/>
      <c r="O267" s="441"/>
    </row>
    <row r="268" spans="11:15" ht="24.95" customHeight="1" x14ac:dyDescent="0.25">
      <c r="K268" s="441"/>
      <c r="L268" s="507"/>
      <c r="M268" s="441"/>
      <c r="O268" s="441"/>
    </row>
    <row r="269" spans="11:15" ht="24.95" customHeight="1" x14ac:dyDescent="0.25">
      <c r="K269" s="441"/>
      <c r="L269" s="507"/>
      <c r="M269" s="441"/>
      <c r="O269" s="441"/>
    </row>
    <row r="270" spans="11:15" ht="24.95" customHeight="1" x14ac:dyDescent="0.25">
      <c r="K270" s="441"/>
      <c r="L270" s="507"/>
      <c r="M270" s="441"/>
      <c r="O270" s="441"/>
    </row>
    <row r="271" spans="11:15" ht="24.95" customHeight="1" x14ac:dyDescent="0.25">
      <c r="K271" s="441"/>
      <c r="L271" s="507"/>
      <c r="M271" s="441"/>
      <c r="O271" s="441"/>
    </row>
    <row r="272" spans="11:15" ht="24.95" customHeight="1" x14ac:dyDescent="0.25">
      <c r="K272" s="441"/>
      <c r="L272" s="507"/>
      <c r="M272" s="441"/>
      <c r="O272" s="441"/>
    </row>
    <row r="273" spans="11:15" ht="24.95" customHeight="1" x14ac:dyDescent="0.25">
      <c r="K273" s="441"/>
      <c r="L273" s="507"/>
      <c r="M273" s="441"/>
      <c r="O273" s="441"/>
    </row>
    <row r="274" spans="11:15" ht="24.95" customHeight="1" x14ac:dyDescent="0.25">
      <c r="K274" s="441"/>
      <c r="L274" s="507"/>
      <c r="M274" s="441"/>
      <c r="O274" s="441"/>
    </row>
    <row r="275" spans="11:15" ht="24.95" customHeight="1" x14ac:dyDescent="0.25">
      <c r="K275" s="441"/>
      <c r="L275" s="507"/>
      <c r="M275" s="441"/>
      <c r="O275" s="441"/>
    </row>
    <row r="276" spans="11:15" ht="24.95" customHeight="1" x14ac:dyDescent="0.25">
      <c r="K276" s="441"/>
      <c r="L276" s="507"/>
      <c r="M276" s="441"/>
      <c r="O276" s="441"/>
    </row>
    <row r="277" spans="11:15" ht="24.95" customHeight="1" x14ac:dyDescent="0.25">
      <c r="K277" s="441"/>
      <c r="L277" s="507"/>
      <c r="M277" s="441"/>
      <c r="O277" s="441"/>
    </row>
    <row r="278" spans="11:15" ht="24.95" customHeight="1" x14ac:dyDescent="0.25">
      <c r="K278" s="441"/>
      <c r="L278" s="507"/>
      <c r="M278" s="441"/>
      <c r="O278" s="441"/>
    </row>
    <row r="279" spans="11:15" ht="24.95" customHeight="1" x14ac:dyDescent="0.25">
      <c r="K279" s="441"/>
      <c r="L279" s="507"/>
      <c r="M279" s="441"/>
      <c r="O279" s="441"/>
    </row>
    <row r="280" spans="11:15" ht="24.95" customHeight="1" x14ac:dyDescent="0.25">
      <c r="K280" s="441"/>
      <c r="L280" s="507"/>
      <c r="M280" s="441"/>
      <c r="O280" s="441"/>
    </row>
    <row r="281" spans="11:15" ht="24.95" customHeight="1" x14ac:dyDescent="0.25">
      <c r="K281" s="441"/>
      <c r="L281" s="507"/>
      <c r="M281" s="441"/>
      <c r="O281" s="441"/>
    </row>
    <row r="282" spans="11:15" ht="24.95" customHeight="1" x14ac:dyDescent="0.25">
      <c r="K282" s="441"/>
      <c r="L282" s="507"/>
      <c r="M282" s="441"/>
      <c r="O282" s="441"/>
    </row>
    <row r="283" spans="11:15" ht="24.95" customHeight="1" x14ac:dyDescent="0.25">
      <c r="K283" s="441"/>
      <c r="L283" s="507"/>
      <c r="M283" s="441"/>
      <c r="O283" s="441"/>
    </row>
    <row r="284" spans="11:15" ht="24.95" customHeight="1" x14ac:dyDescent="0.25">
      <c r="K284" s="441"/>
      <c r="L284" s="441"/>
      <c r="M284" s="441"/>
    </row>
    <row r="285" spans="11:15" ht="24.95" customHeight="1" x14ac:dyDescent="0.25">
      <c r="K285" s="441"/>
      <c r="L285" s="441"/>
      <c r="M285" s="441"/>
      <c r="N285" s="441"/>
    </row>
    <row r="286" spans="11:15" ht="24.95" customHeight="1" x14ac:dyDescent="0.25">
      <c r="M286" s="441"/>
    </row>
    <row r="287" spans="11:15" ht="24.95" customHeight="1" x14ac:dyDescent="0.25"/>
    <row r="288" spans="11:15" ht="24.95" customHeight="1" x14ac:dyDescent="0.25"/>
    <row r="289" ht="24.95" customHeight="1" x14ac:dyDescent="0.25"/>
    <row r="290" ht="27.75" customHeight="1" x14ac:dyDescent="0.25"/>
    <row r="291" ht="27.75" customHeight="1" x14ac:dyDescent="0.25"/>
    <row r="292" ht="27.75" customHeight="1" x14ac:dyDescent="0.25"/>
    <row r="293" ht="27.75" customHeight="1" x14ac:dyDescent="0.25"/>
    <row r="294" ht="27.75" customHeight="1" x14ac:dyDescent="0.25"/>
    <row r="295" ht="27.75" customHeight="1" x14ac:dyDescent="0.25"/>
    <row r="296" ht="27.75" customHeight="1" x14ac:dyDescent="0.25"/>
    <row r="297" ht="27.75" customHeight="1" x14ac:dyDescent="0.25"/>
    <row r="298" ht="27.75" customHeight="1" x14ac:dyDescent="0.25"/>
    <row r="299" ht="27.75" customHeight="1" x14ac:dyDescent="0.25"/>
    <row r="300" ht="27.75" customHeight="1" x14ac:dyDescent="0.25"/>
    <row r="301" ht="27.75" customHeight="1" x14ac:dyDescent="0.25"/>
    <row r="302" ht="27.75" customHeight="1" x14ac:dyDescent="0.25"/>
    <row r="303" ht="27.75" customHeight="1" x14ac:dyDescent="0.25"/>
    <row r="304" ht="27.75" customHeight="1" x14ac:dyDescent="0.25"/>
    <row r="305" ht="27.75" customHeight="1" x14ac:dyDescent="0.25"/>
    <row r="306" ht="27.75" customHeight="1" x14ac:dyDescent="0.25"/>
    <row r="307" ht="27.75" customHeight="1" x14ac:dyDescent="0.25"/>
    <row r="308" ht="27.75" customHeight="1" x14ac:dyDescent="0.25"/>
    <row r="309" ht="27.75" customHeight="1" x14ac:dyDescent="0.25"/>
    <row r="310" ht="27.75" customHeight="1" x14ac:dyDescent="0.25"/>
    <row r="311" ht="27.75" customHeight="1" x14ac:dyDescent="0.25"/>
    <row r="312" ht="27.75" customHeight="1" x14ac:dyDescent="0.25"/>
    <row r="313" ht="27.75" customHeight="1" x14ac:dyDescent="0.25"/>
    <row r="314" ht="27.75" customHeight="1" x14ac:dyDescent="0.25"/>
    <row r="315" ht="27.75" customHeight="1" x14ac:dyDescent="0.25"/>
    <row r="316" ht="27.75" customHeight="1" x14ac:dyDescent="0.25"/>
    <row r="317" ht="27.75" customHeight="1" x14ac:dyDescent="0.25"/>
    <row r="318" ht="27.75" customHeight="1" x14ac:dyDescent="0.25"/>
    <row r="319" ht="27.75" customHeight="1" x14ac:dyDescent="0.25"/>
    <row r="320" ht="27.75" customHeight="1" x14ac:dyDescent="0.25"/>
    <row r="321" ht="27.75" customHeight="1" x14ac:dyDescent="0.25"/>
    <row r="322" ht="27.75" customHeight="1" x14ac:dyDescent="0.25"/>
    <row r="323" ht="27.75" customHeight="1" x14ac:dyDescent="0.25"/>
    <row r="324" ht="27.75" customHeight="1" x14ac:dyDescent="0.25"/>
    <row r="325" ht="27.75" customHeight="1" x14ac:dyDescent="0.25"/>
    <row r="326" ht="27.7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spans="10:10" ht="24.95" customHeight="1" x14ac:dyDescent="0.25"/>
    <row r="610" spans="10:10" ht="24.95" customHeight="1" x14ac:dyDescent="0.25"/>
    <row r="611" spans="10:10" ht="24.95" customHeight="1" x14ac:dyDescent="0.25"/>
    <row r="612" spans="10:10" ht="24.95" customHeight="1" x14ac:dyDescent="0.25"/>
    <row r="613" spans="10:10" ht="24.95" customHeight="1" x14ac:dyDescent="0.25"/>
    <row r="614" spans="10:10" ht="24.95" customHeight="1" x14ac:dyDescent="0.25"/>
    <row r="615" spans="10:10" ht="24.95" customHeight="1" x14ac:dyDescent="0.25"/>
    <row r="616" spans="10:10" ht="24.95" customHeight="1" x14ac:dyDescent="0.25">
      <c r="J616" s="113"/>
    </row>
    <row r="617" spans="10:10" ht="24.95" customHeight="1" x14ac:dyDescent="0.25">
      <c r="J617" s="113"/>
    </row>
    <row r="618" spans="10:10" ht="24.95" customHeight="1" x14ac:dyDescent="0.25"/>
    <row r="619" spans="10:10" ht="24.95" customHeight="1" x14ac:dyDescent="0.25"/>
    <row r="620" spans="10:10" ht="24.95" customHeight="1" x14ac:dyDescent="0.25"/>
    <row r="621" spans="10:10" ht="24.95" customHeight="1" x14ac:dyDescent="0.25"/>
    <row r="622" spans="10:10" ht="24.95" customHeight="1" x14ac:dyDescent="0.25"/>
    <row r="623" spans="10:10" ht="24.95" customHeight="1" x14ac:dyDescent="0.25"/>
    <row r="624" spans="10:10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spans="1:10" s="113" customFormat="1" ht="24.95" customHeight="1" x14ac:dyDescent="0.25">
      <c r="A657" s="440"/>
      <c r="B657" s="484"/>
      <c r="C657" s="170"/>
      <c r="D657" s="170"/>
      <c r="E657" s="485"/>
      <c r="F657" s="170"/>
      <c r="G657" s="170"/>
      <c r="H657" s="486"/>
      <c r="I657" s="170"/>
      <c r="J657" s="170"/>
    </row>
    <row r="658" spans="1:10" s="113" customFormat="1" ht="24.95" customHeight="1" x14ac:dyDescent="0.25">
      <c r="A658" s="440"/>
      <c r="B658" s="484"/>
      <c r="C658" s="170"/>
      <c r="D658" s="170"/>
      <c r="E658" s="485"/>
      <c r="F658" s="170"/>
      <c r="G658" s="170"/>
      <c r="H658" s="486"/>
      <c r="I658" s="170"/>
      <c r="J658" s="170"/>
    </row>
    <row r="659" spans="1:10" ht="24.95" customHeight="1" x14ac:dyDescent="0.25"/>
    <row r="660" spans="1:10" ht="24.95" customHeight="1" x14ac:dyDescent="0.25"/>
    <row r="661" spans="1:10" ht="24.95" customHeight="1" x14ac:dyDescent="0.25"/>
    <row r="662" spans="1:10" ht="24.95" customHeight="1" x14ac:dyDescent="0.25"/>
    <row r="663" spans="1:10" ht="24.95" customHeight="1" x14ac:dyDescent="0.25"/>
    <row r="664" spans="1:10" ht="24.95" customHeight="1" x14ac:dyDescent="0.25"/>
    <row r="665" spans="1:10" ht="24.95" customHeight="1" x14ac:dyDescent="0.25"/>
    <row r="666" spans="1:10" ht="24.95" customHeight="1" x14ac:dyDescent="0.25"/>
    <row r="667" spans="1:10" ht="24.95" customHeight="1" x14ac:dyDescent="0.25"/>
    <row r="668" spans="1:10" ht="24.95" customHeight="1" x14ac:dyDescent="0.25"/>
    <row r="669" spans="1:10" ht="24.95" customHeight="1" x14ac:dyDescent="0.25"/>
    <row r="670" spans="1:10" ht="24.95" customHeight="1" x14ac:dyDescent="0.25"/>
    <row r="671" spans="1:10" ht="24.95" customHeight="1" x14ac:dyDescent="0.25"/>
    <row r="672" spans="1:10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</sheetData>
  <sortState ref="A6:I94">
    <sortCondition ref="I6:I94"/>
  </sortState>
  <mergeCells count="8">
    <mergeCell ref="A98:I98"/>
    <mergeCell ref="A99:I99"/>
    <mergeCell ref="A1:I1"/>
    <mergeCell ref="A2:I2"/>
    <mergeCell ref="A3:I3"/>
    <mergeCell ref="A4:I4"/>
    <mergeCell ref="A96:I96"/>
    <mergeCell ref="A97:I97"/>
  </mergeCells>
  <pageMargins left="0.25" right="0.25" top="0.75" bottom="0.75" header="0.3" footer="0.3"/>
  <pageSetup paperSize="9" scale="97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182"/>
  <sheetViews>
    <sheetView topLeftCell="A10" zoomScale="60" zoomScaleNormal="60" workbookViewId="0">
      <selection activeCell="I5" sqref="I5"/>
    </sheetView>
  </sheetViews>
  <sheetFormatPr defaultColWidth="9.140625" defaultRowHeight="15" x14ac:dyDescent="0.25"/>
  <cols>
    <col min="1" max="1" width="0.42578125" style="271" customWidth="1"/>
    <col min="2" max="2" width="12.85546875" style="214" customWidth="1"/>
    <col min="3" max="3" width="43.42578125" style="214" customWidth="1"/>
    <col min="4" max="4" width="2.42578125" style="214" hidden="1" customWidth="1"/>
    <col min="5" max="5" width="11.7109375" style="397" customWidth="1"/>
    <col min="6" max="6" width="21.28515625" style="215" customWidth="1"/>
    <col min="7" max="7" width="19.42578125" style="214" customWidth="1"/>
    <col min="8" max="8" width="9.140625" style="271"/>
    <col min="9" max="9" width="13.7109375" style="271" bestFit="1" customWidth="1"/>
    <col min="10" max="10" width="17.85546875" style="271" customWidth="1"/>
    <col min="11" max="11" width="9.140625" style="271"/>
    <col min="12" max="12" width="19.42578125" style="271" customWidth="1"/>
    <col min="13" max="16384" width="9.140625" style="271"/>
  </cols>
  <sheetData>
    <row r="1" spans="1:9" x14ac:dyDescent="0.25">
      <c r="A1" s="702" t="s">
        <v>2655</v>
      </c>
      <c r="B1" s="702"/>
      <c r="C1" s="702"/>
      <c r="D1" s="702"/>
      <c r="E1" s="702"/>
      <c r="F1" s="702"/>
      <c r="G1" s="702"/>
      <c r="H1" s="510"/>
    </row>
    <row r="2" spans="1:9" x14ac:dyDescent="0.25">
      <c r="A2" s="396"/>
      <c r="B2" s="702" t="s">
        <v>3469</v>
      </c>
      <c r="C2" s="702"/>
      <c r="D2" s="702"/>
      <c r="E2" s="702"/>
      <c r="F2" s="702"/>
      <c r="G2" s="702"/>
    </row>
    <row r="3" spans="1:9" x14ac:dyDescent="0.25">
      <c r="A3" s="701" t="s">
        <v>3757</v>
      </c>
      <c r="B3" s="701"/>
      <c r="C3" s="701"/>
      <c r="D3" s="701"/>
      <c r="E3" s="701"/>
      <c r="F3" s="701"/>
      <c r="G3" s="701"/>
    </row>
    <row r="4" spans="1:9" x14ac:dyDescent="0.25">
      <c r="A4" s="481"/>
      <c r="B4" s="703" t="s">
        <v>3470</v>
      </c>
      <c r="C4" s="704"/>
      <c r="D4" s="704"/>
      <c r="E4" s="704"/>
      <c r="F4" s="705"/>
      <c r="G4" s="529">
        <f>G19+G25</f>
        <v>530152.5</v>
      </c>
    </row>
    <row r="5" spans="1:9" ht="86.25" customHeight="1" x14ac:dyDescent="0.25">
      <c r="A5" s="426"/>
      <c r="B5" s="474" t="s">
        <v>1090</v>
      </c>
      <c r="C5" s="474" t="s">
        <v>1091</v>
      </c>
      <c r="D5" s="475" t="s">
        <v>1092</v>
      </c>
      <c r="E5" s="475" t="s">
        <v>1092</v>
      </c>
      <c r="F5" s="530" t="s">
        <v>3471</v>
      </c>
      <c r="G5" s="475" t="s">
        <v>3455</v>
      </c>
      <c r="I5" s="531"/>
    </row>
    <row r="6" spans="1:9" ht="27" customHeight="1" x14ac:dyDescent="0.25">
      <c r="A6" s="426"/>
      <c r="B6" s="558">
        <v>603</v>
      </c>
      <c r="C6" s="558" t="str">
        <f>VLOOKUP(B6,база!A:F,2,FALSE)</f>
        <v>Рарицкая Надежда Владимировна</v>
      </c>
      <c r="D6" s="559"/>
      <c r="E6" s="559" t="s">
        <v>3472</v>
      </c>
      <c r="F6" s="556">
        <v>30070</v>
      </c>
      <c r="G6" s="558">
        <f>VLOOKUP(B6,база!A:F,5,FALSE)</f>
        <v>0</v>
      </c>
    </row>
    <row r="7" spans="1:9" ht="27" customHeight="1" x14ac:dyDescent="0.25">
      <c r="A7" s="426"/>
      <c r="B7" s="558">
        <v>1146</v>
      </c>
      <c r="C7" s="558" t="str">
        <f>VLOOKUP(B7,база!A:F,2,FALSE)</f>
        <v>Левина Юлия Сергеевна</v>
      </c>
      <c r="D7" s="559"/>
      <c r="E7" s="559" t="s">
        <v>3472</v>
      </c>
      <c r="F7" s="556">
        <v>35738</v>
      </c>
      <c r="G7" s="558">
        <f>VLOOKUP(B7,база!A:F,5,FALSE)</f>
        <v>0</v>
      </c>
    </row>
    <row r="8" spans="1:9" ht="27" customHeight="1" x14ac:dyDescent="0.25">
      <c r="A8" s="426"/>
      <c r="B8" s="558">
        <v>2178</v>
      </c>
      <c r="C8" s="558" t="str">
        <f>VLOOKUP(B8,база!A:F,2,FALSE)</f>
        <v>Рябухина Юлия Александровна</v>
      </c>
      <c r="D8" s="559"/>
      <c r="E8" s="559" t="s">
        <v>3472</v>
      </c>
      <c r="F8" s="556">
        <v>9474.5</v>
      </c>
      <c r="G8" s="558">
        <f>VLOOKUP(B8,база!A:F,5,FALSE)</f>
        <v>0</v>
      </c>
    </row>
    <row r="9" spans="1:9" ht="27" customHeight="1" x14ac:dyDescent="0.25">
      <c r="A9" s="426"/>
      <c r="B9" s="558">
        <v>2184</v>
      </c>
      <c r="C9" s="558" t="str">
        <f>VLOOKUP(B9,база!A:F,2,FALSE)</f>
        <v>Воронина Ирина Диевна</v>
      </c>
      <c r="D9" s="559"/>
      <c r="E9" s="559" t="s">
        <v>3472</v>
      </c>
      <c r="F9" s="556">
        <v>41768</v>
      </c>
      <c r="G9" s="558">
        <f>VLOOKUP(B9,база!A:F,5,FALSE)</f>
        <v>0</v>
      </c>
    </row>
    <row r="10" spans="1:9" ht="27" customHeight="1" x14ac:dyDescent="0.25">
      <c r="A10" s="426"/>
      <c r="B10" s="558">
        <v>25514</v>
      </c>
      <c r="C10" s="558" t="str">
        <f>VLOOKUP(B10,база!A:F,2,FALSE)</f>
        <v>Горин Алексей Васильевич</v>
      </c>
      <c r="D10" s="559"/>
      <c r="E10" s="559" t="s">
        <v>3472</v>
      </c>
      <c r="F10" s="556">
        <v>10005</v>
      </c>
      <c r="G10" s="558">
        <f>VLOOKUP(B10,база!A:F,5,FALSE)</f>
        <v>0</v>
      </c>
    </row>
    <row r="11" spans="1:9" ht="27" customHeight="1" x14ac:dyDescent="0.25">
      <c r="A11" s="426"/>
      <c r="B11" s="558">
        <v>26857</v>
      </c>
      <c r="C11" s="558" t="str">
        <f>VLOOKUP(B11,база!A:F,2,FALSE)</f>
        <v>Левин Вадим Геннадьевич</v>
      </c>
      <c r="D11" s="559"/>
      <c r="E11" s="559" t="s">
        <v>3472</v>
      </c>
      <c r="F11" s="556">
        <v>35737</v>
      </c>
      <c r="G11" s="558">
        <f>VLOOKUP(B11,база!A:F,5,FALSE)</f>
        <v>0</v>
      </c>
    </row>
    <row r="12" spans="1:9" ht="27" customHeight="1" x14ac:dyDescent="0.25">
      <c r="A12" s="426"/>
      <c r="B12" s="558">
        <v>35761</v>
      </c>
      <c r="C12" s="558" t="str">
        <f>VLOOKUP(B12,база!A:F,2,FALSE)</f>
        <v>Чувилин Дмитрий Сергеевич</v>
      </c>
      <c r="D12" s="559"/>
      <c r="E12" s="559" t="s">
        <v>3472</v>
      </c>
      <c r="F12" s="556">
        <v>41039</v>
      </c>
      <c r="G12" s="558">
        <f>VLOOKUP(B12,база!A:F,5,FALSE)</f>
        <v>0</v>
      </c>
    </row>
    <row r="13" spans="1:9" ht="27" customHeight="1" x14ac:dyDescent="0.25">
      <c r="A13" s="426"/>
      <c r="B13" s="558">
        <v>98254</v>
      </c>
      <c r="C13" s="558" t="str">
        <f>VLOOKUP(B13,база!A:F,2,FALSE)</f>
        <v>Кильдиярова Инна Владимировна</v>
      </c>
      <c r="D13" s="559"/>
      <c r="E13" s="559" t="s">
        <v>3472</v>
      </c>
      <c r="F13" s="556">
        <v>102506</v>
      </c>
      <c r="G13" s="558">
        <f>VLOOKUP(B13,база!A:F,5,FALSE)</f>
        <v>0</v>
      </c>
    </row>
    <row r="14" spans="1:9" ht="27" customHeight="1" x14ac:dyDescent="0.25">
      <c r="A14" s="426"/>
      <c r="B14" s="558">
        <v>145956</v>
      </c>
      <c r="C14" s="558" t="str">
        <f>VLOOKUP(B14,база!A:F,2,FALSE)</f>
        <v>Газетова Ирина Петровна</v>
      </c>
      <c r="D14" s="559"/>
      <c r="E14" s="559" t="s">
        <v>3472</v>
      </c>
      <c r="F14" s="556">
        <v>29619</v>
      </c>
      <c r="G14" s="558">
        <f>VLOOKUP(B14,база!A:F,5,FALSE)</f>
        <v>0</v>
      </c>
    </row>
    <row r="15" spans="1:9" ht="27" customHeight="1" x14ac:dyDescent="0.25">
      <c r="A15" s="426"/>
      <c r="B15" s="558">
        <v>276943</v>
      </c>
      <c r="C15" s="558" t="str">
        <f>VLOOKUP(B15,база!A:F,2,FALSE)</f>
        <v>Карпухина Екатерина Андреевна</v>
      </c>
      <c r="D15" s="559"/>
      <c r="E15" s="559" t="s">
        <v>3472</v>
      </c>
      <c r="F15" s="556">
        <v>23130</v>
      </c>
      <c r="G15" s="558">
        <v>0</v>
      </c>
    </row>
    <row r="16" spans="1:9" ht="27" customHeight="1" x14ac:dyDescent="0.25">
      <c r="A16" s="426"/>
      <c r="B16" s="558">
        <v>11060</v>
      </c>
      <c r="C16" s="558" t="str">
        <f>VLOOKUP(B16,база!A:F,2,FALSE)</f>
        <v>Климковский Михаил Емельянович</v>
      </c>
      <c r="D16" s="559"/>
      <c r="E16" s="559" t="s">
        <v>3472</v>
      </c>
      <c r="F16" s="556">
        <v>27946</v>
      </c>
      <c r="G16" s="558" t="str">
        <f>VLOOKUP(B16,база!A:F,5,FALSE)</f>
        <v xml:space="preserve">рук </v>
      </c>
    </row>
    <row r="17" spans="1:12" ht="27" customHeight="1" x14ac:dyDescent="0.25">
      <c r="A17" s="426"/>
      <c r="B17" s="532"/>
      <c r="C17" s="532"/>
      <c r="D17" s="533"/>
      <c r="E17" s="534" t="s">
        <v>3452</v>
      </c>
      <c r="F17" s="535"/>
      <c r="G17" s="536">
        <f>SUM(F6:F15)</f>
        <v>359086.5</v>
      </c>
    </row>
    <row r="18" spans="1:12" ht="27" customHeight="1" x14ac:dyDescent="0.25">
      <c r="A18" s="426"/>
      <c r="B18" s="187"/>
      <c r="C18" s="187"/>
      <c r="E18" s="534" t="s">
        <v>1157</v>
      </c>
      <c r="F18" s="535"/>
      <c r="G18" s="536">
        <f>F16</f>
        <v>27946</v>
      </c>
    </row>
    <row r="19" spans="1:12" ht="27" customHeight="1" x14ac:dyDescent="0.25">
      <c r="A19" s="426"/>
      <c r="B19" s="187"/>
      <c r="C19" s="187"/>
      <c r="E19" s="534" t="s">
        <v>1058</v>
      </c>
      <c r="F19" s="535"/>
      <c r="G19" s="407">
        <f>SUM(G17:G18)</f>
        <v>387032.5</v>
      </c>
      <c r="I19" s="407"/>
    </row>
    <row r="20" spans="1:12" ht="79.5" customHeight="1" x14ac:dyDescent="0.25">
      <c r="A20" s="426"/>
      <c r="B20" s="474" t="s">
        <v>1090</v>
      </c>
      <c r="C20" s="474" t="s">
        <v>1091</v>
      </c>
      <c r="D20" s="475" t="s">
        <v>1092</v>
      </c>
      <c r="E20" s="475" t="s">
        <v>1092</v>
      </c>
      <c r="F20" s="530" t="s">
        <v>3473</v>
      </c>
      <c r="G20" s="475" t="s">
        <v>3455</v>
      </c>
    </row>
    <row r="21" spans="1:12" ht="27" customHeight="1" x14ac:dyDescent="0.25">
      <c r="A21" s="426"/>
      <c r="B21" s="558">
        <v>2024</v>
      </c>
      <c r="C21" s="558" t="str">
        <f>VLOOKUP(B21,база!A:F,2,FALSE)</f>
        <v>Филиппов Владимир Петрович</v>
      </c>
      <c r="D21" s="559"/>
      <c r="E21" s="559" t="s">
        <v>3472</v>
      </c>
      <c r="F21" s="556">
        <v>48134</v>
      </c>
      <c r="G21" s="558">
        <f>VLOOKUP(B21,база!A:F,5,FALSE)</f>
        <v>0</v>
      </c>
    </row>
    <row r="22" spans="1:12" ht="27" customHeight="1" x14ac:dyDescent="0.25">
      <c r="A22" s="426"/>
      <c r="B22" s="558">
        <v>175635</v>
      </c>
      <c r="C22" s="558" t="str">
        <f>VLOOKUP(B22,база!A:F,2,FALSE)</f>
        <v>Бердин Владислав Владимирович</v>
      </c>
      <c r="D22" s="559"/>
      <c r="E22" s="559" t="s">
        <v>3472</v>
      </c>
      <c r="F22" s="556">
        <v>94986</v>
      </c>
      <c r="G22" s="558">
        <f>VLOOKUP(B22,база!A:F,5,FALSE)</f>
        <v>0</v>
      </c>
    </row>
    <row r="23" spans="1:12" ht="27" customHeight="1" x14ac:dyDescent="0.25">
      <c r="A23" s="426"/>
      <c r="B23" s="532"/>
      <c r="C23" s="532"/>
      <c r="D23" s="533"/>
      <c r="E23" s="534" t="s">
        <v>3452</v>
      </c>
      <c r="F23" s="535"/>
      <c r="G23" s="536">
        <f>SUM(F21:F22)</f>
        <v>143120</v>
      </c>
    </row>
    <row r="24" spans="1:12" ht="27" customHeight="1" x14ac:dyDescent="0.25">
      <c r="A24" s="426"/>
      <c r="B24" s="187"/>
      <c r="C24" s="187"/>
      <c r="E24" s="534" t="s">
        <v>1157</v>
      </c>
      <c r="F24" s="535"/>
      <c r="G24" s="536">
        <v>0</v>
      </c>
    </row>
    <row r="25" spans="1:12" ht="27" customHeight="1" x14ac:dyDescent="0.25">
      <c r="A25" s="426"/>
      <c r="B25" s="187"/>
      <c r="C25" s="187"/>
      <c r="E25" s="534" t="s">
        <v>1058</v>
      </c>
      <c r="F25" s="535"/>
      <c r="G25" s="407">
        <f>SUM(G23:G24)</f>
        <v>143120</v>
      </c>
    </row>
    <row r="26" spans="1:12" ht="27" customHeight="1" x14ac:dyDescent="0.25">
      <c r="A26" s="426"/>
      <c r="B26" s="351" t="s">
        <v>3452</v>
      </c>
      <c r="C26" s="467">
        <f>G17+G23</f>
        <v>502206.5</v>
      </c>
      <c r="E26" s="214"/>
      <c r="F26" s="214"/>
    </row>
    <row r="27" spans="1:12" ht="27" customHeight="1" x14ac:dyDescent="0.25">
      <c r="A27" s="426"/>
      <c r="B27" s="351" t="s">
        <v>1157</v>
      </c>
      <c r="C27" s="467">
        <f>G18+G24</f>
        <v>27946</v>
      </c>
      <c r="E27" s="214"/>
      <c r="F27" s="272"/>
      <c r="I27" s="366" t="s">
        <v>3474</v>
      </c>
      <c r="J27" s="366"/>
    </row>
    <row r="28" spans="1:12" ht="27" customHeight="1" x14ac:dyDescent="0.25">
      <c r="A28" s="426"/>
      <c r="B28" s="351" t="s">
        <v>1058</v>
      </c>
      <c r="C28" s="467">
        <f>SUM(C26:C27)</f>
        <v>530152.5</v>
      </c>
      <c r="E28" s="214"/>
      <c r="F28" s="272"/>
      <c r="G28" s="272"/>
      <c r="I28" s="366" t="s">
        <v>1071</v>
      </c>
      <c r="J28" s="366" t="s">
        <v>3454</v>
      </c>
    </row>
    <row r="29" spans="1:12" ht="27" customHeight="1" x14ac:dyDescent="0.25">
      <c r="A29" s="426"/>
      <c r="B29" s="351"/>
      <c r="C29" s="467"/>
      <c r="E29" s="214"/>
      <c r="F29" s="214"/>
      <c r="I29" s="366">
        <v>9146050100</v>
      </c>
      <c r="J29" s="391">
        <f>'Льготный проезд   '!H31</f>
        <v>67439.399999999994</v>
      </c>
    </row>
    <row r="30" spans="1:12" ht="27" customHeight="1" x14ac:dyDescent="0.25">
      <c r="A30" s="426"/>
      <c r="B30" s="83" t="s">
        <v>150</v>
      </c>
      <c r="C30" s="84"/>
      <c r="D30" s="84"/>
      <c r="E30" s="418"/>
      <c r="F30" s="83" t="s">
        <v>1057</v>
      </c>
      <c r="G30" s="546"/>
      <c r="I30" s="366">
        <v>9146060100</v>
      </c>
      <c r="J30" s="391">
        <f>'Льготный проезд   '!M31</f>
        <v>462713.1</v>
      </c>
    </row>
    <row r="31" spans="1:12" ht="27" customHeight="1" x14ac:dyDescent="0.25">
      <c r="A31" s="426"/>
      <c r="B31" s="426"/>
      <c r="C31" s="508"/>
      <c r="D31" s="426"/>
      <c r="E31" s="537"/>
      <c r="F31" s="439"/>
      <c r="G31" s="426"/>
      <c r="I31" s="366">
        <v>9146120100</v>
      </c>
      <c r="J31" s="391">
        <v>0</v>
      </c>
    </row>
    <row r="32" spans="1:12" ht="27" customHeight="1" x14ac:dyDescent="0.25">
      <c r="A32" s="426"/>
      <c r="B32" s="426"/>
      <c r="C32" s="426"/>
      <c r="D32" s="426"/>
      <c r="E32" s="537"/>
      <c r="F32" s="429"/>
      <c r="G32" s="426"/>
      <c r="I32" s="366" t="s">
        <v>1058</v>
      </c>
      <c r="J32" s="391">
        <f>SUM(J29:J31)</f>
        <v>530152.5</v>
      </c>
      <c r="L32" s="227"/>
    </row>
    <row r="33" spans="1:12" ht="27" customHeight="1" x14ac:dyDescent="0.25">
      <c r="A33" s="426"/>
      <c r="B33" s="702" t="s">
        <v>2655</v>
      </c>
      <c r="C33" s="702"/>
      <c r="D33" s="702"/>
      <c r="E33" s="702"/>
      <c r="F33" s="702"/>
      <c r="G33" s="702"/>
      <c r="J33" s="227"/>
    </row>
    <row r="34" spans="1:12" ht="27" customHeight="1" x14ac:dyDescent="0.25">
      <c r="A34" s="426"/>
      <c r="B34" s="702" t="s">
        <v>3475</v>
      </c>
      <c r="C34" s="702"/>
      <c r="D34" s="702"/>
      <c r="E34" s="702"/>
      <c r="F34" s="702"/>
      <c r="G34" s="702"/>
    </row>
    <row r="35" spans="1:12" ht="27" customHeight="1" x14ac:dyDescent="0.25">
      <c r="A35" s="426"/>
      <c r="B35" s="701" t="s">
        <v>3757</v>
      </c>
      <c r="C35" s="701"/>
      <c r="D35" s="701"/>
      <c r="E35" s="701"/>
      <c r="F35" s="701"/>
      <c r="G35" s="701"/>
    </row>
    <row r="36" spans="1:12" ht="27" customHeight="1" x14ac:dyDescent="0.25">
      <c r="A36" s="426"/>
    </row>
    <row r="37" spans="1:12" ht="36.75" customHeight="1" x14ac:dyDescent="0.25">
      <c r="A37" s="426"/>
      <c r="B37" s="474" t="s">
        <v>1090</v>
      </c>
      <c r="C37" s="474" t="s">
        <v>1091</v>
      </c>
      <c r="D37" s="475" t="s">
        <v>1092</v>
      </c>
      <c r="E37" s="475" t="s">
        <v>1092</v>
      </c>
      <c r="F37" s="530" t="s">
        <v>3476</v>
      </c>
      <c r="G37" s="475" t="s">
        <v>1093</v>
      </c>
    </row>
    <row r="38" spans="1:12" ht="27" customHeight="1" x14ac:dyDescent="0.25">
      <c r="A38" s="426"/>
      <c r="B38" s="558">
        <v>11060</v>
      </c>
      <c r="C38" s="558" t="str">
        <f>VLOOKUP(B38,база!A:F,2,FALSE)</f>
        <v>Климковский Михаил Емельянович</v>
      </c>
      <c r="D38" s="559"/>
      <c r="E38" s="559" t="s">
        <v>3472</v>
      </c>
      <c r="F38" s="556">
        <v>27946</v>
      </c>
      <c r="G38" s="558" t="str">
        <f>VLOOKUP(B38,база!A:F,5,FALSE)</f>
        <v xml:space="preserve">рук </v>
      </c>
    </row>
    <row r="39" spans="1:12" ht="27" customHeight="1" x14ac:dyDescent="0.25">
      <c r="A39" s="426"/>
      <c r="B39" s="462"/>
      <c r="C39" s="435"/>
      <c r="D39" s="402"/>
      <c r="E39" s="402" t="s">
        <v>1058</v>
      </c>
      <c r="F39" s="556">
        <f>SUM(F38:F38)</f>
        <v>27946</v>
      </c>
      <c r="G39" s="435"/>
    </row>
    <row r="40" spans="1:12" ht="27" customHeight="1" x14ac:dyDescent="0.25">
      <c r="A40" s="426"/>
      <c r="B40" s="438"/>
      <c r="C40" s="438"/>
      <c r="D40" s="418"/>
      <c r="E40" s="418"/>
      <c r="F40" s="538"/>
      <c r="G40" s="438"/>
    </row>
    <row r="41" spans="1:12" ht="27" customHeight="1" x14ac:dyDescent="0.25">
      <c r="A41" s="426"/>
      <c r="B41" s="83" t="s">
        <v>150</v>
      </c>
      <c r="C41" s="84"/>
      <c r="D41" s="84"/>
      <c r="E41" s="418"/>
      <c r="F41" s="83" t="s">
        <v>1057</v>
      </c>
      <c r="G41" s="426"/>
    </row>
    <row r="42" spans="1:12" ht="27" customHeight="1" x14ac:dyDescent="0.25">
      <c r="A42" s="426"/>
    </row>
    <row r="43" spans="1:12" ht="27" customHeight="1" x14ac:dyDescent="0.25">
      <c r="A43" s="426"/>
      <c r="L43" s="227"/>
    </row>
    <row r="44" spans="1:12" ht="27" customHeight="1" x14ac:dyDescent="0.25">
      <c r="A44" s="426"/>
    </row>
    <row r="45" spans="1:12" ht="27" customHeight="1" x14ac:dyDescent="0.25">
      <c r="A45" s="426"/>
    </row>
    <row r="46" spans="1:12" ht="27" customHeight="1" x14ac:dyDescent="0.25">
      <c r="A46" s="426"/>
    </row>
    <row r="47" spans="1:12" ht="27" customHeight="1" x14ac:dyDescent="0.25">
      <c r="A47" s="426"/>
    </row>
    <row r="48" spans="1:12" ht="27" customHeight="1" x14ac:dyDescent="0.25">
      <c r="A48" s="426"/>
    </row>
    <row r="49" spans="1:1" ht="27" customHeight="1" x14ac:dyDescent="0.25">
      <c r="A49" s="426"/>
    </row>
    <row r="50" spans="1:1" ht="64.5" customHeight="1" x14ac:dyDescent="0.25">
      <c r="A50" s="426"/>
    </row>
    <row r="51" spans="1:1" ht="27" customHeight="1" x14ac:dyDescent="0.25">
      <c r="A51" s="426"/>
    </row>
    <row r="52" spans="1:1" ht="27" customHeight="1" x14ac:dyDescent="0.25">
      <c r="A52" s="426"/>
    </row>
    <row r="53" spans="1:1" ht="27" customHeight="1" x14ac:dyDescent="0.25">
      <c r="A53" s="426"/>
    </row>
    <row r="54" spans="1:1" ht="27" customHeight="1" x14ac:dyDescent="0.25">
      <c r="A54" s="426"/>
    </row>
    <row r="55" spans="1:1" ht="27" customHeight="1" x14ac:dyDescent="0.25">
      <c r="A55" s="426"/>
    </row>
    <row r="56" spans="1:1" ht="27" customHeight="1" x14ac:dyDescent="0.25">
      <c r="A56" s="426"/>
    </row>
    <row r="57" spans="1:1" ht="27" customHeight="1" x14ac:dyDescent="0.25">
      <c r="A57" s="426"/>
    </row>
    <row r="58" spans="1:1" ht="27" customHeight="1" x14ac:dyDescent="0.25">
      <c r="A58" s="426"/>
    </row>
    <row r="59" spans="1:1" ht="30.75" customHeight="1" x14ac:dyDescent="0.25">
      <c r="A59" s="426"/>
    </row>
    <row r="60" spans="1:1" ht="30.75" customHeight="1" x14ac:dyDescent="0.25">
      <c r="A60" s="426"/>
    </row>
    <row r="61" spans="1:1" ht="36" customHeight="1" x14ac:dyDescent="0.25">
      <c r="A61" s="426"/>
    </row>
    <row r="62" spans="1:1" ht="30.75" customHeight="1" x14ac:dyDescent="0.25">
      <c r="A62" s="426"/>
    </row>
    <row r="63" spans="1:1" ht="30.75" customHeight="1" x14ac:dyDescent="0.25">
      <c r="A63" s="426"/>
    </row>
    <row r="64" spans="1:1" ht="30.75" customHeight="1" x14ac:dyDescent="0.25">
      <c r="A64" s="426"/>
    </row>
    <row r="65" spans="1:10" ht="30.75" customHeight="1" x14ac:dyDescent="0.25">
      <c r="A65" s="426"/>
    </row>
    <row r="66" spans="1:10" ht="30.75" customHeight="1" x14ac:dyDescent="0.25">
      <c r="A66" s="426"/>
    </row>
    <row r="67" spans="1:10" ht="30.75" customHeight="1" x14ac:dyDescent="0.25">
      <c r="A67" s="426"/>
    </row>
    <row r="68" spans="1:10" ht="30.75" customHeight="1" x14ac:dyDescent="0.25">
      <c r="A68" s="426"/>
      <c r="J68" s="227"/>
    </row>
    <row r="69" spans="1:10" ht="30.75" customHeight="1" x14ac:dyDescent="0.25">
      <c r="A69" s="426"/>
      <c r="I69" s="461"/>
      <c r="J69" s="227"/>
    </row>
    <row r="70" spans="1:10" ht="30.75" customHeight="1" x14ac:dyDescent="0.25">
      <c r="A70" s="426"/>
      <c r="I70" s="232"/>
      <c r="J70" s="227"/>
    </row>
    <row r="71" spans="1:10" ht="30.75" customHeight="1" x14ac:dyDescent="0.25">
      <c r="A71" s="426"/>
      <c r="I71" s="539" t="s">
        <v>3477</v>
      </c>
      <c r="J71" s="227"/>
    </row>
    <row r="72" spans="1:10" ht="30.75" customHeight="1" x14ac:dyDescent="0.25">
      <c r="A72" s="426"/>
      <c r="I72" s="461"/>
      <c r="J72" s="214"/>
    </row>
    <row r="73" spans="1:10" ht="30.75" customHeight="1" x14ac:dyDescent="0.25">
      <c r="A73" s="426"/>
      <c r="I73" s="461"/>
      <c r="J73" s="214"/>
    </row>
    <row r="74" spans="1:10" ht="30.75" customHeight="1" x14ac:dyDescent="0.25">
      <c r="A74" s="426"/>
      <c r="I74" s="461"/>
      <c r="J74" s="214"/>
    </row>
    <row r="75" spans="1:10" ht="30.75" customHeight="1" x14ac:dyDescent="0.25">
      <c r="A75" s="426"/>
      <c r="J75" s="214"/>
    </row>
    <row r="76" spans="1:10" ht="30.75" customHeight="1" x14ac:dyDescent="0.25">
      <c r="A76" s="426"/>
      <c r="J76" s="214"/>
    </row>
    <row r="77" spans="1:10" ht="30.75" customHeight="1" x14ac:dyDescent="0.25">
      <c r="A77" s="426"/>
      <c r="J77" s="214"/>
    </row>
    <row r="78" spans="1:10" ht="30.75" customHeight="1" x14ac:dyDescent="0.25">
      <c r="A78" s="426"/>
      <c r="J78" s="214"/>
    </row>
    <row r="79" spans="1:10" ht="30.75" customHeight="1" x14ac:dyDescent="0.25">
      <c r="A79" s="426"/>
      <c r="J79" s="214"/>
    </row>
    <row r="80" spans="1:10" ht="30.75" customHeight="1" x14ac:dyDescent="0.25">
      <c r="A80" s="426"/>
      <c r="J80" s="214"/>
    </row>
    <row r="81" spans="1:15" ht="30.75" customHeight="1" x14ac:dyDescent="0.25">
      <c r="A81" s="426"/>
      <c r="J81" s="214"/>
    </row>
    <row r="82" spans="1:15" ht="30.75" customHeight="1" x14ac:dyDescent="0.25">
      <c r="A82" s="426"/>
    </row>
    <row r="83" spans="1:15" ht="30.75" customHeight="1" x14ac:dyDescent="0.25">
      <c r="A83" s="426"/>
    </row>
    <row r="84" spans="1:15" ht="30.75" customHeight="1" x14ac:dyDescent="0.25">
      <c r="A84" s="426"/>
    </row>
    <row r="85" spans="1:15" ht="30" customHeight="1" x14ac:dyDescent="0.25">
      <c r="A85" s="426"/>
    </row>
    <row r="86" spans="1:15" ht="27" customHeight="1" x14ac:dyDescent="0.25">
      <c r="A86" s="426"/>
      <c r="I86" s="540"/>
    </row>
    <row r="87" spans="1:15" ht="27" customHeight="1" x14ac:dyDescent="0.25">
      <c r="A87" s="426"/>
    </row>
    <row r="88" spans="1:15" s="214" customFormat="1" ht="27" customHeight="1" x14ac:dyDescent="0.25">
      <c r="A88" s="426"/>
      <c r="E88" s="397"/>
      <c r="F88" s="215"/>
      <c r="H88" s="271"/>
      <c r="I88" s="271"/>
      <c r="J88" s="271"/>
      <c r="K88" s="271"/>
      <c r="L88" s="271"/>
      <c r="M88" s="271"/>
      <c r="N88" s="271"/>
      <c r="O88" s="271"/>
    </row>
    <row r="89" spans="1:15" s="214" customFormat="1" ht="27" customHeight="1" x14ac:dyDescent="0.25">
      <c r="A89" s="426"/>
      <c r="E89" s="397"/>
      <c r="F89" s="215"/>
      <c r="H89" s="271"/>
      <c r="I89" s="271"/>
      <c r="J89" s="271"/>
      <c r="K89" s="271"/>
      <c r="L89" s="271"/>
      <c r="M89" s="271"/>
      <c r="N89" s="271"/>
      <c r="O89" s="271"/>
    </row>
    <row r="90" spans="1:15" s="214" customFormat="1" ht="27" customHeight="1" x14ac:dyDescent="0.25">
      <c r="A90" s="426"/>
      <c r="E90" s="397"/>
      <c r="F90" s="215"/>
      <c r="H90" s="271"/>
      <c r="I90" s="271"/>
      <c r="J90" s="271"/>
      <c r="K90" s="271"/>
      <c r="L90" s="271"/>
      <c r="M90" s="271"/>
      <c r="N90" s="271"/>
      <c r="O90" s="271"/>
    </row>
    <row r="91" spans="1:15" s="214" customFormat="1" ht="27" customHeight="1" x14ac:dyDescent="0.25">
      <c r="A91" s="426"/>
      <c r="E91" s="397"/>
      <c r="F91" s="215"/>
      <c r="H91" s="271"/>
      <c r="I91" s="271"/>
      <c r="J91" s="271"/>
      <c r="K91" s="271"/>
      <c r="L91" s="271"/>
      <c r="M91" s="271"/>
      <c r="N91" s="271"/>
      <c r="O91" s="271"/>
    </row>
    <row r="92" spans="1:15" s="214" customFormat="1" ht="27" customHeight="1" x14ac:dyDescent="0.25">
      <c r="A92" s="426"/>
      <c r="E92" s="397"/>
      <c r="F92" s="215"/>
      <c r="H92" s="271"/>
      <c r="I92" s="271"/>
      <c r="J92" s="271"/>
      <c r="K92" s="271"/>
      <c r="L92" s="271"/>
      <c r="M92" s="271"/>
      <c r="N92" s="271"/>
      <c r="O92" s="271"/>
    </row>
    <row r="93" spans="1:15" s="214" customFormat="1" ht="27" customHeight="1" x14ac:dyDescent="0.25">
      <c r="A93" s="426"/>
      <c r="E93" s="397"/>
      <c r="F93" s="215"/>
      <c r="H93" s="271"/>
      <c r="I93" s="271"/>
      <c r="J93" s="271"/>
      <c r="K93" s="271"/>
      <c r="L93" s="271"/>
      <c r="M93" s="271"/>
      <c r="N93" s="271"/>
      <c r="O93" s="271"/>
    </row>
    <row r="94" spans="1:15" s="214" customFormat="1" ht="27" customHeight="1" x14ac:dyDescent="0.25">
      <c r="A94" s="426"/>
      <c r="E94" s="397"/>
      <c r="F94" s="215"/>
      <c r="H94" s="271"/>
      <c r="I94" s="271"/>
      <c r="J94" s="271"/>
      <c r="K94" s="271"/>
      <c r="L94" s="271"/>
      <c r="M94" s="271"/>
      <c r="N94" s="271"/>
      <c r="O94" s="271"/>
    </row>
    <row r="95" spans="1:15" s="214" customFormat="1" ht="27" customHeight="1" x14ac:dyDescent="0.25">
      <c r="A95" s="426"/>
      <c r="E95" s="397"/>
      <c r="F95" s="215"/>
      <c r="H95" s="271"/>
      <c r="I95" s="271"/>
      <c r="J95" s="271"/>
      <c r="K95" s="271"/>
      <c r="L95" s="271"/>
      <c r="M95" s="271"/>
      <c r="N95" s="271"/>
      <c r="O95" s="271"/>
    </row>
    <row r="96" spans="1:15" s="214" customFormat="1" ht="27" customHeight="1" x14ac:dyDescent="0.25">
      <c r="A96" s="426"/>
      <c r="E96" s="397"/>
      <c r="F96" s="215"/>
      <c r="H96" s="271"/>
      <c r="I96" s="271"/>
      <c r="J96" s="271"/>
      <c r="K96" s="271"/>
      <c r="L96" s="271"/>
      <c r="M96" s="271"/>
      <c r="N96" s="271"/>
      <c r="O96" s="271"/>
    </row>
    <row r="97" spans="1:15" s="214" customFormat="1" ht="27" customHeight="1" x14ac:dyDescent="0.25">
      <c r="A97" s="426"/>
      <c r="E97" s="397"/>
      <c r="F97" s="215"/>
      <c r="H97" s="271"/>
      <c r="I97" s="271"/>
      <c r="J97" s="271"/>
      <c r="K97" s="271"/>
      <c r="L97" s="271"/>
      <c r="M97" s="271"/>
      <c r="N97" s="271"/>
      <c r="O97" s="271"/>
    </row>
    <row r="98" spans="1:15" s="214" customFormat="1" ht="27" customHeight="1" x14ac:dyDescent="0.25">
      <c r="A98" s="426"/>
      <c r="E98" s="397"/>
      <c r="F98" s="215"/>
      <c r="H98" s="271"/>
      <c r="I98" s="271"/>
      <c r="J98" s="271"/>
      <c r="K98" s="271"/>
      <c r="L98" s="271"/>
      <c r="M98" s="271"/>
      <c r="N98" s="271"/>
      <c r="O98" s="271"/>
    </row>
    <row r="99" spans="1:15" s="214" customFormat="1" ht="27" customHeight="1" x14ac:dyDescent="0.25">
      <c r="A99" s="426"/>
      <c r="E99" s="397"/>
      <c r="F99" s="215"/>
      <c r="H99" s="271"/>
      <c r="I99" s="271"/>
      <c r="J99" s="271"/>
      <c r="K99" s="271"/>
      <c r="L99" s="271"/>
      <c r="M99" s="271"/>
      <c r="N99" s="271"/>
      <c r="O99" s="271"/>
    </row>
    <row r="100" spans="1:15" s="214" customFormat="1" ht="27" customHeight="1" x14ac:dyDescent="0.25">
      <c r="A100" s="426"/>
      <c r="E100" s="397"/>
      <c r="F100" s="215"/>
      <c r="H100" s="271"/>
      <c r="I100" s="271"/>
      <c r="J100" s="271"/>
      <c r="K100" s="271"/>
      <c r="L100" s="271"/>
      <c r="M100" s="271"/>
      <c r="N100" s="271"/>
      <c r="O100" s="271"/>
    </row>
    <row r="101" spans="1:15" s="214" customFormat="1" ht="27" customHeight="1" x14ac:dyDescent="0.25">
      <c r="A101" s="426"/>
      <c r="E101" s="397"/>
      <c r="F101" s="215"/>
      <c r="H101" s="271"/>
      <c r="I101" s="271"/>
      <c r="J101" s="271"/>
      <c r="K101" s="271"/>
      <c r="L101" s="271"/>
      <c r="M101" s="271"/>
      <c r="N101" s="271"/>
      <c r="O101" s="271"/>
    </row>
    <row r="102" spans="1:15" s="214" customFormat="1" ht="27" customHeight="1" x14ac:dyDescent="0.25">
      <c r="A102" s="426"/>
      <c r="E102" s="397"/>
      <c r="F102" s="215"/>
      <c r="H102" s="271"/>
      <c r="I102" s="271"/>
      <c r="J102" s="271"/>
      <c r="K102" s="271"/>
    </row>
    <row r="103" spans="1:15" s="214" customFormat="1" ht="57" customHeight="1" x14ac:dyDescent="0.25">
      <c r="A103" s="426"/>
      <c r="E103" s="397"/>
      <c r="F103" s="215"/>
      <c r="H103" s="271"/>
      <c r="I103" s="271"/>
      <c r="J103" s="271"/>
      <c r="K103" s="271"/>
    </row>
    <row r="104" spans="1:15" ht="30" customHeight="1" x14ac:dyDescent="0.25">
      <c r="A104" s="426"/>
      <c r="L104" s="214"/>
      <c r="M104" s="214"/>
      <c r="N104" s="214"/>
      <c r="O104" s="214"/>
    </row>
    <row r="105" spans="1:15" ht="27" customHeight="1" x14ac:dyDescent="0.25">
      <c r="A105" s="426"/>
      <c r="L105" s="214"/>
      <c r="M105" s="214"/>
      <c r="N105" s="214"/>
      <c r="O105" s="214"/>
    </row>
    <row r="106" spans="1:15" ht="27" customHeight="1" x14ac:dyDescent="0.25">
      <c r="A106" s="426"/>
      <c r="L106" s="214"/>
      <c r="M106" s="214"/>
      <c r="N106" s="214"/>
      <c r="O106" s="214"/>
    </row>
    <row r="107" spans="1:15" ht="27" customHeight="1" x14ac:dyDescent="0.25">
      <c r="A107" s="426"/>
      <c r="L107" s="214"/>
      <c r="M107" s="214"/>
      <c r="N107" s="214"/>
      <c r="O107" s="214"/>
    </row>
    <row r="108" spans="1:15" ht="27" customHeight="1" x14ac:dyDescent="0.25">
      <c r="A108" s="426"/>
      <c r="L108" s="214"/>
      <c r="M108" s="214"/>
      <c r="N108" s="214"/>
      <c r="O108" s="214"/>
    </row>
    <row r="109" spans="1:15" ht="27" customHeight="1" x14ac:dyDescent="0.25">
      <c r="A109" s="426"/>
      <c r="L109" s="214"/>
      <c r="M109" s="214"/>
      <c r="N109" s="214"/>
      <c r="O109" s="214"/>
    </row>
    <row r="110" spans="1:15" ht="27" customHeight="1" x14ac:dyDescent="0.25">
      <c r="A110" s="426"/>
      <c r="K110" s="214"/>
      <c r="L110" s="214"/>
      <c r="M110" s="214"/>
      <c r="N110" s="214"/>
      <c r="O110" s="214"/>
    </row>
    <row r="111" spans="1:15" ht="27" customHeight="1" x14ac:dyDescent="0.25">
      <c r="A111" s="426"/>
      <c r="K111" s="214"/>
      <c r="L111" s="214"/>
      <c r="M111" s="214"/>
      <c r="N111" s="214"/>
      <c r="O111" s="214"/>
    </row>
    <row r="112" spans="1:15" ht="27" customHeight="1" x14ac:dyDescent="0.25">
      <c r="A112" s="426"/>
      <c r="K112" s="214"/>
      <c r="L112" s="214"/>
      <c r="M112" s="214"/>
      <c r="N112" s="214"/>
      <c r="O112" s="214"/>
    </row>
    <row r="113" spans="1:15" ht="27" customHeight="1" x14ac:dyDescent="0.25">
      <c r="A113" s="426"/>
      <c r="H113" s="214"/>
      <c r="K113" s="214"/>
      <c r="L113" s="214"/>
      <c r="M113" s="214"/>
      <c r="N113" s="214"/>
      <c r="O113" s="214"/>
    </row>
    <row r="114" spans="1:15" ht="79.5" customHeight="1" x14ac:dyDescent="0.25">
      <c r="A114" s="426"/>
      <c r="H114" s="214"/>
      <c r="K114" s="214"/>
    </row>
    <row r="115" spans="1:15" ht="27" customHeight="1" x14ac:dyDescent="0.25">
      <c r="A115" s="426"/>
      <c r="H115" s="214"/>
      <c r="K115" s="214"/>
    </row>
    <row r="116" spans="1:15" ht="27" customHeight="1" x14ac:dyDescent="0.25">
      <c r="A116" s="426"/>
      <c r="H116" s="214"/>
      <c r="K116" s="214"/>
    </row>
    <row r="117" spans="1:15" ht="27" customHeight="1" x14ac:dyDescent="0.25">
      <c r="A117" s="426"/>
      <c r="H117" s="214"/>
      <c r="K117" s="214"/>
    </row>
    <row r="118" spans="1:15" ht="27" customHeight="1" x14ac:dyDescent="0.25">
      <c r="A118" s="426"/>
      <c r="H118" s="214"/>
      <c r="K118" s="214"/>
    </row>
    <row r="119" spans="1:15" ht="27" customHeight="1" x14ac:dyDescent="0.25">
      <c r="A119" s="426"/>
      <c r="H119" s="214"/>
      <c r="K119" s="214"/>
    </row>
    <row r="120" spans="1:15" ht="27" customHeight="1" x14ac:dyDescent="0.25">
      <c r="A120" s="426"/>
      <c r="H120" s="214"/>
      <c r="K120" s="214"/>
    </row>
    <row r="121" spans="1:15" ht="27" customHeight="1" x14ac:dyDescent="0.25">
      <c r="A121" s="426"/>
      <c r="H121" s="214"/>
      <c r="K121" s="214"/>
    </row>
    <row r="122" spans="1:15" ht="27" customHeight="1" x14ac:dyDescent="0.25">
      <c r="A122" s="426"/>
      <c r="H122" s="214"/>
      <c r="K122" s="214"/>
    </row>
    <row r="123" spans="1:15" ht="27" customHeight="1" x14ac:dyDescent="0.25">
      <c r="A123" s="426"/>
      <c r="H123" s="214"/>
      <c r="K123" s="214"/>
    </row>
    <row r="124" spans="1:15" ht="27" customHeight="1" x14ac:dyDescent="0.25">
      <c r="A124" s="426"/>
      <c r="H124" s="214"/>
      <c r="K124" s="214"/>
    </row>
    <row r="125" spans="1:15" ht="27" customHeight="1" x14ac:dyDescent="0.25">
      <c r="A125" s="426"/>
      <c r="H125" s="214"/>
      <c r="K125" s="214"/>
    </row>
    <row r="126" spans="1:15" ht="27" customHeight="1" x14ac:dyDescent="0.25">
      <c r="A126" s="426"/>
      <c r="H126" s="214"/>
    </row>
    <row r="127" spans="1:15" ht="27" customHeight="1" x14ac:dyDescent="0.25">
      <c r="A127" s="426"/>
      <c r="H127" s="214"/>
    </row>
    <row r="128" spans="1:15" ht="53.25" customHeight="1" x14ac:dyDescent="0.25">
      <c r="A128" s="426"/>
      <c r="H128" s="214"/>
    </row>
    <row r="129" spans="1:8" ht="27" customHeight="1" x14ac:dyDescent="0.25">
      <c r="A129" s="426"/>
      <c r="H129" s="214"/>
    </row>
    <row r="130" spans="1:8" ht="27" customHeight="1" x14ac:dyDescent="0.25">
      <c r="A130" s="426"/>
      <c r="H130" s="214"/>
    </row>
    <row r="131" spans="1:8" ht="27" customHeight="1" x14ac:dyDescent="0.25">
      <c r="A131" s="426"/>
      <c r="H131" s="214"/>
    </row>
    <row r="132" spans="1:8" ht="27" customHeight="1" x14ac:dyDescent="0.25">
      <c r="A132" s="426"/>
      <c r="H132" s="214"/>
    </row>
    <row r="133" spans="1:8" ht="27" customHeight="1" x14ac:dyDescent="0.25">
      <c r="A133" s="426"/>
      <c r="H133" s="214"/>
    </row>
    <row r="134" spans="1:8" ht="27" customHeight="1" x14ac:dyDescent="0.25">
      <c r="A134" s="426"/>
    </row>
    <row r="135" spans="1:8" ht="27" customHeight="1" x14ac:dyDescent="0.25">
      <c r="A135" s="426"/>
    </row>
    <row r="136" spans="1:8" ht="27" customHeight="1" x14ac:dyDescent="0.25">
      <c r="A136" s="426"/>
    </row>
    <row r="137" spans="1:8" ht="27" customHeight="1" x14ac:dyDescent="0.25">
      <c r="A137" s="426"/>
    </row>
    <row r="138" spans="1:8" ht="79.5" hidden="1" customHeight="1" x14ac:dyDescent="0.25">
      <c r="A138" s="426"/>
    </row>
    <row r="139" spans="1:8" ht="70.5" hidden="1" customHeight="1" x14ac:dyDescent="0.25">
      <c r="A139" s="426"/>
    </row>
    <row r="140" spans="1:8" ht="27" hidden="1" customHeight="1" x14ac:dyDescent="0.25">
      <c r="A140" s="426"/>
    </row>
    <row r="141" spans="1:8" ht="22.5" hidden="1" customHeight="1" x14ac:dyDescent="0.25">
      <c r="A141" s="426"/>
    </row>
    <row r="142" spans="1:8" x14ac:dyDescent="0.25">
      <c r="A142" s="426"/>
    </row>
    <row r="143" spans="1:8" x14ac:dyDescent="0.25">
      <c r="A143" s="426"/>
    </row>
    <row r="144" spans="1:8" x14ac:dyDescent="0.25">
      <c r="A144" s="426"/>
    </row>
    <row r="145" spans="1:1" hidden="1" x14ac:dyDescent="0.25">
      <c r="A145" s="426"/>
    </row>
    <row r="146" spans="1:1" hidden="1" x14ac:dyDescent="0.25">
      <c r="A146" s="426"/>
    </row>
    <row r="147" spans="1:1" hidden="1" x14ac:dyDescent="0.25">
      <c r="A147" s="426"/>
    </row>
    <row r="148" spans="1:1" hidden="1" x14ac:dyDescent="0.25">
      <c r="A148" s="426"/>
    </row>
    <row r="149" spans="1:1" hidden="1" x14ac:dyDescent="0.25">
      <c r="A149" s="426"/>
    </row>
    <row r="150" spans="1:1" x14ac:dyDescent="0.25">
      <c r="A150" s="426"/>
    </row>
    <row r="151" spans="1:1" ht="27" customHeight="1" x14ac:dyDescent="0.25">
      <c r="A151" s="426"/>
    </row>
    <row r="152" spans="1:1" ht="27" customHeight="1" x14ac:dyDescent="0.25">
      <c r="A152" s="426"/>
    </row>
    <row r="153" spans="1:1" ht="27" customHeight="1" x14ac:dyDescent="0.25">
      <c r="A153" s="426"/>
    </row>
    <row r="154" spans="1:1" ht="27" customHeight="1" x14ac:dyDescent="0.25">
      <c r="A154" s="426"/>
    </row>
    <row r="155" spans="1:1" ht="27" customHeight="1" x14ac:dyDescent="0.25">
      <c r="A155" s="426"/>
    </row>
    <row r="156" spans="1:1" ht="27" customHeight="1" x14ac:dyDescent="0.25">
      <c r="A156" s="426"/>
    </row>
    <row r="157" spans="1:1" ht="27" customHeight="1" x14ac:dyDescent="0.25">
      <c r="A157" s="426"/>
    </row>
    <row r="158" spans="1:1" ht="27" customHeight="1" x14ac:dyDescent="0.25">
      <c r="A158" s="426"/>
    </row>
    <row r="159" spans="1:1" x14ac:dyDescent="0.25">
      <c r="A159" s="426"/>
    </row>
    <row r="160" spans="1:1" ht="27" customHeight="1" x14ac:dyDescent="0.25">
      <c r="A160" s="426"/>
    </row>
    <row r="161" spans="1:8" ht="27" customHeight="1" x14ac:dyDescent="0.25">
      <c r="A161" s="426"/>
    </row>
    <row r="162" spans="1:8" ht="27" customHeight="1" x14ac:dyDescent="0.25">
      <c r="A162" s="426"/>
    </row>
    <row r="163" spans="1:8" ht="27" customHeight="1" x14ac:dyDescent="0.25">
      <c r="A163" s="426"/>
    </row>
    <row r="164" spans="1:8" x14ac:dyDescent="0.25">
      <c r="A164" s="396"/>
      <c r="H164" s="541"/>
    </row>
    <row r="165" spans="1:8" x14ac:dyDescent="0.25">
      <c r="A165" s="542" t="s">
        <v>3478</v>
      </c>
    </row>
    <row r="166" spans="1:8" x14ac:dyDescent="0.25">
      <c r="A166" s="481"/>
      <c r="H166" s="540"/>
    </row>
    <row r="167" spans="1:8" x14ac:dyDescent="0.25">
      <c r="A167" s="426"/>
    </row>
    <row r="168" spans="1:8" x14ac:dyDescent="0.25">
      <c r="A168" s="426"/>
    </row>
    <row r="169" spans="1:8" x14ac:dyDescent="0.25">
      <c r="A169" s="426"/>
    </row>
    <row r="170" spans="1:8" x14ac:dyDescent="0.25">
      <c r="A170" s="426"/>
    </row>
    <row r="171" spans="1:8" x14ac:dyDescent="0.25">
      <c r="A171" s="426"/>
    </row>
    <row r="172" spans="1:8" x14ac:dyDescent="0.25">
      <c r="A172" s="426"/>
    </row>
    <row r="173" spans="1:8" x14ac:dyDescent="0.25">
      <c r="A173" s="426"/>
    </row>
    <row r="174" spans="1:8" x14ac:dyDescent="0.25">
      <c r="A174" s="426"/>
    </row>
    <row r="175" spans="1:8" x14ac:dyDescent="0.25">
      <c r="A175" s="426"/>
    </row>
    <row r="176" spans="1:8" hidden="1" x14ac:dyDescent="0.25">
      <c r="A176" s="426"/>
    </row>
    <row r="177" spans="1:1" hidden="1" x14ac:dyDescent="0.25">
      <c r="A177" s="426"/>
    </row>
    <row r="178" spans="1:1" hidden="1" x14ac:dyDescent="0.25">
      <c r="A178" s="426"/>
    </row>
    <row r="179" spans="1:1" x14ac:dyDescent="0.25">
      <c r="A179" s="426"/>
    </row>
    <row r="180" spans="1:1" x14ac:dyDescent="0.25">
      <c r="A180" s="426"/>
    </row>
    <row r="181" spans="1:1" x14ac:dyDescent="0.25">
      <c r="A181" s="426"/>
    </row>
    <row r="182" spans="1:1" x14ac:dyDescent="0.25">
      <c r="A182" s="426"/>
    </row>
  </sheetData>
  <sortState ref="B6:G16">
    <sortCondition ref="G6:G16"/>
  </sortState>
  <mergeCells count="7">
    <mergeCell ref="B35:G35"/>
    <mergeCell ref="A1:G1"/>
    <mergeCell ref="B2:G2"/>
    <mergeCell ref="A3:G3"/>
    <mergeCell ref="B4:F4"/>
    <mergeCell ref="B33:G33"/>
    <mergeCell ref="B34:G34"/>
  </mergeCells>
  <pageMargins left="0.25" right="0.25" top="0.75" bottom="0.75" header="0.3" footer="0.3"/>
  <pageSetup paperSize="9" scale="16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30"/>
  <sheetViews>
    <sheetView zoomScale="70" zoomScaleNormal="70" workbookViewId="0">
      <selection activeCell="A4" sqref="A4:XFD4"/>
    </sheetView>
  </sheetViews>
  <sheetFormatPr defaultColWidth="9.140625" defaultRowHeight="15" x14ac:dyDescent="0.25"/>
  <cols>
    <col min="1" max="1" width="11" style="271" customWidth="1"/>
    <col min="2" max="2" width="51.28515625" style="271" customWidth="1"/>
    <col min="3" max="3" width="8.42578125" style="271" customWidth="1"/>
    <col min="4" max="4" width="15" style="460" customWidth="1"/>
    <col min="5" max="5" width="12.85546875" style="271" customWidth="1"/>
    <col min="6" max="16384" width="9.140625" style="271"/>
  </cols>
  <sheetData>
    <row r="1" spans="1:5" x14ac:dyDescent="0.25">
      <c r="A1" s="698" t="s">
        <v>2655</v>
      </c>
      <c r="B1" s="698"/>
      <c r="C1" s="698"/>
      <c r="D1" s="698"/>
      <c r="E1" s="426"/>
    </row>
    <row r="2" spans="1:5" x14ac:dyDescent="0.25">
      <c r="A2" s="698" t="s">
        <v>1089</v>
      </c>
      <c r="B2" s="698"/>
      <c r="C2" s="698"/>
      <c r="D2" s="698"/>
      <c r="E2" s="426"/>
    </row>
    <row r="3" spans="1:5" x14ac:dyDescent="0.25">
      <c r="A3" s="699" t="s">
        <v>1097</v>
      </c>
      <c r="B3" s="699"/>
      <c r="C3" s="699"/>
      <c r="D3" s="699"/>
      <c r="E3" s="426"/>
    </row>
    <row r="4" spans="1:5" x14ac:dyDescent="0.25">
      <c r="A4" s="699" t="s">
        <v>3755</v>
      </c>
      <c r="B4" s="699"/>
      <c r="C4" s="699"/>
      <c r="D4" s="699"/>
      <c r="E4" s="699"/>
    </row>
    <row r="5" spans="1:5" x14ac:dyDescent="0.25">
      <c r="A5" s="271" t="s">
        <v>3324</v>
      </c>
    </row>
    <row r="6" spans="1:5" ht="33.75" customHeight="1" x14ac:dyDescent="0.25">
      <c r="A6" s="474" t="s">
        <v>1090</v>
      </c>
      <c r="B6" s="474" t="s">
        <v>1091</v>
      </c>
      <c r="C6" s="475" t="s">
        <v>1092</v>
      </c>
      <c r="D6" s="452" t="s">
        <v>1055</v>
      </c>
      <c r="E6" s="475" t="s">
        <v>1093</v>
      </c>
    </row>
    <row r="7" spans="1:5" x14ac:dyDescent="0.25">
      <c r="A7" s="409"/>
      <c r="B7" s="435" t="e">
        <f>VLOOKUP(A7,база!A:F,2,FALSE)</f>
        <v>#N/A</v>
      </c>
      <c r="C7" s="402" t="s">
        <v>1106</v>
      </c>
      <c r="D7" s="450"/>
      <c r="E7" s="435" t="e">
        <f>VLOOKUP(A7,база!A:F,5,FALSE)</f>
        <v>#N/A</v>
      </c>
    </row>
    <row r="8" spans="1:5" x14ac:dyDescent="0.25">
      <c r="A8" s="435"/>
      <c r="B8" s="435" t="s">
        <v>1058</v>
      </c>
      <c r="C8" s="402"/>
      <c r="D8" s="450">
        <f>SUM(D7:D7)</f>
        <v>0</v>
      </c>
      <c r="E8" s="435"/>
    </row>
    <row r="9" spans="1:5" x14ac:dyDescent="0.25">
      <c r="A9" s="527"/>
      <c r="B9" s="196"/>
      <c r="C9" s="528"/>
      <c r="D9" s="439"/>
      <c r="E9" s="426"/>
    </row>
    <row r="10" spans="1:5" x14ac:dyDescent="0.25">
      <c r="A10" s="437"/>
      <c r="B10" s="83" t="s">
        <v>150</v>
      </c>
      <c r="C10" s="84"/>
      <c r="D10" s="83" t="s">
        <v>1057</v>
      </c>
      <c r="E10" s="418"/>
    </row>
    <row r="11" spans="1:5" x14ac:dyDescent="0.25">
      <c r="A11" s="426"/>
      <c r="B11" s="426"/>
      <c r="C11" s="426"/>
      <c r="D11" s="439"/>
      <c r="E11" s="426"/>
    </row>
    <row r="12" spans="1:5" x14ac:dyDescent="0.25">
      <c r="A12" s="426"/>
      <c r="B12" s="426"/>
      <c r="C12" s="426"/>
      <c r="D12" s="439"/>
      <c r="E12" s="426"/>
    </row>
    <row r="13" spans="1:5" x14ac:dyDescent="0.25">
      <c r="A13" s="698" t="s">
        <v>2655</v>
      </c>
      <c r="B13" s="698"/>
      <c r="C13" s="698"/>
      <c r="D13" s="698"/>
      <c r="E13" s="426"/>
    </row>
    <row r="14" spans="1:5" x14ac:dyDescent="0.25">
      <c r="A14" s="698" t="s">
        <v>1089</v>
      </c>
      <c r="B14" s="698"/>
      <c r="C14" s="698"/>
      <c r="D14" s="698"/>
      <c r="E14" s="426"/>
    </row>
    <row r="15" spans="1:5" x14ac:dyDescent="0.25">
      <c r="A15" s="699" t="s">
        <v>1097</v>
      </c>
      <c r="B15" s="699"/>
      <c r="C15" s="699"/>
      <c r="D15" s="699"/>
      <c r="E15" s="426"/>
    </row>
    <row r="16" spans="1:5" x14ac:dyDescent="0.25">
      <c r="A16" s="699" t="s">
        <v>3755</v>
      </c>
      <c r="B16" s="699"/>
      <c r="C16" s="699"/>
      <c r="D16" s="699"/>
      <c r="E16" s="699"/>
    </row>
    <row r="18" spans="1:5" x14ac:dyDescent="0.25">
      <c r="A18" s="474" t="s">
        <v>1090</v>
      </c>
      <c r="B18" s="474" t="s">
        <v>1091</v>
      </c>
      <c r="C18" s="475" t="s">
        <v>1092</v>
      </c>
      <c r="D18" s="452" t="s">
        <v>1055</v>
      </c>
      <c r="E18" s="475" t="s">
        <v>1093</v>
      </c>
    </row>
    <row r="19" spans="1:5" x14ac:dyDescent="0.25">
      <c r="A19" s="409"/>
      <c r="B19" s="435" t="e">
        <f>VLOOKUP(A19,база!A:F,2,FALSE)</f>
        <v>#N/A</v>
      </c>
      <c r="C19" s="402" t="s">
        <v>1106</v>
      </c>
      <c r="D19" s="450"/>
      <c r="E19" s="435" t="e">
        <f>VLOOKUP(A19,база!A:F,5,FALSE)</f>
        <v>#N/A</v>
      </c>
    </row>
    <row r="20" spans="1:5" x14ac:dyDescent="0.25">
      <c r="A20" s="435"/>
      <c r="B20" s="435" t="s">
        <v>1058</v>
      </c>
      <c r="C20" s="402"/>
      <c r="D20" s="450">
        <f>SUM(D19:D19)</f>
        <v>0</v>
      </c>
      <c r="E20" s="435"/>
    </row>
    <row r="22" spans="1:5" x14ac:dyDescent="0.25">
      <c r="A22" s="437"/>
      <c r="B22" s="83" t="s">
        <v>150</v>
      </c>
      <c r="C22" s="84"/>
      <c r="D22" s="83" t="s">
        <v>1057</v>
      </c>
      <c r="E22" s="418"/>
    </row>
    <row r="24" spans="1:5" x14ac:dyDescent="0.25">
      <c r="C24" s="489" t="s">
        <v>1334</v>
      </c>
      <c r="D24" s="520">
        <f>D8</f>
        <v>0</v>
      </c>
    </row>
    <row r="25" spans="1:5" x14ac:dyDescent="0.25">
      <c r="C25" s="489" t="s">
        <v>1157</v>
      </c>
      <c r="D25" s="520">
        <f>D20</f>
        <v>0</v>
      </c>
    </row>
    <row r="26" spans="1:5" x14ac:dyDescent="0.25">
      <c r="C26" s="489" t="s">
        <v>1058</v>
      </c>
      <c r="D26" s="520">
        <f>SUM(D24:D25)</f>
        <v>0</v>
      </c>
    </row>
    <row r="30" spans="1:5" x14ac:dyDescent="0.25">
      <c r="D30" s="271"/>
    </row>
  </sheetData>
  <sortState ref="A7:E64">
    <sortCondition ref="E7:E64"/>
  </sortState>
  <mergeCells count="8">
    <mergeCell ref="A16:E16"/>
    <mergeCell ref="A14:D14"/>
    <mergeCell ref="A15:D15"/>
    <mergeCell ref="A1:D1"/>
    <mergeCell ref="A2:D2"/>
    <mergeCell ref="A3:D3"/>
    <mergeCell ref="A13:D13"/>
    <mergeCell ref="A4:E4"/>
  </mergeCells>
  <pageMargins left="0.25" right="0.25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F49"/>
  <sheetViews>
    <sheetView zoomScale="70" zoomScaleNormal="70" workbookViewId="0">
      <selection activeCell="A4" sqref="A4:XFD4"/>
    </sheetView>
  </sheetViews>
  <sheetFormatPr defaultColWidth="9.140625" defaultRowHeight="15" x14ac:dyDescent="0.25"/>
  <cols>
    <col min="1" max="1" width="12.5703125" style="170" customWidth="1"/>
    <col min="2" max="2" width="42" style="170" customWidth="1"/>
    <col min="3" max="3" width="10.42578125" style="170" customWidth="1"/>
    <col min="4" max="4" width="15.85546875" style="441" customWidth="1"/>
    <col min="5" max="5" width="12.85546875" style="170" customWidth="1"/>
    <col min="6" max="16384" width="9.140625" style="170"/>
  </cols>
  <sheetData>
    <row r="1" spans="1:5" x14ac:dyDescent="0.25">
      <c r="A1" s="697" t="s">
        <v>2655</v>
      </c>
      <c r="B1" s="697"/>
      <c r="C1" s="697"/>
      <c r="D1" s="697"/>
      <c r="E1" s="40"/>
    </row>
    <row r="2" spans="1:5" x14ac:dyDescent="0.25">
      <c r="A2" s="697" t="s">
        <v>1089</v>
      </c>
      <c r="B2" s="697"/>
      <c r="C2" s="697"/>
      <c r="D2" s="697"/>
      <c r="E2" s="40"/>
    </row>
    <row r="3" spans="1:5" x14ac:dyDescent="0.25">
      <c r="A3" s="696" t="s">
        <v>1097</v>
      </c>
      <c r="B3" s="696"/>
      <c r="C3" s="696"/>
      <c r="D3" s="696"/>
      <c r="E3" s="40"/>
    </row>
    <row r="4" spans="1:5" s="271" customFormat="1" x14ac:dyDescent="0.25">
      <c r="A4" s="699" t="s">
        <v>3755</v>
      </c>
      <c r="B4" s="699"/>
      <c r="C4" s="699"/>
      <c r="D4" s="699"/>
      <c r="E4" s="699"/>
    </row>
    <row r="6" spans="1:5" x14ac:dyDescent="0.25">
      <c r="A6" s="521" t="s">
        <v>1090</v>
      </c>
      <c r="B6" s="521" t="s">
        <v>1091</v>
      </c>
      <c r="C6" s="522" t="s">
        <v>1092</v>
      </c>
      <c r="D6" s="523" t="s">
        <v>1055</v>
      </c>
      <c r="E6" s="522" t="s">
        <v>1093</v>
      </c>
    </row>
    <row r="7" spans="1:5" x14ac:dyDescent="0.25">
      <c r="A7" s="400"/>
      <c r="B7" s="524"/>
      <c r="C7" s="525" t="s">
        <v>1107</v>
      </c>
      <c r="D7" s="403">
        <v>6500</v>
      </c>
      <c r="E7" s="524" t="e">
        <f>VLOOKUP(A7,база!A:F,5,FALSE)</f>
        <v>#N/A</v>
      </c>
    </row>
    <row r="8" spans="1:5" ht="14.45" customHeight="1" x14ac:dyDescent="0.25">
      <c r="A8" s="524"/>
      <c r="B8" s="524" t="s">
        <v>1058</v>
      </c>
      <c r="C8" s="525"/>
      <c r="D8" s="403">
        <f>SUM(D7:D7)</f>
        <v>6500</v>
      </c>
      <c r="E8" s="524"/>
    </row>
    <row r="10" spans="1:5" x14ac:dyDescent="0.25">
      <c r="A10" s="421"/>
      <c r="B10" s="66"/>
      <c r="C10" s="483"/>
      <c r="D10" s="482"/>
      <c r="E10" s="40"/>
    </row>
    <row r="11" spans="1:5" s="271" customFormat="1" x14ac:dyDescent="0.25">
      <c r="A11" s="437"/>
      <c r="B11" s="83" t="s">
        <v>150</v>
      </c>
      <c r="C11" s="84"/>
      <c r="D11" s="83" t="s">
        <v>1057</v>
      </c>
      <c r="E11" s="418"/>
    </row>
    <row r="12" spans="1:5" x14ac:dyDescent="0.25">
      <c r="A12" s="40"/>
      <c r="B12" s="40"/>
      <c r="C12" s="40"/>
      <c r="D12" s="422"/>
      <c r="E12" s="40"/>
    </row>
    <row r="13" spans="1:5" x14ac:dyDescent="0.25">
      <c r="A13" s="40"/>
      <c r="B13" s="40"/>
      <c r="C13" s="40"/>
      <c r="D13" s="422"/>
      <c r="E13" s="40"/>
    </row>
    <row r="14" spans="1:5" x14ac:dyDescent="0.25">
      <c r="A14" s="698" t="s">
        <v>2655</v>
      </c>
      <c r="B14" s="698"/>
      <c r="C14" s="698"/>
      <c r="D14" s="698"/>
      <c r="E14" s="426"/>
    </row>
    <row r="15" spans="1:5" x14ac:dyDescent="0.25">
      <c r="A15" s="698" t="s">
        <v>1089</v>
      </c>
      <c r="B15" s="698"/>
      <c r="C15" s="698"/>
      <c r="D15" s="698"/>
      <c r="E15" s="426"/>
    </row>
    <row r="16" spans="1:5" x14ac:dyDescent="0.25">
      <c r="A16" s="699" t="s">
        <v>1097</v>
      </c>
      <c r="B16" s="699"/>
      <c r="C16" s="699"/>
      <c r="D16" s="699"/>
      <c r="E16" s="426"/>
    </row>
    <row r="17" spans="1:5" s="271" customFormat="1" x14ac:dyDescent="0.25">
      <c r="A17" s="699" t="s">
        <v>3755</v>
      </c>
      <c r="B17" s="699"/>
      <c r="C17" s="699"/>
      <c r="D17" s="699"/>
      <c r="E17" s="699"/>
    </row>
    <row r="18" spans="1:5" x14ac:dyDescent="0.25">
      <c r="A18" s="214"/>
      <c r="B18" s="214"/>
      <c r="C18" s="214"/>
      <c r="D18" s="215"/>
      <c r="E18" s="214"/>
    </row>
    <row r="19" spans="1:5" x14ac:dyDescent="0.25">
      <c r="A19" s="474" t="s">
        <v>1090</v>
      </c>
      <c r="B19" s="474" t="s">
        <v>1091</v>
      </c>
      <c r="C19" s="475" t="s">
        <v>1092</v>
      </c>
      <c r="D19" s="452" t="s">
        <v>1055</v>
      </c>
      <c r="E19" s="475" t="s">
        <v>1093</v>
      </c>
    </row>
    <row r="20" spans="1:5" x14ac:dyDescent="0.25">
      <c r="A20" s="200"/>
      <c r="B20" s="524" t="e">
        <f>VLOOKUP(A20,база!A:F,2,FALSE)</f>
        <v>#N/A</v>
      </c>
      <c r="C20" s="525" t="s">
        <v>1107</v>
      </c>
      <c r="D20" s="403"/>
      <c r="E20" s="524" t="e">
        <f>VLOOKUP(A20,база!A:F,5,FALSE)</f>
        <v>#N/A</v>
      </c>
    </row>
    <row r="21" spans="1:5" x14ac:dyDescent="0.25">
      <c r="A21" s="435"/>
      <c r="B21" s="435" t="s">
        <v>1058</v>
      </c>
      <c r="C21" s="402"/>
      <c r="D21" s="403">
        <f>SUM(D20:D20)</f>
        <v>0</v>
      </c>
      <c r="E21" s="435"/>
    </row>
    <row r="22" spans="1:5" x14ac:dyDescent="0.25">
      <c r="A22" s="214"/>
      <c r="B22" s="214"/>
      <c r="C22" s="214"/>
      <c r="D22" s="215"/>
      <c r="E22" s="214"/>
    </row>
    <row r="23" spans="1:5" x14ac:dyDescent="0.25">
      <c r="A23" s="437"/>
      <c r="B23" s="66"/>
      <c r="C23" s="483"/>
      <c r="D23" s="526"/>
      <c r="E23" s="426"/>
    </row>
    <row r="24" spans="1:5" ht="15" customHeight="1" x14ac:dyDescent="0.25">
      <c r="A24" s="437"/>
      <c r="B24" s="216"/>
      <c r="C24" s="489"/>
      <c r="D24" s="520"/>
      <c r="E24" s="426"/>
    </row>
    <row r="25" spans="1:5" s="271" customFormat="1" x14ac:dyDescent="0.25">
      <c r="A25" s="437"/>
      <c r="B25" s="83" t="s">
        <v>150</v>
      </c>
      <c r="C25" s="84"/>
      <c r="D25" s="83" t="s">
        <v>1057</v>
      </c>
      <c r="E25" s="418"/>
    </row>
    <row r="26" spans="1:5" x14ac:dyDescent="0.25">
      <c r="A26" s="426"/>
      <c r="B26" s="426"/>
      <c r="C26" s="426"/>
      <c r="D26" s="439"/>
      <c r="E26" s="426"/>
    </row>
    <row r="27" spans="1:5" x14ac:dyDescent="0.25">
      <c r="A27" s="40"/>
      <c r="B27" s="40"/>
      <c r="C27" s="40"/>
      <c r="D27" s="422"/>
      <c r="E27" s="40"/>
    </row>
    <row r="29" spans="1:5" x14ac:dyDescent="0.25">
      <c r="C29" s="489" t="s">
        <v>1334</v>
      </c>
      <c r="D29" s="520">
        <f>D8</f>
        <v>6500</v>
      </c>
    </row>
    <row r="30" spans="1:5" x14ac:dyDescent="0.25">
      <c r="C30" s="489" t="s">
        <v>1157</v>
      </c>
      <c r="D30" s="520">
        <f>D21</f>
        <v>0</v>
      </c>
    </row>
    <row r="31" spans="1:5" x14ac:dyDescent="0.25">
      <c r="C31" s="489" t="s">
        <v>1058</v>
      </c>
      <c r="D31" s="520">
        <f>SUM(D29:D30)</f>
        <v>6500</v>
      </c>
    </row>
    <row r="49" spans="6:6" x14ac:dyDescent="0.25">
      <c r="F49" s="40"/>
    </row>
  </sheetData>
  <sortState ref="A9:E10">
    <sortCondition ref="A8"/>
  </sortState>
  <mergeCells count="8">
    <mergeCell ref="A15:D15"/>
    <mergeCell ref="A16:D16"/>
    <mergeCell ref="A17:E17"/>
    <mergeCell ref="A4:E4"/>
    <mergeCell ref="A1:D1"/>
    <mergeCell ref="A2:D2"/>
    <mergeCell ref="A3:D3"/>
    <mergeCell ref="A14:D14"/>
  </mergeCells>
  <pageMargins left="0.25" right="0.25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pageSetUpPr fitToPage="1"/>
  </sheetPr>
  <dimension ref="A1:H38"/>
  <sheetViews>
    <sheetView zoomScale="80" zoomScaleNormal="80" workbookViewId="0">
      <selection activeCell="A17" sqref="A17:XFD17"/>
    </sheetView>
  </sheetViews>
  <sheetFormatPr defaultColWidth="9.140625" defaultRowHeight="15" x14ac:dyDescent="0.25"/>
  <cols>
    <col min="1" max="1" width="10.140625" style="170" customWidth="1"/>
    <col min="2" max="2" width="42.140625" style="170" customWidth="1"/>
    <col min="3" max="3" width="9.140625" style="170"/>
    <col min="4" max="4" width="14" style="170" customWidth="1"/>
    <col min="5" max="7" width="12.140625" style="170" customWidth="1"/>
    <col min="8" max="16384" width="9.140625" style="170"/>
  </cols>
  <sheetData>
    <row r="1" spans="1:6" x14ac:dyDescent="0.25">
      <c r="A1" s="698" t="s">
        <v>2655</v>
      </c>
      <c r="B1" s="698"/>
      <c r="C1" s="698"/>
      <c r="D1" s="698"/>
      <c r="E1" s="698"/>
      <c r="F1" s="40"/>
    </row>
    <row r="2" spans="1:6" x14ac:dyDescent="0.25">
      <c r="A2" s="698" t="s">
        <v>1089</v>
      </c>
      <c r="B2" s="698"/>
      <c r="C2" s="698"/>
      <c r="D2" s="698"/>
      <c r="E2" s="698"/>
      <c r="F2" s="40"/>
    </row>
    <row r="3" spans="1:6" s="271" customFormat="1" x14ac:dyDescent="0.25">
      <c r="A3" s="699" t="s">
        <v>3755</v>
      </c>
      <c r="B3" s="699"/>
      <c r="C3" s="699"/>
      <c r="D3" s="699"/>
      <c r="E3" s="699"/>
    </row>
    <row r="4" spans="1:6" x14ac:dyDescent="0.25">
      <c r="A4" s="510"/>
      <c r="B4" s="510"/>
      <c r="C4" s="510"/>
      <c r="D4" s="510"/>
      <c r="E4" s="510"/>
      <c r="F4" s="40"/>
    </row>
    <row r="5" spans="1:6" x14ac:dyDescent="0.25">
      <c r="A5" s="706" t="s">
        <v>2847</v>
      </c>
      <c r="B5" s="706"/>
      <c r="C5" s="706"/>
      <c r="D5" s="706"/>
      <c r="E5" s="706"/>
      <c r="F5" s="40"/>
    </row>
    <row r="6" spans="1:6" x14ac:dyDescent="0.25">
      <c r="A6" s="706" t="s">
        <v>2848</v>
      </c>
      <c r="B6" s="706"/>
      <c r="C6" s="706"/>
      <c r="D6" s="706"/>
      <c r="E6" s="706"/>
      <c r="F6" s="40"/>
    </row>
    <row r="7" spans="1:6" x14ac:dyDescent="0.25">
      <c r="A7" s="428"/>
      <c r="B7" s="428"/>
      <c r="C7" s="428"/>
      <c r="D7" s="428"/>
      <c r="E7" s="426"/>
      <c r="F7" s="40"/>
    </row>
    <row r="8" spans="1:6" x14ac:dyDescent="0.25">
      <c r="A8" s="474" t="s">
        <v>1090</v>
      </c>
      <c r="B8" s="474" t="s">
        <v>1091</v>
      </c>
      <c r="C8" s="475" t="s">
        <v>1092</v>
      </c>
      <c r="D8" s="402" t="s">
        <v>1055</v>
      </c>
      <c r="E8" s="475" t="s">
        <v>1093</v>
      </c>
      <c r="F8" s="40"/>
    </row>
    <row r="9" spans="1:6" s="518" customFormat="1" ht="14.25" x14ac:dyDescent="0.2">
      <c r="A9" s="517"/>
      <c r="B9" s="435" t="e">
        <f>VLOOKUP(A9,база!A:F,2,FALSE)</f>
        <v>#N/A</v>
      </c>
      <c r="C9" s="402" t="s">
        <v>2866</v>
      </c>
      <c r="D9" s="450"/>
      <c r="E9" s="435" t="e">
        <f>VLOOKUP(A9,база!A:F,5,FALSE)</f>
        <v>#N/A</v>
      </c>
      <c r="F9" s="428"/>
    </row>
    <row r="10" spans="1:6" s="518" customFormat="1" ht="14.25" x14ac:dyDescent="0.2">
      <c r="A10" s="435"/>
      <c r="B10" s="435" t="s">
        <v>1058</v>
      </c>
      <c r="C10" s="402"/>
      <c r="D10" s="450">
        <f>SUM(D9:D9)</f>
        <v>0</v>
      </c>
      <c r="E10" s="435"/>
      <c r="F10" s="428"/>
    </row>
    <row r="11" spans="1:6" x14ac:dyDescent="0.25">
      <c r="A11" s="271"/>
      <c r="B11" s="271"/>
      <c r="C11" s="271"/>
      <c r="D11" s="271"/>
      <c r="E11" s="271"/>
    </row>
    <row r="12" spans="1:6" x14ac:dyDescent="0.25">
      <c r="A12" s="271"/>
      <c r="B12" s="271"/>
      <c r="C12" s="271"/>
      <c r="D12" s="271"/>
      <c r="E12" s="271"/>
    </row>
    <row r="13" spans="1:6" s="271" customFormat="1" x14ac:dyDescent="0.25">
      <c r="A13" s="437"/>
      <c r="B13" s="83" t="s">
        <v>150</v>
      </c>
      <c r="C13" s="84"/>
      <c r="D13" s="83" t="s">
        <v>1057</v>
      </c>
      <c r="E13" s="418"/>
    </row>
    <row r="14" spans="1:6" x14ac:dyDescent="0.25">
      <c r="A14" s="40"/>
      <c r="B14" s="40"/>
      <c r="C14" s="40"/>
      <c r="D14" s="40"/>
      <c r="E14" s="512"/>
    </row>
    <row r="15" spans="1:6" x14ac:dyDescent="0.25">
      <c r="A15" s="698" t="s">
        <v>2655</v>
      </c>
      <c r="B15" s="698"/>
      <c r="C15" s="698"/>
      <c r="D15" s="698"/>
      <c r="E15" s="698"/>
    </row>
    <row r="16" spans="1:6" x14ac:dyDescent="0.25">
      <c r="A16" s="698" t="s">
        <v>1089</v>
      </c>
      <c r="B16" s="698"/>
      <c r="C16" s="698"/>
      <c r="D16" s="698"/>
      <c r="E16" s="698"/>
    </row>
    <row r="17" spans="1:8" s="271" customFormat="1" x14ac:dyDescent="0.25">
      <c r="A17" s="699" t="s">
        <v>3755</v>
      </c>
      <c r="B17" s="699"/>
      <c r="C17" s="699"/>
      <c r="D17" s="699"/>
      <c r="E17" s="699"/>
    </row>
    <row r="18" spans="1:8" x14ac:dyDescent="0.25">
      <c r="A18" s="510"/>
      <c r="B18" s="510"/>
      <c r="C18" s="510"/>
      <c r="D18" s="510"/>
      <c r="E18" s="510"/>
    </row>
    <row r="19" spans="1:8" x14ac:dyDescent="0.25">
      <c r="A19" s="706" t="s">
        <v>2847</v>
      </c>
      <c r="B19" s="706"/>
      <c r="C19" s="706"/>
      <c r="D19" s="706"/>
      <c r="E19" s="706"/>
    </row>
    <row r="20" spans="1:8" x14ac:dyDescent="0.25">
      <c r="A20" s="706" t="s">
        <v>2848</v>
      </c>
      <c r="B20" s="706"/>
      <c r="C20" s="706"/>
      <c r="D20" s="706"/>
      <c r="E20" s="706"/>
    </row>
    <row r="21" spans="1:8" x14ac:dyDescent="0.25">
      <c r="A21" s="428"/>
      <c r="B21" s="428"/>
      <c r="C21" s="428"/>
      <c r="D21" s="428"/>
      <c r="E21" s="426"/>
    </row>
    <row r="22" spans="1:8" x14ac:dyDescent="0.25">
      <c r="A22" s="474" t="s">
        <v>1090</v>
      </c>
      <c r="B22" s="474" t="s">
        <v>1091</v>
      </c>
      <c r="C22" s="475" t="s">
        <v>1092</v>
      </c>
      <c r="D22" s="402" t="s">
        <v>1055</v>
      </c>
      <c r="E22" s="475" t="s">
        <v>1093</v>
      </c>
    </row>
    <row r="23" spans="1:8" s="113" customFormat="1" x14ac:dyDescent="0.25">
      <c r="A23" s="462"/>
      <c r="B23" s="435" t="e">
        <f>VLOOKUP(A23,база!A:F,2,FALSE)</f>
        <v>#N/A</v>
      </c>
      <c r="C23" s="402" t="s">
        <v>2866</v>
      </c>
      <c r="D23" s="519"/>
      <c r="E23" s="435" t="e">
        <f>VLOOKUP(A23,база!A:F,5,FALSE)</f>
        <v>#N/A</v>
      </c>
    </row>
    <row r="24" spans="1:8" x14ac:dyDescent="0.25">
      <c r="A24" s="435"/>
      <c r="B24" s="435" t="s">
        <v>1058</v>
      </c>
      <c r="C24" s="402"/>
      <c r="D24" s="519">
        <f>SUM(D23)</f>
        <v>0</v>
      </c>
      <c r="E24" s="435"/>
    </row>
    <row r="25" spans="1:8" x14ac:dyDescent="0.25">
      <c r="F25" s="40"/>
    </row>
    <row r="26" spans="1:8" x14ac:dyDescent="0.25">
      <c r="F26" s="40"/>
    </row>
    <row r="27" spans="1:8" s="271" customFormat="1" x14ac:dyDescent="0.25">
      <c r="A27" s="437"/>
      <c r="B27" s="83" t="s">
        <v>150</v>
      </c>
      <c r="C27" s="84"/>
      <c r="D27" s="83" t="s">
        <v>1057</v>
      </c>
      <c r="E27" s="418"/>
    </row>
    <row r="28" spans="1:8" x14ac:dyDescent="0.25">
      <c r="F28" s="513"/>
      <c r="G28" s="514"/>
      <c r="H28" s="512"/>
    </row>
    <row r="29" spans="1:8" x14ac:dyDescent="0.25">
      <c r="D29" s="489" t="s">
        <v>1334</v>
      </c>
      <c r="E29" s="520">
        <f>D10</f>
        <v>0</v>
      </c>
      <c r="F29" s="513"/>
      <c r="G29" s="514"/>
      <c r="H29" s="512"/>
    </row>
    <row r="30" spans="1:8" x14ac:dyDescent="0.25">
      <c r="D30" s="489" t="s">
        <v>1157</v>
      </c>
      <c r="E30" s="520">
        <f>D24</f>
        <v>0</v>
      </c>
      <c r="F30" s="40"/>
      <c r="G30" s="514"/>
      <c r="H30" s="512"/>
    </row>
    <row r="31" spans="1:8" x14ac:dyDescent="0.25">
      <c r="D31" s="489" t="s">
        <v>1058</v>
      </c>
      <c r="E31" s="520">
        <f>SUM(E29:E30)</f>
        <v>0</v>
      </c>
      <c r="F31" s="40"/>
      <c r="G31" s="514"/>
      <c r="H31" s="512"/>
    </row>
    <row r="32" spans="1:8" x14ac:dyDescent="0.25">
      <c r="F32" s="513"/>
      <c r="G32" s="516"/>
      <c r="H32" s="512"/>
    </row>
    <row r="33" spans="6:6" x14ac:dyDescent="0.25">
      <c r="F33" s="40"/>
    </row>
    <row r="34" spans="6:6" x14ac:dyDescent="0.25">
      <c r="F34" s="40"/>
    </row>
    <row r="35" spans="6:6" x14ac:dyDescent="0.25">
      <c r="F35" s="40"/>
    </row>
    <row r="36" spans="6:6" x14ac:dyDescent="0.25">
      <c r="F36" s="40"/>
    </row>
    <row r="37" spans="6:6" x14ac:dyDescent="0.25">
      <c r="F37" s="40"/>
    </row>
    <row r="38" spans="6:6" x14ac:dyDescent="0.25">
      <c r="F38" s="40"/>
    </row>
  </sheetData>
  <sortState ref="A9:E11">
    <sortCondition ref="A8"/>
  </sortState>
  <mergeCells count="10">
    <mergeCell ref="A15:E15"/>
    <mergeCell ref="A16:E16"/>
    <mergeCell ref="A19:E19"/>
    <mergeCell ref="A20:E20"/>
    <mergeCell ref="A17:E17"/>
    <mergeCell ref="A1:E1"/>
    <mergeCell ref="A2:E2"/>
    <mergeCell ref="A5:E5"/>
    <mergeCell ref="A6:E6"/>
    <mergeCell ref="A3:E3"/>
  </mergeCells>
  <pageMargins left="0.7" right="0.7" top="0.75" bottom="0.75" header="0.3" footer="0.3"/>
  <pageSetup paperSize="9" scale="9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H22"/>
  <sheetViews>
    <sheetView zoomScale="80" zoomScaleNormal="80" workbookViewId="0">
      <selection activeCell="A3" sqref="A3:XFD3"/>
    </sheetView>
  </sheetViews>
  <sheetFormatPr defaultColWidth="8.85546875" defaultRowHeight="15" x14ac:dyDescent="0.25"/>
  <cols>
    <col min="1" max="1" width="10.42578125" style="170" customWidth="1"/>
    <col min="2" max="2" width="37.85546875" style="170" customWidth="1"/>
    <col min="3" max="3" width="8.85546875" style="170"/>
    <col min="4" max="4" width="14" style="170" customWidth="1"/>
    <col min="5" max="5" width="12.7109375" style="170" customWidth="1"/>
    <col min="6" max="6" width="0.28515625" style="170" customWidth="1"/>
    <col min="7" max="16384" width="8.85546875" style="170"/>
  </cols>
  <sheetData>
    <row r="1" spans="1:8" x14ac:dyDescent="0.25">
      <c r="A1" s="698" t="s">
        <v>2655</v>
      </c>
      <c r="B1" s="698"/>
      <c r="C1" s="698"/>
      <c r="D1" s="698"/>
      <c r="E1" s="698"/>
      <c r="F1" s="40"/>
    </row>
    <row r="2" spans="1:8" x14ac:dyDescent="0.25">
      <c r="A2" s="698" t="s">
        <v>1089</v>
      </c>
      <c r="B2" s="698"/>
      <c r="C2" s="698"/>
      <c r="D2" s="698"/>
      <c r="E2" s="698"/>
      <c r="F2" s="40"/>
    </row>
    <row r="3" spans="1:8" s="271" customFormat="1" x14ac:dyDescent="0.25">
      <c r="A3" s="699" t="s">
        <v>3755</v>
      </c>
      <c r="B3" s="699"/>
      <c r="C3" s="699"/>
      <c r="D3" s="699"/>
      <c r="E3" s="699"/>
    </row>
    <row r="4" spans="1:8" x14ac:dyDescent="0.25">
      <c r="A4" s="510"/>
      <c r="B4" s="510"/>
      <c r="C4" s="510"/>
      <c r="D4" s="510"/>
      <c r="E4" s="510"/>
      <c r="F4" s="40"/>
    </row>
    <row r="5" spans="1:8" x14ac:dyDescent="0.25">
      <c r="A5" s="706" t="s">
        <v>1094</v>
      </c>
      <c r="B5" s="706"/>
      <c r="C5" s="706"/>
      <c r="D5" s="706"/>
      <c r="E5" s="706"/>
      <c r="F5" s="40"/>
    </row>
    <row r="6" spans="1:8" x14ac:dyDescent="0.25">
      <c r="A6" s="706" t="s">
        <v>1095</v>
      </c>
      <c r="B6" s="706"/>
      <c r="C6" s="706"/>
      <c r="D6" s="706"/>
      <c r="E6" s="706"/>
      <c r="F6" s="40"/>
    </row>
    <row r="7" spans="1:8" x14ac:dyDescent="0.25">
      <c r="A7" s="428"/>
      <c r="B7" s="428"/>
      <c r="C7" s="428"/>
      <c r="D7" s="428"/>
      <c r="E7" s="426"/>
      <c r="F7" s="40"/>
    </row>
    <row r="8" spans="1:8" x14ac:dyDescent="0.25">
      <c r="A8" s="474" t="s">
        <v>1090</v>
      </c>
      <c r="B8" s="474" t="s">
        <v>1091</v>
      </c>
      <c r="C8" s="475" t="s">
        <v>1092</v>
      </c>
      <c r="D8" s="402" t="s">
        <v>1055</v>
      </c>
      <c r="E8" s="475" t="s">
        <v>1093</v>
      </c>
      <c r="F8" s="40"/>
    </row>
    <row r="9" spans="1:8" s="511" customFormat="1" x14ac:dyDescent="0.2">
      <c r="A9" s="558"/>
      <c r="B9" s="558" t="e">
        <f>VLOOKUP(A9,база!A:F,2,FALSE)</f>
        <v>#N/A</v>
      </c>
      <c r="C9" s="558" t="s">
        <v>1096</v>
      </c>
      <c r="D9" s="605"/>
      <c r="E9" s="558" t="e">
        <f>VLOOKUP(A9,база!A:F,5,FALSE)</f>
        <v>#N/A</v>
      </c>
      <c r="F9" s="495"/>
    </row>
    <row r="10" spans="1:8" x14ac:dyDescent="0.25">
      <c r="A10" s="435"/>
      <c r="B10" s="435" t="s">
        <v>1058</v>
      </c>
      <c r="C10" s="402"/>
      <c r="D10" s="450">
        <f>SUM(D9:D9)</f>
        <v>0</v>
      </c>
      <c r="E10" s="435"/>
    </row>
    <row r="11" spans="1:8" x14ac:dyDescent="0.25">
      <c r="A11" s="271"/>
      <c r="B11" s="271"/>
      <c r="C11" s="271"/>
      <c r="D11" s="271"/>
      <c r="E11" s="271"/>
    </row>
    <row r="12" spans="1:8" x14ac:dyDescent="0.25">
      <c r="A12" s="271"/>
      <c r="B12" s="271"/>
      <c r="C12" s="271"/>
      <c r="D12" s="271"/>
      <c r="E12" s="271"/>
    </row>
    <row r="13" spans="1:8" x14ac:dyDescent="0.25">
      <c r="A13" s="271"/>
      <c r="B13" s="271"/>
      <c r="C13" s="271"/>
      <c r="D13" s="271"/>
      <c r="E13" s="271"/>
      <c r="F13" s="40"/>
    </row>
    <row r="14" spans="1:8" s="271" customFormat="1" x14ac:dyDescent="0.25">
      <c r="A14" s="437"/>
      <c r="B14" s="83" t="s">
        <v>150</v>
      </c>
      <c r="C14" s="84"/>
      <c r="D14" s="83" t="s">
        <v>1057</v>
      </c>
      <c r="E14" s="418"/>
    </row>
    <row r="15" spans="1:8" x14ac:dyDescent="0.25">
      <c r="A15" s="40"/>
      <c r="B15" s="40"/>
      <c r="C15" s="40"/>
      <c r="D15" s="40"/>
      <c r="E15" s="512"/>
      <c r="F15" s="40"/>
    </row>
    <row r="16" spans="1:8" x14ac:dyDescent="0.25">
      <c r="A16" s="40"/>
      <c r="B16" s="40"/>
      <c r="C16" s="40"/>
      <c r="D16" s="40"/>
      <c r="E16" s="512"/>
      <c r="F16" s="513"/>
      <c r="G16" s="514"/>
      <c r="H16" s="512"/>
    </row>
    <row r="17" spans="1:8" x14ac:dyDescent="0.25">
      <c r="A17" s="515"/>
      <c r="B17" s="515"/>
      <c r="C17" s="514"/>
      <c r="D17" s="85"/>
      <c r="E17" s="512"/>
      <c r="F17" s="513"/>
      <c r="G17" s="514"/>
      <c r="H17" s="512"/>
    </row>
    <row r="18" spans="1:8" x14ac:dyDescent="0.25">
      <c r="A18" s="515"/>
      <c r="B18" s="515"/>
      <c r="C18" s="514"/>
      <c r="D18" s="85"/>
      <c r="E18" s="512"/>
      <c r="F18" s="513"/>
      <c r="G18" s="514"/>
      <c r="H18" s="512"/>
    </row>
    <row r="19" spans="1:8" x14ac:dyDescent="0.25">
      <c r="A19" s="40"/>
      <c r="B19" s="40"/>
      <c r="C19" s="40"/>
      <c r="D19" s="40"/>
      <c r="E19" s="512"/>
      <c r="F19" s="512"/>
      <c r="G19" s="514"/>
      <c r="H19" s="512"/>
    </row>
    <row r="20" spans="1:8" x14ac:dyDescent="0.25">
      <c r="A20" s="40"/>
      <c r="B20" s="40"/>
      <c r="C20" s="40"/>
      <c r="D20" s="40"/>
      <c r="E20" s="512"/>
      <c r="F20" s="512"/>
      <c r="G20" s="514"/>
      <c r="H20" s="512"/>
    </row>
    <row r="21" spans="1:8" x14ac:dyDescent="0.25">
      <c r="A21" s="40"/>
      <c r="B21" s="40"/>
      <c r="C21" s="40"/>
      <c r="D21" s="40"/>
      <c r="E21" s="40"/>
      <c r="F21" s="512"/>
      <c r="G21" s="516"/>
      <c r="H21" s="512"/>
    </row>
    <row r="22" spans="1:8" x14ac:dyDescent="0.25">
      <c r="A22" s="40"/>
      <c r="B22" s="40"/>
      <c r="C22" s="40"/>
      <c r="D22" s="40"/>
      <c r="E22" s="40"/>
    </row>
  </sheetData>
  <sortState ref="A9:E11">
    <sortCondition ref="A9"/>
  </sortState>
  <mergeCells count="5">
    <mergeCell ref="A1:E1"/>
    <mergeCell ref="A5:E5"/>
    <mergeCell ref="A6:E6"/>
    <mergeCell ref="A2:E2"/>
    <mergeCell ref="A3:E3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M47"/>
  <sheetViews>
    <sheetView zoomScale="80" zoomScaleNormal="80" workbookViewId="0">
      <selection activeCell="A20" sqref="A20:XFD20"/>
    </sheetView>
  </sheetViews>
  <sheetFormatPr defaultColWidth="9.140625" defaultRowHeight="15" x14ac:dyDescent="0.25"/>
  <cols>
    <col min="1" max="1" width="10.85546875" style="271" customWidth="1"/>
    <col min="2" max="2" width="40.140625" style="271" customWidth="1"/>
    <col min="3" max="3" width="9.42578125" style="271" customWidth="1"/>
    <col min="4" max="4" width="15" style="460" customWidth="1"/>
    <col min="5" max="5" width="15.28515625" style="271" customWidth="1"/>
    <col min="6" max="16384" width="9.140625" style="271"/>
  </cols>
  <sheetData>
    <row r="1" spans="1:5" x14ac:dyDescent="0.25">
      <c r="A1" s="698" t="s">
        <v>2655</v>
      </c>
      <c r="B1" s="698"/>
      <c r="C1" s="698"/>
      <c r="D1" s="698"/>
      <c r="E1" s="426"/>
    </row>
    <row r="2" spans="1:5" x14ac:dyDescent="0.25">
      <c r="A2" s="698" t="s">
        <v>1089</v>
      </c>
      <c r="B2" s="698"/>
      <c r="C2" s="698"/>
      <c r="D2" s="698"/>
      <c r="E2" s="426"/>
    </row>
    <row r="3" spans="1:5" x14ac:dyDescent="0.25">
      <c r="A3" s="699" t="s">
        <v>1097</v>
      </c>
      <c r="B3" s="699"/>
      <c r="C3" s="699"/>
      <c r="D3" s="699"/>
      <c r="E3" s="426"/>
    </row>
    <row r="4" spans="1:5" x14ac:dyDescent="0.25">
      <c r="A4" s="699" t="s">
        <v>3755</v>
      </c>
      <c r="B4" s="699"/>
      <c r="C4" s="699"/>
      <c r="D4" s="699"/>
      <c r="E4" s="699"/>
    </row>
    <row r="6" spans="1:5" x14ac:dyDescent="0.25">
      <c r="A6" s="474" t="s">
        <v>1090</v>
      </c>
      <c r="B6" s="474" t="s">
        <v>1091</v>
      </c>
      <c r="C6" s="475" t="s">
        <v>1092</v>
      </c>
      <c r="D6" s="452" t="s">
        <v>1055</v>
      </c>
      <c r="E6" s="475" t="s">
        <v>1093</v>
      </c>
    </row>
    <row r="7" spans="1:5" x14ac:dyDescent="0.25">
      <c r="A7" s="409"/>
      <c r="B7" s="435" t="e">
        <f>VLOOKUP(A7,база!A:F,2,FALSE)</f>
        <v>#N/A</v>
      </c>
      <c r="C7" s="402" t="s">
        <v>1098</v>
      </c>
      <c r="D7" s="403"/>
      <c r="E7" s="435" t="e">
        <f>VLOOKUP(A7,база!A:F,5,FALSE)</f>
        <v>#N/A</v>
      </c>
    </row>
    <row r="8" spans="1:5" x14ac:dyDescent="0.25">
      <c r="A8" s="435"/>
      <c r="B8" s="435" t="s">
        <v>1058</v>
      </c>
      <c r="C8" s="402"/>
      <c r="D8" s="450">
        <f>SUM(D7:D7)</f>
        <v>0</v>
      </c>
      <c r="E8" s="435"/>
    </row>
    <row r="10" spans="1:5" x14ac:dyDescent="0.25">
      <c r="A10" s="437"/>
      <c r="B10" s="83" t="s">
        <v>150</v>
      </c>
      <c r="C10" s="84"/>
      <c r="D10" s="83" t="s">
        <v>1057</v>
      </c>
      <c r="E10" s="418"/>
    </row>
    <row r="11" spans="1:5" x14ac:dyDescent="0.25">
      <c r="A11" s="426"/>
      <c r="B11" s="426"/>
      <c r="C11" s="426"/>
      <c r="D11" s="439"/>
      <c r="E11" s="426"/>
    </row>
    <row r="12" spans="1:5" x14ac:dyDescent="0.25">
      <c r="A12" s="426"/>
      <c r="B12" s="426"/>
      <c r="C12" s="426"/>
      <c r="D12" s="439"/>
      <c r="E12" s="426"/>
    </row>
    <row r="13" spans="1:5" x14ac:dyDescent="0.25">
      <c r="A13" s="426"/>
      <c r="B13" s="426"/>
      <c r="C13" s="426"/>
      <c r="D13" s="439"/>
      <c r="E13" s="426"/>
    </row>
    <row r="15" spans="1:5" x14ac:dyDescent="0.25">
      <c r="A15" s="483" t="s">
        <v>173</v>
      </c>
      <c r="B15" s="508"/>
      <c r="C15" s="508"/>
      <c r="D15" s="420" t="s">
        <v>1057</v>
      </c>
      <c r="E15" s="426"/>
    </row>
    <row r="17" spans="1:5" x14ac:dyDescent="0.25">
      <c r="A17" s="698" t="s">
        <v>2655</v>
      </c>
      <c r="B17" s="698"/>
      <c r="C17" s="698"/>
      <c r="D17" s="698"/>
      <c r="E17" s="426"/>
    </row>
    <row r="18" spans="1:5" x14ac:dyDescent="0.25">
      <c r="A18" s="698" t="s">
        <v>1089</v>
      </c>
      <c r="B18" s="698"/>
      <c r="C18" s="698"/>
      <c r="D18" s="698"/>
      <c r="E18" s="426"/>
    </row>
    <row r="19" spans="1:5" x14ac:dyDescent="0.25">
      <c r="A19" s="699" t="s">
        <v>1097</v>
      </c>
      <c r="B19" s="699"/>
      <c r="C19" s="699"/>
      <c r="D19" s="699"/>
      <c r="E19" s="426"/>
    </row>
    <row r="20" spans="1:5" x14ac:dyDescent="0.25">
      <c r="A20" s="699" t="s">
        <v>3755</v>
      </c>
      <c r="B20" s="699"/>
      <c r="C20" s="699"/>
      <c r="D20" s="699"/>
      <c r="E20" s="699"/>
    </row>
    <row r="21" spans="1:5" x14ac:dyDescent="0.25">
      <c r="A21" s="481"/>
      <c r="B21" s="481"/>
      <c r="C21" s="481"/>
      <c r="D21" s="481"/>
      <c r="E21" s="426"/>
    </row>
    <row r="22" spans="1:5" x14ac:dyDescent="0.25">
      <c r="A22" s="474" t="s">
        <v>1090</v>
      </c>
      <c r="B22" s="474" t="s">
        <v>1091</v>
      </c>
      <c r="C22" s="475" t="s">
        <v>1092</v>
      </c>
      <c r="D22" s="452" t="s">
        <v>1055</v>
      </c>
      <c r="E22" s="475" t="s">
        <v>1093</v>
      </c>
    </row>
    <row r="23" spans="1:5" x14ac:dyDescent="0.25">
      <c r="A23" s="409"/>
      <c r="B23" s="435" t="e">
        <f>VLOOKUP(A23,база!A:F,2,FALSE)</f>
        <v>#N/A</v>
      </c>
      <c r="C23" s="402" t="s">
        <v>1098</v>
      </c>
      <c r="D23" s="403"/>
      <c r="E23" s="435" t="e">
        <f>VLOOKUP(A23,база!A:F,5,FALSE)</f>
        <v>#N/A</v>
      </c>
    </row>
    <row r="24" spans="1:5" x14ac:dyDescent="0.25">
      <c r="A24" s="409"/>
      <c r="B24" s="435" t="e">
        <f>VLOOKUP(A24,база!A:F,2,FALSE)</f>
        <v>#N/A</v>
      </c>
      <c r="C24" s="402" t="s">
        <v>1098</v>
      </c>
      <c r="D24" s="403"/>
      <c r="E24" s="435" t="e">
        <f>VLOOKUP(A24,база!A:F,5,FALSE)</f>
        <v>#N/A</v>
      </c>
    </row>
    <row r="25" spans="1:5" x14ac:dyDescent="0.25">
      <c r="A25" s="435"/>
      <c r="B25" s="435"/>
      <c r="C25" s="402"/>
      <c r="D25" s="450">
        <f>SUM(D23:D24)</f>
        <v>0</v>
      </c>
      <c r="E25" s="435"/>
    </row>
    <row r="27" spans="1:5" x14ac:dyDescent="0.25">
      <c r="A27" s="437"/>
      <c r="B27" s="83" t="s">
        <v>150</v>
      </c>
      <c r="C27" s="84"/>
      <c r="D27" s="83" t="s">
        <v>1057</v>
      </c>
      <c r="E27" s="418"/>
    </row>
    <row r="28" spans="1:5" x14ac:dyDescent="0.25">
      <c r="A28" s="426"/>
      <c r="B28" s="426"/>
    </row>
    <row r="29" spans="1:5" x14ac:dyDescent="0.25">
      <c r="A29" s="426"/>
      <c r="B29" s="426"/>
    </row>
    <row r="31" spans="1:5" x14ac:dyDescent="0.25">
      <c r="A31" s="196" t="s">
        <v>1334</v>
      </c>
      <c r="B31" s="509">
        <f>D8</f>
        <v>0</v>
      </c>
    </row>
    <row r="32" spans="1:5" x14ac:dyDescent="0.25">
      <c r="A32" s="196" t="s">
        <v>1157</v>
      </c>
      <c r="B32" s="509">
        <f>D25</f>
        <v>0</v>
      </c>
    </row>
    <row r="33" spans="1:13" x14ac:dyDescent="0.25">
      <c r="A33" s="196" t="s">
        <v>1058</v>
      </c>
      <c r="B33" s="509">
        <f>SUM(B31:B32)</f>
        <v>0</v>
      </c>
    </row>
    <row r="47" spans="1:13" x14ac:dyDescent="0.25">
      <c r="M47" s="271" t="s">
        <v>1059</v>
      </c>
    </row>
  </sheetData>
  <sortState ref="A7:E8">
    <sortCondition ref="A7"/>
  </sortState>
  <mergeCells count="8">
    <mergeCell ref="A20:E20"/>
    <mergeCell ref="A19:D19"/>
    <mergeCell ref="A1:D1"/>
    <mergeCell ref="A2:D2"/>
    <mergeCell ref="A3:D3"/>
    <mergeCell ref="A17:D17"/>
    <mergeCell ref="A18:D18"/>
    <mergeCell ref="A4:E4"/>
  </mergeCells>
  <pageMargins left="0.25" right="0.25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9"/>
  <sheetViews>
    <sheetView zoomScale="70" zoomScaleNormal="70" workbookViewId="0">
      <selection activeCell="R46" sqref="R46"/>
    </sheetView>
  </sheetViews>
  <sheetFormatPr defaultColWidth="9.140625" defaultRowHeight="15" x14ac:dyDescent="0.25"/>
  <cols>
    <col min="1" max="1" width="11.42578125" style="229" customWidth="1"/>
    <col min="2" max="2" width="45.7109375" style="229" customWidth="1"/>
    <col min="3" max="3" width="12.42578125" style="229" customWidth="1"/>
    <col min="4" max="4" width="15.42578125" style="230" customWidth="1"/>
    <col min="5" max="5" width="11" style="229" customWidth="1"/>
    <col min="6" max="6" width="9.140625" style="229" hidden="1" customWidth="1"/>
    <col min="7" max="16384" width="9.140625" style="229"/>
  </cols>
  <sheetData>
    <row r="1" spans="1:8" x14ac:dyDescent="0.25">
      <c r="A1" s="229" t="s">
        <v>1059</v>
      </c>
    </row>
    <row r="2" spans="1:8" ht="16.5" x14ac:dyDescent="0.25">
      <c r="A2" s="709" t="s">
        <v>2655</v>
      </c>
      <c r="B2" s="709"/>
      <c r="C2" s="709"/>
      <c r="D2" s="709"/>
      <c r="E2" s="73"/>
      <c r="F2" s="73"/>
    </row>
    <row r="3" spans="1:8" ht="16.5" x14ac:dyDescent="0.25">
      <c r="A3" s="709" t="s">
        <v>1089</v>
      </c>
      <c r="B3" s="709"/>
      <c r="C3" s="709"/>
      <c r="D3" s="709"/>
      <c r="E3" s="73"/>
      <c r="F3" s="73"/>
    </row>
    <row r="4" spans="1:8" ht="16.5" x14ac:dyDescent="0.25">
      <c r="A4" s="708" t="s">
        <v>3453</v>
      </c>
      <c r="B4" s="708"/>
      <c r="C4" s="708"/>
      <c r="D4" s="708"/>
      <c r="E4" s="73"/>
      <c r="F4" s="73"/>
    </row>
    <row r="5" spans="1:8" ht="16.5" x14ac:dyDescent="0.25">
      <c r="A5" s="708" t="s">
        <v>3755</v>
      </c>
      <c r="B5" s="708"/>
      <c r="C5" s="708"/>
      <c r="D5" s="708"/>
      <c r="E5" s="73"/>
      <c r="F5" s="361"/>
    </row>
    <row r="7" spans="1:8" ht="16.5" x14ac:dyDescent="0.25">
      <c r="A7" s="56" t="s">
        <v>1090</v>
      </c>
      <c r="B7" s="56" t="s">
        <v>1091</v>
      </c>
      <c r="C7" s="57" t="s">
        <v>1092</v>
      </c>
      <c r="D7" s="50" t="s">
        <v>1055</v>
      </c>
      <c r="E7" s="57" t="s">
        <v>1093</v>
      </c>
      <c r="F7" s="73"/>
    </row>
    <row r="8" spans="1:8" ht="16.5" x14ac:dyDescent="0.25">
      <c r="A8" s="54">
        <v>2070</v>
      </c>
      <c r="B8" s="365" t="str">
        <f>VLOOKUP(A8,база!A:F,2,FALSE)</f>
        <v>Ельчукова Елена Евгеньевна</v>
      </c>
      <c r="C8" s="52" t="s">
        <v>3479</v>
      </c>
      <c r="D8" s="45">
        <v>-30000</v>
      </c>
      <c r="E8" s="365">
        <f>VLOOKUP(A8,база!A:F,5,FALSE)</f>
        <v>0</v>
      </c>
      <c r="F8" s="73"/>
    </row>
    <row r="9" spans="1:8" s="607" customFormat="1" ht="16.5" x14ac:dyDescent="0.25">
      <c r="A9" s="54">
        <v>41429</v>
      </c>
      <c r="B9" s="365" t="str">
        <f>VLOOKUP(A9,база!A:F,2,FALSE)</f>
        <v>Федышина Любовь Игнатьевна</v>
      </c>
      <c r="C9" s="52" t="s">
        <v>3479</v>
      </c>
      <c r="D9" s="45">
        <v>-4871.4399999999996</v>
      </c>
      <c r="E9" s="365">
        <f>VLOOKUP(A9,база!A:F,5,FALSE)</f>
        <v>0</v>
      </c>
      <c r="F9" s="73"/>
    </row>
    <row r="10" spans="1:8" s="607" customFormat="1" ht="16.5" x14ac:dyDescent="0.25">
      <c r="A10" s="54">
        <v>2625</v>
      </c>
      <c r="B10" s="365" t="str">
        <f>VLOOKUP(A10,база!A:F,2,FALSE)</f>
        <v>Шурупова Галия Расимовна</v>
      </c>
      <c r="C10" s="52" t="s">
        <v>3479</v>
      </c>
      <c r="D10" s="45">
        <v>0.27</v>
      </c>
      <c r="E10" s="365">
        <f>VLOOKUP(A10,база!A:F,5,FALSE)</f>
        <v>0</v>
      </c>
      <c r="F10" s="73"/>
    </row>
    <row r="11" spans="1:8" ht="16.5" x14ac:dyDescent="0.25">
      <c r="A11" s="54"/>
      <c r="B11" s="54" t="s">
        <v>1058</v>
      </c>
      <c r="C11" s="58"/>
      <c r="D11" s="55">
        <f>SUM(D8:D10)</f>
        <v>-34871.170000000006</v>
      </c>
      <c r="E11" s="54"/>
      <c r="F11" s="73"/>
      <c r="H11" s="230"/>
    </row>
    <row r="12" spans="1:8" ht="16.5" x14ac:dyDescent="0.25">
      <c r="A12" s="358"/>
      <c r="B12" s="358"/>
      <c r="C12" s="51"/>
      <c r="D12" s="44"/>
      <c r="E12" s="358"/>
      <c r="F12" s="73"/>
    </row>
    <row r="13" spans="1:8" s="271" customFormat="1" x14ac:dyDescent="0.25">
      <c r="A13" s="437"/>
      <c r="B13" s="83" t="s">
        <v>150</v>
      </c>
      <c r="C13" s="84"/>
      <c r="D13" s="83" t="s">
        <v>1057</v>
      </c>
      <c r="E13" s="418"/>
    </row>
    <row r="14" spans="1:8" x14ac:dyDescent="0.25">
      <c r="F14" s="73"/>
    </row>
    <row r="15" spans="1:8" x14ac:dyDescent="0.25">
      <c r="F15" s="73"/>
    </row>
    <row r="16" spans="1:8" ht="16.5" x14ac:dyDescent="0.25">
      <c r="A16" s="709" t="s">
        <v>2655</v>
      </c>
      <c r="B16" s="709"/>
      <c r="C16" s="709"/>
      <c r="D16" s="709"/>
      <c r="E16" s="362"/>
      <c r="F16" s="73"/>
    </row>
    <row r="17" spans="1:12" ht="16.5" x14ac:dyDescent="0.25">
      <c r="A17" s="710" t="s">
        <v>1089</v>
      </c>
      <c r="B17" s="710"/>
      <c r="C17" s="710"/>
      <c r="D17" s="710"/>
      <c r="E17" s="362"/>
      <c r="F17" s="73"/>
    </row>
    <row r="18" spans="1:12" ht="16.5" x14ac:dyDescent="0.25">
      <c r="A18" s="707" t="s">
        <v>3457</v>
      </c>
      <c r="B18" s="707"/>
      <c r="C18" s="707"/>
      <c r="D18" s="707"/>
      <c r="E18" s="707"/>
      <c r="F18" s="73"/>
    </row>
    <row r="19" spans="1:12" s="607" customFormat="1" ht="16.5" x14ac:dyDescent="0.25">
      <c r="A19" s="708" t="s">
        <v>3755</v>
      </c>
      <c r="B19" s="708"/>
      <c r="C19" s="708"/>
      <c r="D19" s="708"/>
      <c r="E19" s="73"/>
      <c r="F19" s="361"/>
    </row>
    <row r="20" spans="1:12" x14ac:dyDescent="0.25">
      <c r="A20" s="113"/>
      <c r="B20" s="113"/>
      <c r="C20" s="113"/>
      <c r="D20" s="357"/>
      <c r="E20" s="113"/>
      <c r="F20" s="359"/>
    </row>
    <row r="21" spans="1:12" ht="16.5" x14ac:dyDescent="0.25">
      <c r="A21" s="56" t="s">
        <v>1090</v>
      </c>
      <c r="B21" s="56" t="s">
        <v>1091</v>
      </c>
      <c r="C21" s="57" t="s">
        <v>1092</v>
      </c>
      <c r="D21" s="50" t="s">
        <v>1055</v>
      </c>
      <c r="E21" s="57" t="s">
        <v>1093</v>
      </c>
      <c r="F21" s="344"/>
    </row>
    <row r="22" spans="1:12" ht="16.5" x14ac:dyDescent="0.25">
      <c r="A22" s="54"/>
      <c r="B22" s="365" t="e">
        <f>VLOOKUP(A22,база!A:F,2,FALSE)</f>
        <v>#N/A</v>
      </c>
      <c r="C22" s="58" t="s">
        <v>3479</v>
      </c>
      <c r="D22" s="45"/>
      <c r="E22" s="365" t="e">
        <f>VLOOKUP(A22,база!A:F,5,FALSE)</f>
        <v>#N/A</v>
      </c>
      <c r="F22" s="359"/>
    </row>
    <row r="23" spans="1:12" ht="16.5" x14ac:dyDescent="0.25">
      <c r="A23" s="54"/>
      <c r="B23" s="54" t="s">
        <v>1058</v>
      </c>
      <c r="C23" s="58"/>
      <c r="D23" s="165">
        <f>SUM(D22:D22)</f>
        <v>0</v>
      </c>
      <c r="E23" s="54"/>
      <c r="F23" s="73"/>
    </row>
    <row r="24" spans="1:12" x14ac:dyDescent="0.25">
      <c r="A24" s="113"/>
      <c r="B24" s="113"/>
      <c r="C24" s="113"/>
      <c r="D24" s="357"/>
      <c r="E24" s="113"/>
      <c r="F24" s="73"/>
    </row>
    <row r="25" spans="1:12" s="271" customFormat="1" x14ac:dyDescent="0.25">
      <c r="A25" s="437"/>
      <c r="B25" s="83" t="s">
        <v>150</v>
      </c>
      <c r="C25" s="84"/>
      <c r="D25" s="83" t="s">
        <v>1057</v>
      </c>
      <c r="E25" s="418"/>
    </row>
    <row r="26" spans="1:12" ht="16.5" x14ac:dyDescent="0.25">
      <c r="E26" s="360"/>
      <c r="F26" s="73"/>
    </row>
    <row r="27" spans="1:12" x14ac:dyDescent="0.25">
      <c r="E27" s="73"/>
      <c r="F27" s="73"/>
    </row>
    <row r="28" spans="1:12" x14ac:dyDescent="0.25">
      <c r="E28" s="73"/>
      <c r="F28" s="73"/>
    </row>
    <row r="30" spans="1:12" ht="16.5" x14ac:dyDescent="0.25">
      <c r="A30" s="76"/>
      <c r="B30" s="59"/>
      <c r="C30" s="65" t="s">
        <v>1334</v>
      </c>
      <c r="D30" s="48">
        <f>D11</f>
        <v>-34871.170000000006</v>
      </c>
      <c r="E30" s="73"/>
      <c r="L30" s="140"/>
    </row>
    <row r="31" spans="1:12" ht="16.5" x14ac:dyDescent="0.25">
      <c r="A31" s="76"/>
      <c r="B31" s="363"/>
      <c r="C31" s="65" t="s">
        <v>1157</v>
      </c>
      <c r="D31" s="48">
        <f>D23</f>
        <v>0</v>
      </c>
    </row>
    <row r="32" spans="1:12" ht="16.5" x14ac:dyDescent="0.25">
      <c r="C32" s="65" t="s">
        <v>1058</v>
      </c>
      <c r="D32" s="364">
        <f>SUM(D30:D31)</f>
        <v>-34871.170000000006</v>
      </c>
    </row>
    <row r="33" spans="1:5" s="271" customFormat="1" x14ac:dyDescent="0.25">
      <c r="A33" s="437"/>
      <c r="B33" s="83" t="s">
        <v>150</v>
      </c>
      <c r="C33" s="84"/>
      <c r="D33" s="83" t="s">
        <v>1057</v>
      </c>
      <c r="E33" s="418"/>
    </row>
    <row r="39" spans="1:5" hidden="1" x14ac:dyDescent="0.25"/>
  </sheetData>
  <sortState ref="A8:E10">
    <sortCondition ref="A8"/>
  </sortState>
  <mergeCells count="8">
    <mergeCell ref="A18:E18"/>
    <mergeCell ref="A19:D19"/>
    <mergeCell ref="A2:D2"/>
    <mergeCell ref="A3:D3"/>
    <mergeCell ref="A4:D4"/>
    <mergeCell ref="A5:D5"/>
    <mergeCell ref="A16:D16"/>
    <mergeCell ref="A17:D17"/>
  </mergeCells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4</vt:i4>
      </vt:variant>
    </vt:vector>
  </HeadingPairs>
  <TitlesOfParts>
    <vt:vector size="21" baseType="lpstr">
      <vt:lpstr>база</vt:lpstr>
      <vt:lpstr>Командировки</vt:lpstr>
      <vt:lpstr>Командировки СУДЫ</vt:lpstr>
      <vt:lpstr>Льготный проезд   </vt:lpstr>
      <vt:lpstr>список 0604 01   </vt:lpstr>
      <vt:lpstr>ТМЦ</vt:lpstr>
      <vt:lpstr>во Х402</vt:lpstr>
      <vt:lpstr>во 0929 </vt:lpstr>
      <vt:lpstr>во 0935</vt:lpstr>
      <vt:lpstr>во 613</vt:lpstr>
      <vt:lpstr>во 604</vt:lpstr>
      <vt:lpstr>во 614</vt:lpstr>
      <vt:lpstr>во 634</vt:lpstr>
      <vt:lpstr>во 626</vt:lpstr>
      <vt:lpstr>во 629</vt:lpstr>
      <vt:lpstr>во 600</vt:lpstr>
      <vt:lpstr>во 930</vt:lpstr>
      <vt:lpstr>Командировки!Заголовки_для_печати</vt:lpstr>
      <vt:lpstr>'Командировки СУДЫ'!Заголовки_для_печати</vt:lpstr>
      <vt:lpstr>Командировки!Область_печати</vt:lpstr>
      <vt:lpstr>'Командировки СУДЫ'!Область_печати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Патракова</dc:creator>
  <cp:lastModifiedBy>Патракова Наталья Геннадьевна</cp:lastModifiedBy>
  <cp:lastPrinted>2024-02-01T10:15:10Z</cp:lastPrinted>
  <dcterms:created xsi:type="dcterms:W3CDTF">2013-02-22T08:17:39Z</dcterms:created>
  <dcterms:modified xsi:type="dcterms:W3CDTF">2025-09-02T05:57:51Z</dcterms:modified>
</cp:coreProperties>
</file>